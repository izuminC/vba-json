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35" windowWidth="19395" windowHeight="7995" tabRatio="880"/>
  </bookViews>
  <sheets>
    <sheet name="集約" sheetId="12" r:id="rId1"/>
    <sheet name="日別" sheetId="82" r:id="rId2"/>
    <sheet name="担当者別" sheetId="21" r:id="rId3"/>
    <sheet name="小分類" sheetId="81" r:id="rId4"/>
    <sheet name="所定労働時間" sheetId="84" r:id="rId5"/>
  </sheets>
  <functionGroups builtInGroupCount="17"/>
  <externalReferences>
    <externalReference r:id="rId6"/>
  </externalReferences>
  <definedNames>
    <definedName name="_xlnm._FilterDatabase" localSheetId="0" hidden="1">集約!$A$1:$I$10645</definedName>
    <definedName name="Num_Data">[1]カテゴリ!$J$4:$J$70</definedName>
    <definedName name="Per_Data">[1]カテゴリ!$I$4:$I$70</definedName>
  </definedNames>
  <calcPr calcId="145621"/>
</workbook>
</file>

<file path=xl/calcChain.xml><?xml version="1.0" encoding="utf-8"?>
<calcChain xmlns="http://schemas.openxmlformats.org/spreadsheetml/2006/main">
  <c r="E153" i="81" l="1"/>
  <c r="D153" i="81"/>
  <c r="H9" i="81"/>
  <c r="E150" i="81"/>
  <c r="D150" i="81"/>
  <c r="H8" i="81"/>
  <c r="E139" i="81"/>
  <c r="D139" i="81"/>
  <c r="H7" i="81"/>
  <c r="E115" i="81"/>
  <c r="D115" i="81"/>
  <c r="E112" i="81"/>
  <c r="D112" i="81"/>
  <c r="E107" i="81"/>
  <c r="D107" i="81"/>
  <c r="E84" i="81"/>
  <c r="D84" i="81"/>
  <c r="E73" i="81"/>
  <c r="D73" i="81"/>
  <c r="E70" i="81"/>
  <c r="D70" i="81"/>
  <c r="E67" i="81"/>
  <c r="D67" i="81"/>
  <c r="E50" i="81"/>
  <c r="D50" i="81"/>
  <c r="E44" i="81"/>
  <c r="D44" i="81"/>
  <c r="E28" i="81"/>
  <c r="D28" i="81"/>
  <c r="E19" i="81"/>
  <c r="D19" i="81"/>
  <c r="E11" i="81"/>
  <c r="D11" i="81"/>
  <c r="E10" i="81"/>
  <c r="D10" i="81"/>
  <c r="E6" i="81"/>
  <c r="D6" i="81"/>
  <c r="EG5" i="21"/>
  <c r="EG4" i="21"/>
  <c r="EF5" i="21"/>
  <c r="EF4" i="21"/>
  <c r="EE5" i="21"/>
  <c r="EE4" i="21"/>
  <c r="ED5" i="21"/>
  <c r="ED4" i="21"/>
  <c r="EC5" i="21"/>
  <c r="EC4" i="21"/>
  <c r="EB5" i="21"/>
  <c r="EB4" i="21"/>
  <c r="EA5" i="21"/>
  <c r="EA4" i="21"/>
  <c r="DZ5" i="21"/>
  <c r="DZ4" i="21"/>
  <c r="DY5" i="21"/>
  <c r="DY4" i="21"/>
  <c r="DX5" i="21"/>
  <c r="DX4" i="21"/>
  <c r="DW5" i="21"/>
  <c r="DW4" i="21"/>
  <c r="DV5" i="21"/>
  <c r="DV4" i="21"/>
  <c r="DU5" i="21"/>
  <c r="DU4" i="21"/>
  <c r="DT5" i="21"/>
  <c r="DT4" i="21"/>
  <c r="DS5" i="21"/>
  <c r="DS4" i="21"/>
  <c r="DR5" i="21"/>
  <c r="DR4" i="21"/>
  <c r="DQ5" i="21"/>
  <c r="DQ4" i="21"/>
  <c r="DP5" i="21"/>
  <c r="DP4" i="21"/>
  <c r="DO5" i="21"/>
  <c r="DO4" i="21"/>
  <c r="DN5" i="21"/>
  <c r="DN4" i="21"/>
  <c r="DM5" i="21"/>
  <c r="DM4" i="21"/>
  <c r="DL5" i="21"/>
  <c r="DL4" i="21"/>
  <c r="DK5" i="21"/>
  <c r="DK4" i="21"/>
  <c r="DJ5" i="21"/>
  <c r="DJ4" i="21"/>
  <c r="DI5" i="21"/>
  <c r="DI4" i="21"/>
  <c r="DH5" i="21"/>
  <c r="DH4" i="21"/>
  <c r="DG5" i="21"/>
  <c r="DG4" i="21"/>
  <c r="DF5" i="21"/>
  <c r="DF4" i="21"/>
  <c r="DE5" i="21"/>
  <c r="DE4" i="21"/>
  <c r="DD5" i="21"/>
  <c r="DD4" i="21"/>
  <c r="DC5" i="21"/>
  <c r="DC4" i="21"/>
  <c r="DB5" i="21"/>
  <c r="DB4" i="21"/>
  <c r="DA5" i="21"/>
  <c r="DA4" i="21"/>
  <c r="CZ5" i="21"/>
  <c r="CZ4" i="21"/>
  <c r="CY5" i="21"/>
  <c r="CY4" i="21"/>
  <c r="CX5" i="21"/>
  <c r="CX4" i="21"/>
  <c r="CW5" i="21"/>
  <c r="CW4" i="21"/>
  <c r="CV5" i="21"/>
  <c r="CV4" i="21"/>
  <c r="CU5" i="21"/>
  <c r="CU4" i="21"/>
  <c r="CT5" i="21"/>
  <c r="CT4" i="21"/>
  <c r="CS5" i="21"/>
  <c r="CS4" i="21"/>
  <c r="CR5" i="21"/>
  <c r="CR4" i="21"/>
  <c r="CQ5" i="21"/>
  <c r="CQ4" i="21"/>
  <c r="CP5" i="21"/>
  <c r="CP4" i="21"/>
  <c r="CO5" i="21"/>
  <c r="CO4" i="21"/>
  <c r="CN5" i="21"/>
  <c r="CN4" i="21"/>
  <c r="CM5" i="21"/>
  <c r="CM4" i="21"/>
  <c r="CL5" i="21"/>
  <c r="CL4" i="21"/>
  <c r="CK5" i="21"/>
  <c r="CK4" i="21"/>
  <c r="CJ5" i="21"/>
  <c r="CJ4" i="21"/>
  <c r="CI5" i="21"/>
  <c r="CI4" i="21"/>
  <c r="CH5" i="21"/>
  <c r="CH4" i="21"/>
  <c r="CG5" i="21"/>
  <c r="CG4" i="21"/>
  <c r="CF5" i="21"/>
  <c r="CF4" i="21"/>
  <c r="CE5" i="21"/>
  <c r="CE4" i="21"/>
  <c r="CD5" i="21"/>
  <c r="CD4" i="21"/>
  <c r="CC5" i="21"/>
  <c r="CC4" i="21"/>
  <c r="CB5" i="21"/>
  <c r="CB4" i="21"/>
  <c r="CA5" i="21"/>
  <c r="CA4" i="21"/>
  <c r="BZ5" i="21"/>
  <c r="BZ4" i="21"/>
  <c r="BY5" i="21"/>
  <c r="BY4" i="21"/>
  <c r="BX5" i="21"/>
  <c r="BX4" i="21"/>
  <c r="BW5" i="21"/>
  <c r="BW4" i="21"/>
  <c r="BV5" i="21"/>
  <c r="BV4" i="21"/>
  <c r="BU5" i="21"/>
  <c r="BU4" i="21"/>
  <c r="BT5" i="21"/>
  <c r="BT4" i="21"/>
  <c r="BS5" i="21"/>
  <c r="BS4" i="21"/>
  <c r="BR5" i="21"/>
  <c r="BR4" i="21"/>
  <c r="BQ5" i="21"/>
  <c r="BQ4" i="21"/>
  <c r="BP5" i="21"/>
  <c r="BP4" i="21"/>
  <c r="BO5" i="21"/>
  <c r="BO4" i="21"/>
  <c r="BN5" i="21"/>
  <c r="BN4" i="21"/>
  <c r="BM5" i="21"/>
  <c r="BM4" i="21"/>
  <c r="BL5" i="21"/>
  <c r="BL4" i="21"/>
  <c r="BK5" i="21"/>
  <c r="BK4" i="21"/>
  <c r="BJ5" i="21"/>
  <c r="BJ4" i="21"/>
  <c r="BI5" i="21"/>
  <c r="BI4" i="21"/>
  <c r="BH5" i="21"/>
  <c r="BH4" i="21"/>
  <c r="BG5" i="21"/>
  <c r="BG4" i="21"/>
  <c r="BF5" i="21"/>
  <c r="BF4" i="21"/>
  <c r="BE5" i="21"/>
  <c r="BE4" i="21"/>
  <c r="BD5" i="21"/>
  <c r="BD4" i="21"/>
  <c r="BC5" i="21"/>
  <c r="BC4" i="21"/>
  <c r="BB5" i="21"/>
  <c r="BB4" i="21"/>
  <c r="BA5" i="21"/>
  <c r="BA4" i="21"/>
  <c r="AZ5" i="21"/>
  <c r="AZ4" i="21"/>
  <c r="AY5" i="21"/>
  <c r="AY4" i="21"/>
  <c r="AX5" i="21"/>
  <c r="AX4" i="21"/>
  <c r="AW5" i="21"/>
  <c r="AW4" i="21"/>
  <c r="AV5" i="21"/>
  <c r="AV4" i="21"/>
  <c r="AU5" i="21"/>
  <c r="AU4" i="21"/>
  <c r="AT5" i="21"/>
  <c r="AT4" i="21"/>
  <c r="AS5" i="21"/>
  <c r="AS4" i="21"/>
  <c r="AR5" i="21"/>
  <c r="AR4" i="21"/>
  <c r="AQ5" i="21"/>
  <c r="AQ4" i="21"/>
  <c r="AP5" i="21"/>
  <c r="AP4" i="21"/>
  <c r="AO5" i="21"/>
  <c r="AO4" i="21"/>
  <c r="AN5" i="21"/>
  <c r="AN4" i="21"/>
  <c r="AM5" i="21"/>
  <c r="AM4" i="21"/>
  <c r="AL5" i="21"/>
  <c r="AL4" i="21"/>
  <c r="AK5" i="21"/>
  <c r="AK4" i="21"/>
  <c r="AJ5" i="21"/>
  <c r="AJ4" i="21"/>
  <c r="AI5" i="21"/>
  <c r="AI4" i="21"/>
  <c r="AH5" i="21"/>
  <c r="AH4" i="21"/>
  <c r="AG5" i="21"/>
  <c r="AG4" i="21"/>
  <c r="AF5" i="21"/>
  <c r="AF4" i="21"/>
  <c r="AE5" i="21"/>
  <c r="AE4" i="21"/>
  <c r="AD5" i="21"/>
  <c r="AD4" i="21"/>
  <c r="AC5" i="21"/>
  <c r="AC4" i="21"/>
  <c r="AB5" i="21"/>
  <c r="AB4" i="21"/>
  <c r="AA5" i="21"/>
  <c r="AA4" i="21"/>
  <c r="Z5" i="21"/>
  <c r="Z4" i="21"/>
  <c r="Y5" i="21"/>
  <c r="Y4" i="21"/>
  <c r="X5" i="21"/>
  <c r="X4" i="21"/>
  <c r="W5" i="21"/>
  <c r="W4" i="21"/>
  <c r="V5" i="21"/>
  <c r="V4" i="21"/>
  <c r="U5" i="21"/>
  <c r="U4" i="21"/>
  <c r="T5" i="21"/>
  <c r="T4" i="21"/>
  <c r="S5" i="21"/>
  <c r="S4" i="21"/>
  <c r="R5" i="21"/>
  <c r="R4" i="21"/>
  <c r="Q5" i="21"/>
  <c r="Q4" i="21"/>
  <c r="P5" i="21"/>
  <c r="P4" i="21"/>
  <c r="N5" i="21"/>
  <c r="N4" i="21"/>
  <c r="M5" i="21"/>
  <c r="M4" i="21"/>
  <c r="L5" i="21"/>
  <c r="L4" i="21"/>
  <c r="K5" i="21"/>
  <c r="K4" i="21"/>
  <c r="J5" i="21"/>
  <c r="J4" i="21"/>
  <c r="I5" i="21"/>
  <c r="I4" i="21"/>
  <c r="H5" i="21"/>
  <c r="H4" i="21"/>
  <c r="F5" i="21"/>
  <c r="F4" i="21"/>
  <c r="E5" i="21"/>
  <c r="E4" i="21"/>
  <c r="D5" i="21"/>
  <c r="D4" i="21"/>
  <c r="EG5" i="82"/>
  <c r="EG4" i="82"/>
  <c r="EF5" i="82"/>
  <c r="EF4" i="82"/>
  <c r="EE5" i="82"/>
  <c r="EE4" i="82"/>
  <c r="ED5" i="82"/>
  <c r="ED4" i="82"/>
  <c r="EC5" i="82"/>
  <c r="EC4" i="82"/>
  <c r="EB5" i="82"/>
  <c r="EB4" i="82"/>
  <c r="EA5" i="82"/>
  <c r="EA4" i="82"/>
  <c r="DZ5" i="82"/>
  <c r="DZ4" i="82"/>
  <c r="DY5" i="82"/>
  <c r="DY4" i="82"/>
  <c r="DX5" i="82"/>
  <c r="DX4" i="82"/>
  <c r="DW5" i="82"/>
  <c r="DW4" i="82"/>
  <c r="DV5" i="82"/>
  <c r="DV4" i="82"/>
  <c r="DU5" i="82"/>
  <c r="DU4" i="82"/>
  <c r="DT5" i="82"/>
  <c r="DT4" i="82"/>
  <c r="DS5" i="82"/>
  <c r="DS4" i="82"/>
  <c r="DR5" i="82"/>
  <c r="DR4" i="82"/>
  <c r="DQ5" i="82"/>
  <c r="DQ4" i="82"/>
  <c r="DP5" i="82"/>
  <c r="DP4" i="82"/>
  <c r="DO5" i="82"/>
  <c r="DO4" i="82"/>
  <c r="DN5" i="82"/>
  <c r="DN4" i="82"/>
  <c r="DM5" i="82"/>
  <c r="DM4" i="82"/>
  <c r="DL5" i="82"/>
  <c r="DL4" i="82"/>
  <c r="DK5" i="82"/>
  <c r="DK4" i="82"/>
  <c r="DJ5" i="82"/>
  <c r="DJ4" i="82"/>
  <c r="DI5" i="82"/>
  <c r="DI4" i="82"/>
  <c r="DH5" i="82"/>
  <c r="DH4" i="82"/>
  <c r="DG5" i="82"/>
  <c r="DG4" i="82"/>
  <c r="DF5" i="82"/>
  <c r="DF4" i="82"/>
  <c r="DE5" i="82"/>
  <c r="DE4" i="82"/>
  <c r="DD5" i="82"/>
  <c r="DD4" i="82"/>
  <c r="DC5" i="82"/>
  <c r="DC4" i="82"/>
  <c r="DB5" i="82"/>
  <c r="DB4" i="82"/>
  <c r="DA5" i="82"/>
  <c r="DA4" i="82"/>
  <c r="CZ5" i="82"/>
  <c r="CZ4" i="82"/>
  <c r="CY5" i="82"/>
  <c r="CY4" i="82"/>
  <c r="CX5" i="82"/>
  <c r="CX4" i="82"/>
  <c r="CW5" i="82"/>
  <c r="CW4" i="82"/>
  <c r="CV5" i="82"/>
  <c r="CV4" i="82"/>
  <c r="CU5" i="82"/>
  <c r="CU4" i="82"/>
  <c r="CT5" i="82"/>
  <c r="CT4" i="82"/>
  <c r="CS5" i="82"/>
  <c r="CS4" i="82"/>
  <c r="CR5" i="82"/>
  <c r="CR4" i="82"/>
  <c r="CQ5" i="82"/>
  <c r="CQ4" i="82"/>
  <c r="CP5" i="82"/>
  <c r="CP4" i="82"/>
  <c r="CO5" i="82"/>
  <c r="CO4" i="82"/>
  <c r="CN5" i="82"/>
  <c r="CN4" i="82"/>
  <c r="CM5" i="82"/>
  <c r="CM4" i="82"/>
  <c r="CL5" i="82"/>
  <c r="CL4" i="82"/>
  <c r="CK5" i="82"/>
  <c r="CK4" i="82"/>
  <c r="CJ5" i="82"/>
  <c r="CJ4" i="82"/>
  <c r="CI5" i="82"/>
  <c r="CI4" i="82"/>
  <c r="CH5" i="82"/>
  <c r="CH4" i="82"/>
  <c r="CG5" i="82"/>
  <c r="CG4" i="82"/>
  <c r="CF5" i="82"/>
  <c r="CF4" i="82"/>
  <c r="CE5" i="82"/>
  <c r="CE4" i="82"/>
  <c r="CD5" i="82"/>
  <c r="CD4" i="82"/>
  <c r="CC5" i="82"/>
  <c r="CC4" i="82"/>
  <c r="CB5" i="82"/>
  <c r="CB4" i="82"/>
  <c r="CA5" i="82"/>
  <c r="CA4" i="82"/>
  <c r="BZ5" i="82"/>
  <c r="BZ4" i="82"/>
  <c r="BY5" i="82"/>
  <c r="BY4" i="82"/>
  <c r="BX5" i="82"/>
  <c r="BX4" i="82"/>
  <c r="BW5" i="82"/>
  <c r="BW4" i="82"/>
  <c r="BV5" i="82"/>
  <c r="BV4" i="82"/>
  <c r="BU5" i="82"/>
  <c r="BU4" i="82"/>
  <c r="BT5" i="82"/>
  <c r="BT4" i="82"/>
  <c r="BS5" i="82"/>
  <c r="BS4" i="82"/>
  <c r="BR5" i="82"/>
  <c r="BR4" i="82"/>
  <c r="BQ5" i="82"/>
  <c r="BQ4" i="82"/>
  <c r="BP5" i="82"/>
  <c r="BP4" i="82"/>
  <c r="BO5" i="82"/>
  <c r="BO4" i="82"/>
  <c r="BN5" i="82"/>
  <c r="BN4" i="82"/>
  <c r="BM5" i="82"/>
  <c r="BM4" i="82"/>
  <c r="BL5" i="82"/>
  <c r="BL4" i="82"/>
  <c r="BK5" i="82"/>
  <c r="BK4" i="82"/>
  <c r="BJ5" i="82"/>
  <c r="BJ4" i="82"/>
  <c r="BI5" i="82"/>
  <c r="BI4" i="82"/>
  <c r="BH5" i="82"/>
  <c r="BH4" i="82"/>
  <c r="BG5" i="82"/>
  <c r="BG4" i="82"/>
  <c r="BF5" i="82"/>
  <c r="BF4" i="82"/>
  <c r="BE5" i="82"/>
  <c r="BE4" i="82"/>
  <c r="BD5" i="82"/>
  <c r="BD4" i="82"/>
  <c r="BC5" i="82"/>
  <c r="BC4" i="82"/>
  <c r="BB5" i="82"/>
  <c r="BB4" i="82"/>
  <c r="BA5" i="82"/>
  <c r="BA4" i="82"/>
  <c r="AZ5" i="82"/>
  <c r="AZ4" i="82"/>
  <c r="AY5" i="82"/>
  <c r="AY4" i="82"/>
  <c r="AX5" i="82"/>
  <c r="AX4" i="82"/>
  <c r="AW5" i="82"/>
  <c r="AW4" i="82"/>
  <c r="AV5" i="82"/>
  <c r="AV4" i="82"/>
  <c r="AU5" i="82"/>
  <c r="AU4" i="82"/>
  <c r="AT5" i="82"/>
  <c r="AT4" i="82"/>
  <c r="AS5" i="82"/>
  <c r="AS4" i="82"/>
  <c r="AR5" i="82"/>
  <c r="AR4" i="82"/>
  <c r="AQ5" i="82"/>
  <c r="AQ4" i="82"/>
  <c r="AP5" i="82"/>
  <c r="AP4" i="82"/>
  <c r="AO5" i="82"/>
  <c r="AO4" i="82"/>
  <c r="AN5" i="82"/>
  <c r="AN4" i="82"/>
  <c r="AM5" i="82"/>
  <c r="AM4" i="82"/>
  <c r="AL5" i="82"/>
  <c r="AL4" i="82"/>
  <c r="AK5" i="82"/>
  <c r="AK4" i="82"/>
  <c r="AJ5" i="82"/>
  <c r="AJ4" i="82"/>
  <c r="AI5" i="82"/>
  <c r="AI4" i="82"/>
  <c r="AH5" i="82"/>
  <c r="AH4" i="82"/>
  <c r="AG5" i="82"/>
  <c r="AG4" i="82"/>
  <c r="AF5" i="82"/>
  <c r="AF4" i="82"/>
  <c r="AE5" i="82"/>
  <c r="AE4" i="82"/>
  <c r="AD5" i="82"/>
  <c r="AD4" i="82"/>
  <c r="AC5" i="82"/>
  <c r="AC4" i="82"/>
  <c r="AB5" i="82"/>
  <c r="AB4" i="82"/>
  <c r="AA5" i="82"/>
  <c r="AA4" i="82"/>
  <c r="Z5" i="82"/>
  <c r="Z4" i="82"/>
  <c r="Y5" i="82"/>
  <c r="Y4" i="82"/>
  <c r="X5" i="82"/>
  <c r="X4" i="82"/>
  <c r="W5" i="82"/>
  <c r="W4" i="82"/>
  <c r="V5" i="82"/>
  <c r="V4" i="82"/>
  <c r="U5" i="82"/>
  <c r="U4" i="82"/>
  <c r="T5" i="82"/>
  <c r="T4" i="82"/>
  <c r="S5" i="82"/>
  <c r="S4" i="82"/>
  <c r="R5" i="82"/>
  <c r="R4" i="82"/>
  <c r="Q5" i="82"/>
  <c r="Q4" i="82"/>
  <c r="P5" i="82"/>
  <c r="P4" i="82"/>
  <c r="N5" i="82"/>
  <c r="N4" i="82"/>
  <c r="M5" i="82"/>
  <c r="M4" i="82"/>
  <c r="L5" i="82"/>
  <c r="L4" i="82"/>
  <c r="K5" i="82"/>
  <c r="K4" i="82"/>
  <c r="J5" i="82"/>
  <c r="J4" i="82"/>
  <c r="I5" i="82"/>
  <c r="I4" i="82"/>
  <c r="H5" i="82"/>
  <c r="H4" i="82"/>
  <c r="F5" i="82"/>
  <c r="F4" i="82"/>
  <c r="E5" i="82"/>
  <c r="E4" i="82"/>
  <c r="D5" i="82"/>
  <c r="D4" i="82"/>
  <c r="E5" i="81" l="1"/>
  <c r="D5" i="81"/>
  <c r="H5" i="81"/>
  <c r="H6" i="81"/>
  <c r="I6" i="81" l="1"/>
  <c r="J6" i="81" l="1"/>
  <c r="K6" i="81" s="1"/>
  <c r="I9" i="81" l="1"/>
  <c r="I8" i="81"/>
  <c r="I7" i="81"/>
  <c r="I5" i="81"/>
  <c r="J7" i="81" l="1"/>
  <c r="K7" i="81" s="1"/>
  <c r="J8" i="81"/>
  <c r="K8" i="81" s="1"/>
  <c r="J9" i="81"/>
  <c r="K9" i="81" s="1"/>
  <c r="J5" i="81"/>
  <c r="J10" i="81" l="1"/>
  <c r="K5" i="81"/>
  <c r="H10" i="81"/>
  <c r="I10" i="81" l="1"/>
  <c r="K10" i="81" s="1"/>
</calcChain>
</file>

<file path=xl/sharedStrings.xml><?xml version="1.0" encoding="utf-8"?>
<sst xmlns="http://schemas.openxmlformats.org/spreadsheetml/2006/main" count="626" uniqueCount="190">
  <si>
    <t>件数</t>
  </si>
  <si>
    <t>氏名</t>
    <rPh sb="0" eb="2">
      <t>シメイ</t>
    </rPh>
    <phoneticPr fontId="1"/>
  </si>
  <si>
    <t>合計</t>
    <rPh sb="0" eb="2">
      <t>ゴウケイ</t>
    </rPh>
    <phoneticPr fontId="1"/>
  </si>
  <si>
    <t>営業日数：</t>
    <rPh sb="0" eb="2">
      <t>エイギョウ</t>
    </rPh>
    <rPh sb="2" eb="4">
      <t>ニッスウ</t>
    </rPh>
    <phoneticPr fontId="1"/>
  </si>
  <si>
    <t>←集計する月の1日を入力</t>
    <rPh sb="1" eb="3">
      <t>シュウケイ</t>
    </rPh>
    <rPh sb="5" eb="6">
      <t>ツキ</t>
    </rPh>
    <rPh sb="8" eb="9">
      <t>ニチ</t>
    </rPh>
    <rPh sb="10" eb="12">
      <t>ニュウリョク</t>
    </rPh>
    <phoneticPr fontId="1"/>
  </si>
  <si>
    <t>計</t>
    <rPh sb="0" eb="1">
      <t>ケイ</t>
    </rPh>
    <phoneticPr fontId="1"/>
  </si>
  <si>
    <t>時間</t>
    <rPh sb="0" eb="2">
      <t>ジカン</t>
    </rPh>
    <phoneticPr fontId="1"/>
  </si>
  <si>
    <t>X時間 合計</t>
    <rPh sb="1" eb="3">
      <t>ジカン</t>
    </rPh>
    <rPh sb="4" eb="6">
      <t>ゴウケイ</t>
    </rPh>
    <phoneticPr fontId="1"/>
  </si>
  <si>
    <t>Y時間 合計</t>
    <rPh sb="1" eb="3">
      <t>ジカン</t>
    </rPh>
    <rPh sb="4" eb="6">
      <t>ゴウケイ</t>
    </rPh>
    <phoneticPr fontId="1"/>
  </si>
  <si>
    <t>Z時間 合計</t>
    <rPh sb="1" eb="3">
      <t>ジカン</t>
    </rPh>
    <rPh sb="4" eb="6">
      <t>ゴウケイ</t>
    </rPh>
    <phoneticPr fontId="1"/>
  </si>
  <si>
    <t>［他］昼休み 合計</t>
    <rPh sb="7" eb="9">
      <t>ゴウケイ</t>
    </rPh>
    <phoneticPr fontId="1"/>
  </si>
  <si>
    <t>稼動日数</t>
    <rPh sb="0" eb="2">
      <t>カドウ</t>
    </rPh>
    <rPh sb="2" eb="4">
      <t>ニッスウ</t>
    </rPh>
    <phoneticPr fontId="1"/>
  </si>
  <si>
    <t>人員</t>
    <rPh sb="0" eb="2">
      <t>ジンイン</t>
    </rPh>
    <phoneticPr fontId="1"/>
  </si>
  <si>
    <t>件数</t>
    <rPh sb="0" eb="2">
      <t>ケンスウ</t>
    </rPh>
    <phoneticPr fontId="1"/>
  </si>
  <si>
    <t>分</t>
    <rPh sb="0" eb="1">
      <t>フン</t>
    </rPh>
    <phoneticPr fontId="1"/>
  </si>
  <si>
    <t>日付</t>
    <phoneticPr fontId="1"/>
  </si>
  <si>
    <t>メニュー</t>
    <phoneticPr fontId="3"/>
  </si>
  <si>
    <t>所要時間</t>
  </si>
  <si>
    <t>終了時間</t>
    <rPh sb="0" eb="2">
      <t>シュウリョウ</t>
    </rPh>
    <rPh sb="2" eb="4">
      <t>ジカン</t>
    </rPh>
    <phoneticPr fontId="3"/>
  </si>
  <si>
    <t>小分類</t>
    <phoneticPr fontId="3"/>
  </si>
  <si>
    <t>開始時間</t>
    <rPh sb="0" eb="2">
      <t>カイシ</t>
    </rPh>
    <rPh sb="2" eb="4">
      <t>ジカン</t>
    </rPh>
    <phoneticPr fontId="3"/>
  </si>
  <si>
    <t>大分類</t>
    <rPh sb="0" eb="3">
      <t>ダイブンルイ</t>
    </rPh>
    <phoneticPr fontId="3"/>
  </si>
  <si>
    <t>昼休み</t>
  </si>
  <si>
    <t>休憩</t>
  </si>
  <si>
    <t>[X:]</t>
  </si>
  <si>
    <t>W時間 合計</t>
    <rPh sb="1" eb="3">
      <t>ジカン</t>
    </rPh>
    <rPh sb="4" eb="6">
      <t>ゴウケイ</t>
    </rPh>
    <phoneticPr fontId="1"/>
  </si>
  <si>
    <t>小分類（=計測項目）</t>
    <rPh sb="0" eb="3">
      <t>ショウブンルイ</t>
    </rPh>
    <rPh sb="5" eb="7">
      <t>ケイソク</t>
    </rPh>
    <rPh sb="7" eb="9">
      <t>コウモク</t>
    </rPh>
    <phoneticPr fontId="3"/>
  </si>
  <si>
    <t>[X:]合計</t>
  </si>
  <si>
    <t>所定労働時間表</t>
    <rPh sb="0" eb="2">
      <t>ショテイ</t>
    </rPh>
    <rPh sb="2" eb="4">
      <t>ロウドウ</t>
    </rPh>
    <rPh sb="4" eb="6">
      <t>ジカン</t>
    </rPh>
    <rPh sb="6" eb="7">
      <t>ヒョウ</t>
    </rPh>
    <phoneticPr fontId="1"/>
  </si>
  <si>
    <t>担当者名</t>
    <rPh sb="0" eb="2">
      <t>タントウ</t>
    </rPh>
    <rPh sb="2" eb="3">
      <t>シャ</t>
    </rPh>
    <rPh sb="3" eb="4">
      <t>メイ</t>
    </rPh>
    <phoneticPr fontId="1"/>
  </si>
  <si>
    <t>★[A:IVR業務]</t>
  </si>
  <si>
    <t>A:ﾃﾞｰﾀ取込･抽出･一覧作成</t>
  </si>
  <si>
    <t>A:SR作成</t>
  </si>
  <si>
    <t>A:点検(ｽﾃｰﾀｽﾁｪｯｸ)</t>
  </si>
  <si>
    <t>★[B:住所変更業務]</t>
  </si>
  <si>
    <t>【●B1住所変更業務(ｸｴﾘｰ分)】</t>
  </si>
  <si>
    <t>B1:事前準備(ｴｸｽﾎﾟｰﾄ)</t>
  </si>
  <si>
    <t>B1:処理(ｸｴﾘｰ分)</t>
  </si>
  <si>
    <t>B1:保留確認(ｸｴﾘｰ､支社確認)</t>
  </si>
  <si>
    <t>B1:取消し</t>
  </si>
  <si>
    <t>B1:点検(ｸｴﾘｰ分)</t>
  </si>
  <si>
    <t>B1:発送(社内便)</t>
  </si>
  <si>
    <t>B1:点検(ｽﾃｰﾀｽﾁｪｯｸ)</t>
  </si>
  <si>
    <t>【●B2住所変更業務(連絡ｼｰﾄ分)】</t>
  </si>
  <si>
    <t>B2:開封</t>
  </si>
  <si>
    <t>B2:PDF(戻し分)</t>
  </si>
  <si>
    <t>B2:処理(連絡ｼｰﾄ分)</t>
  </si>
  <si>
    <t>B2:PDF(依頼分)</t>
  </si>
  <si>
    <t>B2:取消し</t>
  </si>
  <si>
    <t>B2:点検(連絡ｼｰﾄ分)</t>
  </si>
  <si>
    <t>B2:発送(社内便)</t>
  </si>
  <si>
    <t>B2:点検(ｽﾃｰﾀｽﾁｪｯｸ)</t>
  </si>
  <si>
    <t>★[C:口座不備業務]</t>
  </si>
  <si>
    <t>C:開封(ｶｳﾝﾄ･付箋貼り)</t>
  </si>
  <si>
    <t>C:一覧表作成(証番設定､ｴｸｽﾎﾟｰﾄ､ﾃﾞｰﾀ整理)</t>
  </si>
  <si>
    <t>C:抜取作業</t>
  </si>
  <si>
    <t>C:抜取後SRｸﾛｰｽﾞ</t>
  </si>
  <si>
    <t>C:最終収入確認</t>
  </si>
  <si>
    <t>C:ﾃﾞｰﾀ転送作業</t>
  </si>
  <si>
    <t>C:口振依頼書並び替え</t>
  </si>
  <si>
    <t>C:不備ﾚﾀｰ作成</t>
  </si>
  <si>
    <t>C:口振ﾏｽｷﾝｸﾞｺﾋﾟｰ</t>
  </si>
  <si>
    <t>C:ﾚﾀｰｾｯﾄ</t>
  </si>
  <si>
    <t>C:点検</t>
  </si>
  <si>
    <t>C:発送(お客様発送)</t>
  </si>
  <si>
    <t>C:発送(社内便)</t>
  </si>
  <si>
    <t>C:点検(ｽﾃｰﾀｽﾁｪｯｸ)</t>
  </si>
  <si>
    <t>C:不備添付資料事前準備</t>
  </si>
  <si>
    <t>★[D:更新中止業務]</t>
  </si>
  <si>
    <t>D:不備照会票作成</t>
  </si>
  <si>
    <t>D:処理</t>
  </si>
  <si>
    <t>D:点検</t>
  </si>
  <si>
    <t>D:発送(お客様発送)</t>
  </si>
  <si>
    <t>D:発送(社内便)</t>
  </si>
  <si>
    <t>★[E:解約業務]</t>
  </si>
  <si>
    <t>E:開封</t>
  </si>
  <si>
    <t>E:到着受付</t>
  </si>
  <si>
    <t>E.立川戻し</t>
  </si>
  <si>
    <t>E.不備依頼</t>
  </si>
  <si>
    <t>E.不備戻りｱｸｾｽ入力</t>
  </si>
  <si>
    <t>E:処理受付</t>
  </si>
  <si>
    <t>E:仕分け</t>
  </si>
  <si>
    <t>E:処理入力</t>
  </si>
  <si>
    <t>E:取消し</t>
  </si>
  <si>
    <t>E:処理点検</t>
  </si>
  <si>
    <t>E:発送(お客様発送)</t>
  </si>
  <si>
    <t>E:発送(社内便)</t>
  </si>
  <si>
    <t>E:不備作成</t>
  </si>
  <si>
    <t>E:不備点検</t>
  </si>
  <si>
    <t>E:PDF</t>
  </si>
  <si>
    <t>E:不備添付資料事前準備</t>
  </si>
  <si>
    <t>★[F:SRｸﾛｰｽﾞ業務]</t>
  </si>
  <si>
    <t>F:件数ｶｳﾝﾄ</t>
  </si>
  <si>
    <t>F:処理</t>
  </si>
  <si>
    <t>★[G:問合せ業務]</t>
  </si>
  <si>
    <t>G:問合せ受電</t>
  </si>
  <si>
    <t>G:問合せ架電</t>
  </si>
  <si>
    <t>★[H:ﾓﾆﾀﾘﾝｸﾞ業務]</t>
  </si>
  <si>
    <t>H:IVR業務</t>
  </si>
  <si>
    <t>H:住所変更業務(ｸｴﾘｰ分)</t>
  </si>
  <si>
    <t>H:住所変更業務(連絡ｼｰﾄ分)</t>
  </si>
  <si>
    <t>H:口座不備業務</t>
  </si>
  <si>
    <t>H:更新中止業務</t>
  </si>
  <si>
    <t>H:発送指示業務(解約･料金･保全)</t>
  </si>
  <si>
    <t>H:解約業務(処理)</t>
  </si>
  <si>
    <t>H:SRｸﾛｰｽﾞ処理業務(封筒件数照合)</t>
  </si>
  <si>
    <t>H:SRｸﾛｰｽﾞ処理業務</t>
  </si>
  <si>
    <t>H:口座変更業務</t>
  </si>
  <si>
    <t>★[I:口座変更業務]</t>
  </si>
  <si>
    <t>I:開封</t>
  </si>
  <si>
    <t>I:到着受付(金融機関CD記入･ｽﾀﾝﾌﾟ押印･ｽﾃｰﾀｽ変更)</t>
  </si>
  <si>
    <t>I:事前作業(ｺﾋﾟｰ･B/Kごとの仕分･ｶｳﾝﾄ)</t>
  </si>
  <si>
    <t>I:処理受付</t>
  </si>
  <si>
    <t>I:ｱﾀｯﾁ作業</t>
  </si>
  <si>
    <t>I:不備照会票作成(定型)</t>
  </si>
  <si>
    <t>I:不備照会票作成(自由)</t>
  </si>
  <si>
    <t>I:不備照会票点検</t>
  </si>
  <si>
    <t>I.返却･振込案内(依頼ｼｰﾄ作成･架電依頼)</t>
  </si>
  <si>
    <t>I:処理入力</t>
  </si>
  <si>
    <t>I:取消</t>
  </si>
  <si>
    <t>I:処理点検</t>
  </si>
  <si>
    <t>I.Wﾁｪｯｸ</t>
  </si>
  <si>
    <t>I.不備ﾚﾀｰ作成</t>
  </si>
  <si>
    <t>I:ﾚﾀｰ点検</t>
  </si>
  <si>
    <t>I:ﾚﾀｰｾｯﾄ</t>
  </si>
  <si>
    <t>I:発送(お客様発送)</t>
  </si>
  <si>
    <t>I:発送(社内便)</t>
  </si>
  <si>
    <t>I:ｵﾝﾗｲﾝ集計表入力(ｴｸｾﾙ)</t>
  </si>
  <si>
    <t>I:点検(ｽﾃｰﾀｽﾁｪｯｸ)</t>
  </si>
  <si>
    <t>I:PDF</t>
  </si>
  <si>
    <t>I:不備添付資料事前準備</t>
  </si>
  <si>
    <t>★[J:発送指示業務]</t>
  </si>
  <si>
    <t>J:解約</t>
  </si>
  <si>
    <t>J:料金</t>
  </si>
  <si>
    <t>J:保全</t>
  </si>
  <si>
    <t>J:点検(ｽﾃｰﾀｽﾁｪｯｸ)</t>
  </si>
  <si>
    <t>★[K:料金収納業務]</t>
  </si>
  <si>
    <t>K:1P収納(ﾂｰﾙ系)</t>
  </si>
  <si>
    <t>K:2P収納(ﾂｰﾙ系)</t>
  </si>
  <si>
    <t>★[L:名変業務(LN･指代･再発行含む)]</t>
  </si>
  <si>
    <t>L.開封</t>
  </si>
  <si>
    <t>L.到着受付</t>
  </si>
  <si>
    <t>L.処理受付</t>
  </si>
  <si>
    <t>L.改姓同時解約の処理受付</t>
  </si>
  <si>
    <t>L.立川戻し</t>
  </si>
  <si>
    <t>L.分室回付</t>
  </si>
  <si>
    <t>L.LPJ出力</t>
  </si>
  <si>
    <t>L.架電依頼</t>
  </si>
  <si>
    <t>L.架電結果確認</t>
  </si>
  <si>
    <t>L.不備依頼</t>
  </si>
  <si>
    <t>L.不備戻りｱｸｾｽ入力</t>
  </si>
  <si>
    <t>L.処理入力</t>
  </si>
  <si>
    <t>L.取消し</t>
  </si>
  <si>
    <t>L.処理点検</t>
  </si>
  <si>
    <t>L.割印</t>
  </si>
  <si>
    <t>L.発送(お客様発送)</t>
  </si>
  <si>
    <t>L.発送(社内便)</t>
  </si>
  <si>
    <t>L.格納準備</t>
  </si>
  <si>
    <t>L.不備作成</t>
  </si>
  <si>
    <t>L.不備点検</t>
  </si>
  <si>
    <t>L.PDF</t>
  </si>
  <si>
    <t>L.発送準備(折込･封入･封緘)</t>
  </si>
  <si>
    <t>L.添付資料準備</t>
  </si>
  <si>
    <t>[Y:]</t>
  </si>
  <si>
    <t>日直</t>
  </si>
  <si>
    <t>対応票</t>
  </si>
  <si>
    <t>確認(ﾒﾝﾊﾞｰ･上長)</t>
  </si>
  <si>
    <t>ﾓﾆﾀﾘﾝｸﾞ</t>
  </si>
  <si>
    <t>業務整理</t>
  </si>
  <si>
    <t>研修</t>
  </si>
  <si>
    <t>会議</t>
  </si>
  <si>
    <t>ｺｰﾙｾﾝﾀｰ会議</t>
  </si>
  <si>
    <t>件数表入力･管理簿作成</t>
  </si>
  <si>
    <t>Y:その他</t>
  </si>
  <si>
    <t>[Z:]</t>
  </si>
  <si>
    <t>Z:その他</t>
  </si>
  <si>
    <t>[他:]</t>
  </si>
  <si>
    <t>[Y:]合計</t>
  </si>
  <si>
    <t>[Z:]合計</t>
  </si>
  <si>
    <t>[他:]合計</t>
  </si>
  <si>
    <t>ss</t>
  </si>
  <si>
    <t>内村由美子</t>
  </si>
  <si>
    <t>柳瀬　仁美</t>
  </si>
  <si>
    <t>柴田　香織</t>
  </si>
  <si>
    <t>柾木　美智子</t>
  </si>
  <si>
    <t>橋本　友芽子</t>
  </si>
  <si>
    <t>武居　晶子</t>
  </si>
  <si>
    <t>津上　早紀</t>
  </si>
  <si>
    <t>窪田ゆうき</t>
  </si>
  <si>
    <t>藤崎　美和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</si>
</sst>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yyyy&quot;年&quot;m&quot;月&quot;;@"/>
    <numFmt numFmtId="177" formatCode="d&quot;日&quot;"/>
    <numFmt numFmtId="178" formatCode="General&quot; 日&quot;"/>
    <numFmt numFmtId="179" formatCode="#,##0&quot;分&quot;"/>
    <numFmt numFmtId="180" formatCode="General&quot; 人&quot;"/>
    <numFmt numFmtId="181" formatCode="h:mm;@"/>
    <numFmt numFmtId="182" formatCode="General\ &quot;件&quot;"/>
    <numFmt numFmtId="183" formatCode="General\ &quot;分&quot;"/>
    <numFmt numFmtId="184" formatCode="h:mm:ss;@"/>
    <numFmt numFmtId="185" formatCode="[mm]&quot;分&quot;"/>
    <numFmt numFmtId="186" formatCode="m/d;@"/>
  </numFmts>
  <fonts count="2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2"/>
      <color rgb="FF0070C0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b/>
      <sz val="9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indexed="9"/>
      <name val="ＭＳ Ｐゴシック"/>
      <family val="2"/>
      <charset val="128"/>
      <scheme val="minor"/>
    </font>
    <font>
      <sz val="10"/>
      <color indexed="9"/>
      <name val="ＭＳ Ｐゴシック"/>
      <family val="3"/>
      <charset val="128"/>
      <scheme val="minor"/>
    </font>
    <font>
      <sz val="9"/>
      <name val="ＭＳ Ｐゴシック"/>
      <family val="2"/>
      <charset val="128"/>
    </font>
    <font>
      <b/>
      <sz val="9"/>
      <name val="ＭＳ Ｐゴシック"/>
      <family val="2"/>
      <charset val="128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2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A6A6A6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0" fontId="2" fillId="0" borderId="0"/>
    <xf numFmtId="0" fontId="2" fillId="0" borderId="0"/>
  </cellStyleXfs>
  <cellXfs count="149"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178" fontId="6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0" borderId="0" xfId="1" applyFont="1"/>
    <xf numFmtId="0" fontId="4" fillId="0" borderId="0" xfId="1" applyFont="1" applyAlignment="1"/>
    <xf numFmtId="0" fontId="10" fillId="0" borderId="8" xfId="1" applyFont="1" applyBorder="1" applyAlignment="1">
      <alignment horizontal="center"/>
    </xf>
    <xf numFmtId="0" fontId="10" fillId="0" borderId="1" xfId="1" applyFont="1" applyBorder="1"/>
    <xf numFmtId="0" fontId="10" fillId="0" borderId="6" xfId="1" applyFont="1" applyBorder="1" applyAlignment="1">
      <alignment horizontal="center"/>
    </xf>
    <xf numFmtId="0" fontId="10" fillId="0" borderId="9" xfId="1" applyFont="1" applyBorder="1"/>
    <xf numFmtId="178" fontId="10" fillId="0" borderId="7" xfId="1" applyNumberFormat="1" applyFont="1" applyBorder="1" applyAlignment="1">
      <alignment horizontal="center"/>
    </xf>
    <xf numFmtId="180" fontId="10" fillId="0" borderId="8" xfId="1" applyNumberFormat="1" applyFont="1" applyBorder="1" applyAlignment="1">
      <alignment horizontal="center"/>
    </xf>
    <xf numFmtId="0" fontId="10" fillId="0" borderId="3" xfId="1" applyFont="1" applyBorder="1" applyAlignment="1">
      <alignment horizontal="center"/>
    </xf>
    <xf numFmtId="181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0" xfId="0" applyNumberFormat="1" applyFill="1" applyBorder="1">
      <alignment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177" fontId="6" fillId="0" borderId="15" xfId="0" applyNumberFormat="1" applyFont="1" applyFill="1" applyBorder="1" applyAlignment="1">
      <alignment horizontal="center" vertical="center"/>
    </xf>
    <xf numFmtId="177" fontId="6" fillId="0" borderId="13" xfId="0" applyNumberFormat="1" applyFont="1" applyFill="1" applyBorder="1" applyAlignment="1">
      <alignment horizontal="center" vertical="center"/>
    </xf>
    <xf numFmtId="177" fontId="6" fillId="0" borderId="4" xfId="0" applyNumberFormat="1" applyFont="1" applyFill="1" applyBorder="1" applyAlignment="1">
      <alignment horizontal="center" vertical="center"/>
    </xf>
    <xf numFmtId="0" fontId="10" fillId="0" borderId="28" xfId="1" applyFont="1" applyBorder="1"/>
    <xf numFmtId="0" fontId="10" fillId="0" borderId="27" xfId="1" applyFont="1" applyBorder="1"/>
    <xf numFmtId="0" fontId="4" fillId="0" borderId="27" xfId="1" applyNumberFormat="1" applyFont="1" applyBorder="1"/>
    <xf numFmtId="0" fontId="4" fillId="0" borderId="29" xfId="1" applyNumberFormat="1" applyFont="1" applyBorder="1"/>
    <xf numFmtId="0" fontId="4" fillId="0" borderId="30" xfId="1" applyNumberFormat="1" applyFont="1" applyBorder="1"/>
    <xf numFmtId="0" fontId="4" fillId="0" borderId="31" xfId="1" applyNumberFormat="1" applyFont="1" applyBorder="1"/>
    <xf numFmtId="0" fontId="10" fillId="0" borderId="32" xfId="1" applyFont="1" applyBorder="1" applyAlignment="1">
      <alignment horizontal="center"/>
    </xf>
    <xf numFmtId="184" fontId="0" fillId="0" borderId="0" xfId="0" applyNumberFormat="1">
      <alignment vertical="center"/>
    </xf>
    <xf numFmtId="20" fontId="4" fillId="0" borderId="0" xfId="0" applyNumberFormat="1" applyFont="1" applyBorder="1" applyAlignment="1" applyProtection="1">
      <alignment vertical="center"/>
      <protection locked="0"/>
    </xf>
    <xf numFmtId="0" fontId="0" fillId="0" borderId="0" xfId="0" applyNumberFormat="1">
      <alignment vertical="center"/>
    </xf>
    <xf numFmtId="0" fontId="13" fillId="5" borderId="33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>
      <alignment vertical="center" wrapText="1"/>
    </xf>
    <xf numFmtId="0" fontId="0" fillId="8" borderId="34" xfId="0" applyFill="1" applyBorder="1" applyAlignment="1">
      <alignment horizontal="center" vertical="center"/>
    </xf>
    <xf numFmtId="182" fontId="11" fillId="7" borderId="34" xfId="0" applyNumberFormat="1" applyFont="1" applyFill="1" applyBorder="1" applyAlignment="1">
      <alignment horizontal="center" vertical="center"/>
    </xf>
    <xf numFmtId="183" fontId="11" fillId="8" borderId="34" xfId="0" applyNumberFormat="1" applyFont="1" applyFill="1" applyBorder="1" applyAlignment="1">
      <alignment horizontal="center" vertical="center"/>
    </xf>
    <xf numFmtId="182" fontId="11" fillId="9" borderId="34" xfId="0" applyNumberFormat="1" applyFont="1" applyFill="1" applyBorder="1" applyAlignment="1">
      <alignment horizontal="center" vertical="center"/>
    </xf>
    <xf numFmtId="183" fontId="11" fillId="9" borderId="34" xfId="0" applyNumberFormat="1" applyFont="1" applyFill="1" applyBorder="1" applyAlignment="1">
      <alignment horizontal="center" vertical="center"/>
    </xf>
    <xf numFmtId="0" fontId="4" fillId="0" borderId="0" xfId="1" applyFont="1" applyFill="1"/>
    <xf numFmtId="0" fontId="16" fillId="0" borderId="34" xfId="0" applyFont="1" applyBorder="1" applyAlignment="1">
      <alignment horizontal="left" vertical="center" indent="1"/>
    </xf>
    <xf numFmtId="0" fontId="17" fillId="5" borderId="34" xfId="0" applyFont="1" applyFill="1" applyBorder="1">
      <alignment vertical="center"/>
    </xf>
    <xf numFmtId="183" fontId="17" fillId="5" borderId="34" xfId="0" applyNumberFormat="1" applyFont="1" applyFill="1" applyBorder="1">
      <alignment vertical="center"/>
    </xf>
    <xf numFmtId="182" fontId="17" fillId="5" borderId="34" xfId="0" applyNumberFormat="1" applyFont="1" applyFill="1" applyBorder="1">
      <alignment vertical="center"/>
    </xf>
    <xf numFmtId="183" fontId="16" fillId="0" borderId="34" xfId="0" applyNumberFormat="1" applyFont="1" applyBorder="1">
      <alignment vertical="center"/>
    </xf>
    <xf numFmtId="182" fontId="16" fillId="0" borderId="34" xfId="0" applyNumberFormat="1" applyFont="1" applyBorder="1">
      <alignment vertical="center"/>
    </xf>
    <xf numFmtId="0" fontId="4" fillId="0" borderId="0" xfId="1" applyFont="1" applyBorder="1" applyAlignment="1">
      <alignment horizontal="center"/>
    </xf>
    <xf numFmtId="0" fontId="14" fillId="0" borderId="0" xfId="1" applyFont="1" applyFill="1" applyBorder="1" applyAlignment="1">
      <alignment horizontal="center"/>
    </xf>
    <xf numFmtId="0" fontId="4" fillId="0" borderId="0" xfId="1" applyFont="1" applyBorder="1"/>
    <xf numFmtId="0" fontId="15" fillId="0" borderId="37" xfId="1" applyFont="1" applyBorder="1" applyAlignment="1">
      <alignment horizontal="center"/>
    </xf>
    <xf numFmtId="0" fontId="10" fillId="5" borderId="37" xfId="1" applyFont="1" applyFill="1" applyBorder="1" applyAlignment="1">
      <alignment horizontal="center"/>
    </xf>
    <xf numFmtId="0" fontId="10" fillId="10" borderId="37" xfId="1" applyFont="1" applyFill="1" applyBorder="1" applyAlignment="1">
      <alignment horizontal="center"/>
    </xf>
    <xf numFmtId="0" fontId="10" fillId="6" borderId="37" xfId="1" applyFont="1" applyFill="1" applyBorder="1" applyAlignment="1">
      <alignment horizontal="center"/>
    </xf>
    <xf numFmtId="0" fontId="10" fillId="3" borderId="37" xfId="1" applyFont="1" applyFill="1" applyBorder="1" applyAlignment="1">
      <alignment horizontal="center"/>
    </xf>
    <xf numFmtId="0" fontId="10" fillId="4" borderId="37" xfId="1" applyFont="1" applyFill="1" applyBorder="1"/>
    <xf numFmtId="0" fontId="15" fillId="0" borderId="38" xfId="1" applyFont="1" applyBorder="1" applyAlignment="1">
      <alignment horizontal="center"/>
    </xf>
    <xf numFmtId="0" fontId="10" fillId="11" borderId="34" xfId="1" applyFont="1" applyFill="1" applyBorder="1" applyAlignment="1" applyProtection="1">
      <alignment horizontal="center" vertical="center" wrapText="1"/>
    </xf>
    <xf numFmtId="20" fontId="4" fillId="11" borderId="34" xfId="1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22" xfId="0" applyFont="1" applyFill="1" applyBorder="1" applyAlignment="1">
      <alignment horizontal="center" vertical="center"/>
    </xf>
    <xf numFmtId="182" fontId="6" fillId="13" borderId="39" xfId="0" applyNumberFormat="1" applyFont="1" applyFill="1" applyBorder="1">
      <alignment vertical="center"/>
    </xf>
    <xf numFmtId="185" fontId="6" fillId="14" borderId="40" xfId="0" applyNumberFormat="1" applyFont="1" applyFill="1" applyBorder="1">
      <alignment vertical="center"/>
    </xf>
    <xf numFmtId="182" fontId="6" fillId="13" borderId="15" xfId="0" applyNumberFormat="1" applyFont="1" applyFill="1" applyBorder="1">
      <alignment vertical="center"/>
    </xf>
    <xf numFmtId="185" fontId="6" fillId="14" borderId="41" xfId="0" applyNumberFormat="1" applyFont="1" applyFill="1" applyBorder="1">
      <alignment vertical="center"/>
    </xf>
    <xf numFmtId="185" fontId="6" fillId="14" borderId="42" xfId="0" applyNumberFormat="1" applyFont="1" applyFill="1" applyBorder="1">
      <alignment vertical="center"/>
    </xf>
    <xf numFmtId="0" fontId="13" fillId="12" borderId="33" xfId="0" applyFont="1" applyFill="1" applyBorder="1" applyAlignment="1">
      <alignment horizontal="center" vertical="center"/>
    </xf>
    <xf numFmtId="0" fontId="12" fillId="12" borderId="33" xfId="0" applyFont="1" applyFill="1" applyBorder="1" applyAlignment="1">
      <alignment horizontal="center" vertical="center" wrapText="1"/>
    </xf>
    <xf numFmtId="182" fontId="11" fillId="15" borderId="34" xfId="0" applyNumberFormat="1" applyFont="1" applyFill="1" applyBorder="1" applyAlignment="1">
      <alignment horizontal="center" vertical="center"/>
    </xf>
    <xf numFmtId="183" fontId="11" fillId="16" borderId="34" xfId="0" applyNumberFormat="1" applyFont="1" applyFill="1" applyBorder="1" applyAlignment="1">
      <alignment horizontal="center" vertical="center"/>
    </xf>
    <xf numFmtId="183" fontId="4" fillId="0" borderId="1" xfId="1" applyNumberFormat="1" applyFont="1" applyBorder="1"/>
    <xf numFmtId="183" fontId="4" fillId="0" borderId="2" xfId="1" applyNumberFormat="1" applyFont="1" applyBorder="1"/>
    <xf numFmtId="182" fontId="11" fillId="18" borderId="34" xfId="0" applyNumberFormat="1" applyFont="1" applyFill="1" applyBorder="1" applyAlignment="1">
      <alignment horizontal="center" vertical="center"/>
    </xf>
    <xf numFmtId="183" fontId="11" fillId="18" borderId="34" xfId="0" applyNumberFormat="1" applyFont="1" applyFill="1" applyBorder="1" applyAlignment="1">
      <alignment horizontal="center" vertical="center"/>
    </xf>
    <xf numFmtId="0" fontId="12" fillId="19" borderId="33" xfId="0" applyFont="1" applyFill="1" applyBorder="1" applyAlignment="1">
      <alignment horizontal="center" vertical="center" wrapText="1"/>
    </xf>
    <xf numFmtId="0" fontId="16" fillId="20" borderId="34" xfId="0" applyFont="1" applyFill="1" applyBorder="1">
      <alignment vertical="center"/>
    </xf>
    <xf numFmtId="183" fontId="16" fillId="20" borderId="34" xfId="0" applyNumberFormat="1" applyFont="1" applyFill="1" applyBorder="1">
      <alignment vertical="center"/>
    </xf>
    <xf numFmtId="182" fontId="16" fillId="20" borderId="34" xfId="0" applyNumberFormat="1" applyFont="1" applyFill="1" applyBorder="1">
      <alignment vertical="center"/>
    </xf>
    <xf numFmtId="183" fontId="4" fillId="0" borderId="27" xfId="1" applyNumberFormat="1" applyFont="1" applyBorder="1"/>
    <xf numFmtId="0" fontId="5" fillId="2" borderId="1" xfId="0" applyNumberFormat="1" applyFont="1" applyFill="1" applyBorder="1" applyAlignment="1">
      <alignment horizontal="center" vertical="center"/>
    </xf>
    <xf numFmtId="21" fontId="0" fillId="0" borderId="0" xfId="0" applyNumberFormat="1" applyAlignment="1"/>
    <xf numFmtId="21" fontId="0" fillId="0" borderId="0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Alignment="1"/>
    <xf numFmtId="21" fontId="0" fillId="0" borderId="0" xfId="0" applyNumberFormat="1">
      <alignment vertical="center"/>
    </xf>
    <xf numFmtId="186" fontId="0" fillId="0" borderId="9" xfId="0" applyNumberFormat="1" applyFill="1" applyBorder="1" applyAlignment="1">
      <alignment horizontal="center" vertical="center"/>
    </xf>
    <xf numFmtId="186" fontId="0" fillId="0" borderId="7" xfId="0" applyNumberFormat="1" applyFill="1" applyBorder="1" applyAlignment="1">
      <alignment horizontal="center" vertical="center"/>
    </xf>
    <xf numFmtId="0" fontId="0" fillId="22" borderId="50" xfId="0" applyFill="1" applyBorder="1">
      <alignment vertical="center"/>
    </xf>
    <xf numFmtId="0" fontId="0" fillId="22" borderId="51" xfId="0" applyFill="1" applyBorder="1">
      <alignment vertical="center"/>
    </xf>
    <xf numFmtId="0" fontId="0" fillId="21" borderId="43" xfId="0" applyFill="1" applyBorder="1">
      <alignment vertical="center"/>
    </xf>
    <xf numFmtId="0" fontId="0" fillId="21" borderId="45" xfId="0" applyFill="1" applyBorder="1">
      <alignment vertical="center"/>
    </xf>
    <xf numFmtId="0" fontId="0" fillId="0" borderId="49" xfId="0" applyFill="1" applyBorder="1">
      <alignment vertical="center"/>
    </xf>
    <xf numFmtId="0" fontId="0" fillId="0" borderId="44" xfId="0" applyFill="1" applyBorder="1">
      <alignment vertical="center"/>
    </xf>
    <xf numFmtId="0" fontId="0" fillId="0" borderId="46" xfId="0" applyFill="1" applyBorder="1">
      <alignment vertical="center"/>
    </xf>
    <xf numFmtId="0" fontId="0" fillId="21" borderId="47" xfId="0" applyFill="1" applyBorder="1">
      <alignment vertical="center"/>
    </xf>
    <xf numFmtId="0" fontId="0" fillId="21" borderId="48" xfId="0" applyFill="1" applyBorder="1">
      <alignment vertical="center"/>
    </xf>
    <xf numFmtId="0" fontId="19" fillId="0" borderId="0" xfId="0" applyFont="1">
      <alignment vertical="center"/>
    </xf>
    <xf numFmtId="0" fontId="0" fillId="0" borderId="6" xfId="0" applyFill="1" applyBorder="1">
      <alignment vertical="center"/>
    </xf>
    <xf numFmtId="186" fontId="0" fillId="23" borderId="9" xfId="0" applyNumberFormat="1" applyFill="1" applyBorder="1" applyAlignment="1">
      <alignment horizontal="center" vertical="center"/>
    </xf>
    <xf numFmtId="186" fontId="0" fillId="24" borderId="9" xfId="0" applyNumberFormat="1" applyFill="1" applyBorder="1" applyAlignment="1">
      <alignment horizontal="center" vertical="center"/>
    </xf>
    <xf numFmtId="21" fontId="5" fillId="2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Border="1" applyAlignment="1" applyProtection="1">
      <alignment vertical="center"/>
      <protection locked="0"/>
    </xf>
    <xf numFmtId="0" fontId="17" fillId="25" borderId="34" xfId="0" applyFont="1" applyFill="1" applyBorder="1">
      <alignment vertical="center"/>
    </xf>
    <xf numFmtId="183" fontId="17" fillId="25" borderId="34" xfId="0" applyNumberFormat="1" applyFont="1" applyFill="1" applyBorder="1">
      <alignment vertical="center"/>
    </xf>
    <xf numFmtId="182" fontId="17" fillId="25" borderId="34" xfId="0" applyNumberFormat="1" applyFont="1" applyFill="1" applyBorder="1">
      <alignment vertical="center"/>
    </xf>
    <xf numFmtId="0" fontId="17" fillId="3" borderId="34" xfId="0" applyFont="1" applyFill="1" applyBorder="1">
      <alignment vertical="center"/>
    </xf>
    <xf numFmtId="183" fontId="17" fillId="3" borderId="34" xfId="0" applyNumberFormat="1" applyFont="1" applyFill="1" applyBorder="1">
      <alignment vertical="center"/>
    </xf>
    <xf numFmtId="182" fontId="17" fillId="3" borderId="34" xfId="0" applyNumberFormat="1" applyFont="1" applyFill="1" applyBorder="1">
      <alignment vertical="center"/>
    </xf>
    <xf numFmtId="0" fontId="17" fillId="4" borderId="34" xfId="0" applyFont="1" applyFill="1" applyBorder="1">
      <alignment vertical="center"/>
    </xf>
    <xf numFmtId="183" fontId="17" fillId="4" borderId="34" xfId="0" applyNumberFormat="1" applyFont="1" applyFill="1" applyBorder="1">
      <alignment vertical="center"/>
    </xf>
    <xf numFmtId="182" fontId="17" fillId="4" borderId="34" xfId="0" applyNumberFormat="1" applyFont="1" applyFill="1" applyBorder="1">
      <alignment vertical="center"/>
    </xf>
    <xf numFmtId="0" fontId="12" fillId="12" borderId="33" xfId="0" applyFont="1" applyFill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7" xfId="0" applyNumberFormat="1" applyFont="1" applyBorder="1" applyAlignment="1">
      <alignment horizontal="center" vertical="center"/>
    </xf>
    <xf numFmtId="0" fontId="6" fillId="0" borderId="12" xfId="0" applyNumberFormat="1" applyFont="1" applyBorder="1" applyAlignment="1">
      <alignment horizontal="center" vertical="center"/>
    </xf>
    <xf numFmtId="0" fontId="6" fillId="17" borderId="23" xfId="0" applyFont="1" applyFill="1" applyBorder="1" applyAlignment="1">
      <alignment horizontal="center" vertical="center" wrapText="1"/>
    </xf>
    <xf numFmtId="0" fontId="6" fillId="17" borderId="24" xfId="0" applyFont="1" applyFill="1" applyBorder="1" applyAlignment="1">
      <alignment horizontal="center" vertical="center" wrapText="1"/>
    </xf>
    <xf numFmtId="0" fontId="6" fillId="17" borderId="25" xfId="0" applyFont="1" applyFill="1" applyBorder="1" applyAlignment="1">
      <alignment horizontal="center" vertical="center" wrapText="1"/>
    </xf>
    <xf numFmtId="0" fontId="6" fillId="17" borderId="26" xfId="0" applyFont="1" applyFill="1" applyBorder="1" applyAlignment="1">
      <alignment horizontal="center" vertical="center" wrapText="1"/>
    </xf>
    <xf numFmtId="0" fontId="6" fillId="0" borderId="16" xfId="0" applyNumberFormat="1" applyFont="1" applyBorder="1" applyAlignment="1">
      <alignment horizontal="center" vertical="center"/>
    </xf>
    <xf numFmtId="176" fontId="8" fillId="3" borderId="0" xfId="0" applyNumberFormat="1" applyFont="1" applyFill="1" applyAlignment="1">
      <alignment horizontal="left" vertical="center"/>
    </xf>
    <xf numFmtId="0" fontId="7" fillId="12" borderId="20" xfId="0" applyFont="1" applyFill="1" applyBorder="1" applyAlignment="1">
      <alignment horizontal="center" vertical="center"/>
    </xf>
    <xf numFmtId="0" fontId="7" fillId="12" borderId="21" xfId="0" applyFont="1" applyFill="1" applyBorder="1" applyAlignment="1">
      <alignment horizontal="center" vertical="center"/>
    </xf>
    <xf numFmtId="0" fontId="6" fillId="0" borderId="18" xfId="0" applyNumberFormat="1" applyFont="1" applyBorder="1" applyAlignment="1">
      <alignment horizontal="center" vertical="center"/>
    </xf>
    <xf numFmtId="0" fontId="6" fillId="0" borderId="19" xfId="0" applyNumberFormat="1" applyFont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6" fillId="9" borderId="23" xfId="0" applyFont="1" applyFill="1" applyBorder="1" applyAlignment="1">
      <alignment horizontal="center" vertical="center" wrapText="1"/>
    </xf>
    <xf numFmtId="0" fontId="6" fillId="9" borderId="24" xfId="0" applyFont="1" applyFill="1" applyBorder="1" applyAlignment="1">
      <alignment horizontal="center" vertical="center" wrapText="1"/>
    </xf>
    <xf numFmtId="0" fontId="6" fillId="9" borderId="25" xfId="0" applyFont="1" applyFill="1" applyBorder="1" applyAlignment="1">
      <alignment horizontal="center" vertical="center" wrapText="1"/>
    </xf>
    <xf numFmtId="0" fontId="6" fillId="9" borderId="26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6" fillId="0" borderId="10" xfId="0" applyNumberFormat="1" applyFont="1" applyBorder="1" applyAlignment="1">
      <alignment horizontal="center" vertical="center"/>
    </xf>
    <xf numFmtId="0" fontId="17" fillId="4" borderId="34" xfId="0" applyFont="1" applyFill="1" applyBorder="1" applyAlignment="1">
      <alignment vertical="center"/>
    </xf>
    <xf numFmtId="0" fontId="16" fillId="0" borderId="34" xfId="0" applyFont="1" applyBorder="1" applyAlignment="1">
      <alignment vertical="center"/>
    </xf>
    <xf numFmtId="0" fontId="17" fillId="5" borderId="34" xfId="0" applyFont="1" applyFill="1" applyBorder="1" applyAlignment="1">
      <alignment vertical="center"/>
    </xf>
    <xf numFmtId="176" fontId="18" fillId="4" borderId="27" xfId="1" applyNumberFormat="1" applyFont="1" applyFill="1" applyBorder="1" applyAlignment="1">
      <alignment horizontal="center" vertical="center"/>
    </xf>
    <xf numFmtId="176" fontId="18" fillId="4" borderId="35" xfId="1" applyNumberFormat="1" applyFont="1" applyFill="1" applyBorder="1" applyAlignment="1">
      <alignment horizontal="center" vertical="center"/>
    </xf>
    <xf numFmtId="176" fontId="18" fillId="4" borderId="36" xfId="1" applyNumberFormat="1" applyFont="1" applyFill="1" applyBorder="1" applyAlignment="1">
      <alignment horizontal="center" vertical="center"/>
    </xf>
    <xf numFmtId="0" fontId="17" fillId="3" borderId="34" xfId="0" applyFont="1" applyFill="1" applyBorder="1" applyAlignment="1">
      <alignment vertical="center"/>
    </xf>
    <xf numFmtId="0" fontId="17" fillId="25" borderId="34" xfId="0" applyFont="1" applyFill="1" applyBorder="1" applyAlignment="1">
      <alignment vertical="center"/>
    </xf>
    <xf numFmtId="182" fontId="16" fillId="26" borderId="34" xfId="0" applyNumberFormat="1" applyFont="1" applyFill="1" applyBorder="1">
      <alignment vertical="center"/>
    </xf>
  </cellXfs>
  <cellStyles count="4">
    <cellStyle name="標準" xfId="0" builtinId="0"/>
    <cellStyle name="標準 2" xfId="1"/>
    <cellStyle name="標準 2 2" xfId="2"/>
    <cellStyle name="標準 3" xfId="3"/>
  </cellStyles>
  <dxfs count="0"/>
  <tableStyles count="0" defaultTableStyle="TableStyleMedium2" defaultPivotStyle="PivotStyleLight16"/>
  <colors>
    <mruColors>
      <color rgb="FFCCFFCC"/>
      <color rgb="FFFFFFCC"/>
      <color rgb="FF99CCFF"/>
      <color rgb="FFFFCCFF"/>
      <color rgb="FF99FF99"/>
      <color rgb="FFFFFF99"/>
      <color rgb="FF33CCCC"/>
      <color rgb="FF66CCFF"/>
      <color rgb="FF0080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301125</xdr:colOff>
      <xdr:row>0</xdr:row>
      <xdr:rowOff>269625</xdr:rowOff>
    </xdr:from>
    <xdr:to>
      <xdr:col>11</xdr:col>
      <xdr:colOff>381000</xdr:colOff>
      <xdr:row>4</xdr:row>
      <xdr:rowOff>0</xdr:rowOff>
    </xdr:to>
    <xdr:sp macro="[0]!getCSV" textlink="">
      <xdr:nvSpPr>
        <xdr:cNvPr id="2" name="角丸四角形 1"/>
        <xdr:cNvSpPr/>
      </xdr:nvSpPr>
      <xdr:spPr>
        <a:xfrm>
          <a:off x="8121150" y="269625"/>
          <a:ext cx="1080000" cy="540000"/>
        </a:xfrm>
        <a:prstGeom prst="roundRect">
          <a:avLst/>
        </a:prstGeom>
        <a:solidFill>
          <a:srgbClr val="00B0F0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取り込み</a:t>
          </a:r>
        </a:p>
      </xdr:txBody>
    </xdr:sp>
    <xdr:clientData/>
  </xdr:twoCellAnchor>
  <xdr:twoCellAnchor>
    <xdr:from>
      <xdr:col>12</xdr:col>
      <xdr:colOff>28575</xdr:colOff>
      <xdr:row>0</xdr:row>
      <xdr:rowOff>95250</xdr:rowOff>
    </xdr:from>
    <xdr:to>
      <xdr:col>15</xdr:col>
      <xdr:colOff>180975</xdr:colOff>
      <xdr:row>5</xdr:row>
      <xdr:rowOff>9525</xdr:rowOff>
    </xdr:to>
    <xdr:sp macro="" textlink="">
      <xdr:nvSpPr>
        <xdr:cNvPr id="3" name="テキスト ボックス 2"/>
        <xdr:cNvSpPr txBox="1"/>
      </xdr:nvSpPr>
      <xdr:spPr>
        <a:xfrm>
          <a:off x="10191750" y="95250"/>
          <a:ext cx="2209800" cy="89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00">
              <a:solidFill>
                <a:srgbClr val="FF0000"/>
              </a:solidFill>
            </a:rPr>
            <a:t>←過去データへ追記します。</a:t>
          </a:r>
          <a:endParaRPr kumimoji="1" lang="en-US" altLang="ja-JP" sz="1000">
            <a:solidFill>
              <a:srgbClr val="FF0000"/>
            </a:solidFill>
          </a:endParaRPr>
        </a:p>
        <a:p>
          <a:r>
            <a:rPr kumimoji="1" lang="ja-JP" altLang="en-US" sz="1000">
              <a:solidFill>
                <a:srgbClr val="FF0000"/>
              </a:solidFill>
            </a:rPr>
            <a:t>データを消去し、新規に追加したい場合は</a:t>
          </a:r>
          <a:endParaRPr kumimoji="1" lang="en-US" altLang="ja-JP" sz="1000">
            <a:solidFill>
              <a:srgbClr val="FF0000"/>
            </a:solidFill>
          </a:endParaRPr>
        </a:p>
        <a:p>
          <a:r>
            <a:rPr kumimoji="1" lang="ja-JP" altLang="en-US" sz="1000">
              <a:solidFill>
                <a:srgbClr val="FF0000"/>
              </a:solidFill>
            </a:rPr>
            <a:t>「消去」ボタンにてデータを消去してください。</a:t>
          </a:r>
        </a:p>
      </xdr:txBody>
    </xdr:sp>
    <xdr:clientData/>
  </xdr:twoCellAnchor>
  <xdr:twoCellAnchor>
    <xdr:from>
      <xdr:col>10</xdr:col>
      <xdr:colOff>0</xdr:colOff>
      <xdr:row>4</xdr:row>
      <xdr:rowOff>145800</xdr:rowOff>
    </xdr:from>
    <xdr:to>
      <xdr:col>11</xdr:col>
      <xdr:colOff>394200</xdr:colOff>
      <xdr:row>8</xdr:row>
      <xdr:rowOff>0</xdr:rowOff>
    </xdr:to>
    <xdr:sp macro="[0]!clearDataSheet" textlink="">
      <xdr:nvSpPr>
        <xdr:cNvPr id="4" name="角丸四角形 3"/>
        <xdr:cNvSpPr/>
      </xdr:nvSpPr>
      <xdr:spPr>
        <a:xfrm>
          <a:off x="8134350" y="955425"/>
          <a:ext cx="1080000" cy="540000"/>
        </a:xfrm>
        <a:prstGeom prst="roundRect">
          <a:avLst>
            <a:gd name="adj" fmla="val 20195"/>
          </a:avLst>
        </a:prstGeom>
        <a:solidFill>
          <a:srgbClr val="FFC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集約データ</a:t>
          </a:r>
          <a:endParaRPr kumimoji="1" lang="en-US" altLang="ja-JP" sz="1100" b="1"/>
        </a:p>
        <a:p>
          <a:pPr algn="ctr"/>
          <a:r>
            <a:rPr kumimoji="1" lang="ja-JP" altLang="en-US" sz="1100" b="1"/>
            <a:t>消 去</a:t>
          </a:r>
        </a:p>
      </xdr:txBody>
    </xdr:sp>
    <xdr:clientData/>
  </xdr:twoCellAnchor>
  <xdr:twoCellAnchor>
    <xdr:from>
      <xdr:col>10</xdr:col>
      <xdr:colOff>0</xdr:colOff>
      <xdr:row>8</xdr:row>
      <xdr:rowOff>145800</xdr:rowOff>
    </xdr:from>
    <xdr:to>
      <xdr:col>11</xdr:col>
      <xdr:colOff>394200</xdr:colOff>
      <xdr:row>12</xdr:row>
      <xdr:rowOff>0</xdr:rowOff>
    </xdr:to>
    <xdr:sp macro="[0]!callForm" textlink="">
      <xdr:nvSpPr>
        <xdr:cNvPr id="5" name="角丸四角形 4"/>
        <xdr:cNvSpPr/>
      </xdr:nvSpPr>
      <xdr:spPr>
        <a:xfrm>
          <a:off x="8134350" y="1641225"/>
          <a:ext cx="1080000" cy="540000"/>
        </a:xfrm>
        <a:prstGeom prst="roundRect">
          <a:avLst/>
        </a:prstGeom>
        <a:solidFill>
          <a:srgbClr val="00B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期間指定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11</xdr:col>
      <xdr:colOff>394200</xdr:colOff>
      <xdr:row>20</xdr:row>
      <xdr:rowOff>25650</xdr:rowOff>
    </xdr:to>
    <xdr:sp macro="[0]!deleteMemberSheet" textlink="">
      <xdr:nvSpPr>
        <xdr:cNvPr id="6" name="角丸四角形 5"/>
        <xdr:cNvSpPr/>
      </xdr:nvSpPr>
      <xdr:spPr>
        <a:xfrm>
          <a:off x="8134350" y="3038475"/>
          <a:ext cx="1080000" cy="540000"/>
        </a:xfrm>
        <a:prstGeom prst="roundRect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個別シート</a:t>
          </a:r>
          <a:endParaRPr kumimoji="1" lang="en-US" altLang="ja-JP" sz="1100" b="1"/>
        </a:p>
        <a:p>
          <a:pPr algn="ctr"/>
          <a:r>
            <a:rPr kumimoji="1" lang="ja-JP" altLang="en-US" sz="1100" b="1"/>
            <a:t>消 去</a:t>
          </a:r>
        </a:p>
      </xdr:txBody>
    </xdr:sp>
    <xdr:clientData/>
  </xdr:twoCellAnchor>
  <xdr:twoCellAnchor>
    <xdr:from>
      <xdr:col>10</xdr:col>
      <xdr:colOff>0</xdr:colOff>
      <xdr:row>12</xdr:row>
      <xdr:rowOff>145800</xdr:rowOff>
    </xdr:from>
    <xdr:to>
      <xdr:col>11</xdr:col>
      <xdr:colOff>394200</xdr:colOff>
      <xdr:row>16</xdr:row>
      <xdr:rowOff>0</xdr:rowOff>
    </xdr:to>
    <xdr:sp macro="[0]!callgraphModule" textlink="">
      <xdr:nvSpPr>
        <xdr:cNvPr id="7" name="角丸四角形 6"/>
        <xdr:cNvSpPr/>
      </xdr:nvSpPr>
      <xdr:spPr>
        <a:xfrm>
          <a:off x="8134350" y="2327025"/>
          <a:ext cx="1080000" cy="540000"/>
        </a:xfrm>
        <a:prstGeom prst="roundRect">
          <a:avLst/>
        </a:prstGeom>
        <a:solidFill>
          <a:srgbClr val="00CC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グラフ</a:t>
          </a:r>
        </a:p>
      </xdr:txBody>
    </xdr:sp>
    <xdr:clientData/>
  </xdr:twoCellAnchor>
  <xdr:twoCellAnchor>
    <xdr:from>
      <xdr:col>10</xdr:col>
      <xdr:colOff>0</xdr:colOff>
      <xdr:row>21</xdr:row>
      <xdr:rowOff>50550</xdr:rowOff>
    </xdr:from>
    <xdr:to>
      <xdr:col>11</xdr:col>
      <xdr:colOff>394200</xdr:colOff>
      <xdr:row>24</xdr:row>
      <xdr:rowOff>76200</xdr:rowOff>
    </xdr:to>
    <xdr:sp macro="[0]!createTable" textlink="">
      <xdr:nvSpPr>
        <xdr:cNvPr id="8" name="角丸四角形 7"/>
        <xdr:cNvSpPr/>
      </xdr:nvSpPr>
      <xdr:spPr>
        <a:xfrm>
          <a:off x="10172700" y="3774825"/>
          <a:ext cx="1080000" cy="540000"/>
        </a:xfrm>
        <a:prstGeom prst="roundRect">
          <a:avLst/>
        </a:prstGeom>
        <a:solidFill>
          <a:srgbClr val="33CC33"/>
        </a:solidFill>
        <a:ln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項目取込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</xdr:row>
          <xdr:rowOff>0</xdr:rowOff>
        </xdr:from>
        <xdr:to>
          <xdr:col>33</xdr:col>
          <xdr:colOff>0</xdr:colOff>
          <xdr:row>2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469;&#12531;&#12503;&#12523;/&#12467;&#12500;&#12540;&#20803;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計測"/>
      <sheetName val="カテゴリ"/>
      <sheetName val="全データ"/>
      <sheetName val="集中（小分類）"/>
      <sheetName val="集計（申出経路別）"/>
      <sheetName val="集計（メニュー別）"/>
      <sheetName val="1日"/>
      <sheetName val="2日"/>
      <sheetName val="3日"/>
      <sheetName val="4日"/>
      <sheetName val="5日"/>
      <sheetName val="6日"/>
      <sheetName val="7日"/>
      <sheetName val="8日"/>
      <sheetName val="9日"/>
      <sheetName val="10日"/>
      <sheetName val="11日"/>
      <sheetName val="12日"/>
      <sheetName val="13日"/>
      <sheetName val="14日"/>
      <sheetName val="15日"/>
      <sheetName val="16日"/>
      <sheetName val="17日"/>
      <sheetName val="18日"/>
      <sheetName val="19日"/>
      <sheetName val="20日"/>
      <sheetName val="21日"/>
      <sheetName val="22日"/>
      <sheetName val="23日"/>
      <sheetName val="24日"/>
      <sheetName val="25日"/>
      <sheetName val="26日"/>
      <sheetName val="27日"/>
      <sheetName val="28日"/>
      <sheetName val="29日"/>
      <sheetName val="30日"/>
    </sheetNames>
    <sheetDataSet>
      <sheetData sheetId="0"/>
      <sheetData sheetId="1">
        <row r="4">
          <cell r="I4" t="str">
            <v>［A：個別入金業務]</v>
          </cell>
          <cell r="J4">
            <v>1</v>
          </cell>
        </row>
        <row r="5">
          <cell r="I5" t="str">
            <v>1P･2P拠点口座入金経由業務</v>
          </cell>
          <cell r="J5">
            <v>2</v>
          </cell>
        </row>
        <row r="6">
          <cell r="I6" t="str">
            <v>本社口座入金経由業務</v>
          </cell>
          <cell r="J6">
            <v>3</v>
          </cell>
        </row>
        <row r="7">
          <cell r="I7" t="str">
            <v>返金処理業務</v>
          </cell>
          <cell r="J7">
            <v>4</v>
          </cell>
        </row>
        <row r="8">
          <cell r="I8" t="str">
            <v>1Ｐ振替業務</v>
          </cell>
          <cell r="J8">
            <v>5</v>
          </cell>
        </row>
        <row r="9">
          <cell r="I9" t="str">
            <v>一部返済処理業務</v>
          </cell>
          <cell r="J9">
            <v>6</v>
          </cell>
        </row>
        <row r="10">
          <cell r="I10" t="str">
            <v>完済処理業務</v>
          </cell>
          <cell r="J10">
            <v>7</v>
          </cell>
        </row>
        <row r="11">
          <cell r="I11" t="str">
            <v/>
          </cell>
          <cell r="J11" t="str">
            <v/>
          </cell>
        </row>
        <row r="12">
          <cell r="I12" t="str">
            <v/>
          </cell>
          <cell r="J12" t="str">
            <v/>
          </cell>
        </row>
        <row r="13">
          <cell r="I13" t="str">
            <v/>
          </cell>
          <cell r="J13" t="str">
            <v/>
          </cell>
        </row>
        <row r="14">
          <cell r="I14" t="str">
            <v/>
          </cell>
          <cell r="J14" t="str">
            <v/>
          </cell>
        </row>
        <row r="15">
          <cell r="I15" t="str">
            <v>［B：自動更新・失効業務］</v>
          </cell>
          <cell r="J15">
            <v>12</v>
          </cell>
        </row>
        <row r="16">
          <cell r="I16" t="str">
            <v>自動更新案内の発送業務</v>
          </cell>
          <cell r="J16">
            <v>13</v>
          </cell>
        </row>
        <row r="17">
          <cell r="I17" t="str">
            <v>自動更新拒否業務</v>
          </cell>
          <cell r="J17">
            <v>14</v>
          </cell>
        </row>
        <row r="18">
          <cell r="I18" t="str">
            <v>失効判定保留業務</v>
          </cell>
          <cell r="J18">
            <v>15</v>
          </cell>
        </row>
        <row r="19">
          <cell r="I19" t="str">
            <v>失効取消業務</v>
          </cell>
          <cell r="J19">
            <v>16</v>
          </cell>
        </row>
        <row r="20">
          <cell r="I20" t="str">
            <v>処理保留（取消）業務</v>
          </cell>
          <cell r="J20">
            <v>17</v>
          </cell>
        </row>
        <row r="21">
          <cell r="I21" t="str">
            <v>B不備照会業務</v>
          </cell>
          <cell r="J21">
            <v>18</v>
          </cell>
        </row>
        <row r="22">
          <cell r="I22" t="str">
            <v/>
          </cell>
          <cell r="J22" t="str">
            <v/>
          </cell>
        </row>
        <row r="23">
          <cell r="I23" t="str">
            <v/>
          </cell>
          <cell r="J23" t="str">
            <v/>
          </cell>
        </row>
        <row r="24">
          <cell r="I24" t="str">
            <v/>
          </cell>
          <cell r="J24" t="str">
            <v/>
          </cell>
        </row>
        <row r="25">
          <cell r="I25" t="str">
            <v/>
          </cell>
          <cell r="J25" t="str">
            <v/>
          </cell>
        </row>
        <row r="26">
          <cell r="I26" t="str">
            <v/>
          </cell>
          <cell r="J26" t="str">
            <v/>
          </cell>
        </row>
        <row r="27">
          <cell r="I27" t="str">
            <v>［C：期中管理業務］</v>
          </cell>
          <cell r="J27">
            <v>24</v>
          </cell>
        </row>
        <row r="28">
          <cell r="I28" t="str">
            <v>口振請求入金「年・半年振替予告案内」業務</v>
          </cell>
          <cell r="J28">
            <v>25</v>
          </cell>
        </row>
        <row r="29">
          <cell r="I29" t="str">
            <v>ＤＦ請求チェック業務</v>
          </cell>
          <cell r="J29">
            <v>26</v>
          </cell>
        </row>
        <row r="30">
          <cell r="I30" t="str">
            <v>自動振替貸付業務</v>
          </cell>
          <cell r="J30">
            <v>27</v>
          </cell>
        </row>
        <row r="31">
          <cell r="I31" t="str">
            <v>不適正入金管理業務</v>
          </cell>
          <cell r="J31">
            <v>28</v>
          </cell>
        </row>
        <row r="32">
          <cell r="I32" t="str">
            <v>C不備照会業務</v>
          </cell>
          <cell r="J32">
            <v>29</v>
          </cell>
        </row>
        <row r="33">
          <cell r="I33" t="str">
            <v>住所変更処理業務</v>
          </cell>
          <cell r="J33">
            <v>30</v>
          </cell>
        </row>
        <row r="34">
          <cell r="I34" t="str">
            <v/>
          </cell>
          <cell r="J34" t="str">
            <v/>
          </cell>
        </row>
        <row r="35">
          <cell r="I35" t="str">
            <v/>
          </cell>
          <cell r="J35" t="str">
            <v/>
          </cell>
        </row>
        <row r="36">
          <cell r="I36" t="str">
            <v/>
          </cell>
          <cell r="J36" t="str">
            <v/>
          </cell>
        </row>
        <row r="37">
          <cell r="I37" t="str">
            <v/>
          </cell>
          <cell r="J37" t="str">
            <v/>
          </cell>
        </row>
        <row r="38">
          <cell r="I38" t="str">
            <v/>
          </cell>
          <cell r="J38" t="str">
            <v/>
          </cell>
        </row>
        <row r="39">
          <cell r="I39" t="str">
            <v>［D：○○業務］</v>
          </cell>
          <cell r="J39">
            <v>36</v>
          </cell>
        </row>
        <row r="40">
          <cell r="I40" t="str">
            <v/>
          </cell>
          <cell r="J40" t="str">
            <v/>
          </cell>
        </row>
        <row r="41">
          <cell r="I41" t="str">
            <v/>
          </cell>
          <cell r="J41" t="str">
            <v/>
          </cell>
        </row>
        <row r="42">
          <cell r="I42" t="str">
            <v/>
          </cell>
          <cell r="J42" t="str">
            <v/>
          </cell>
        </row>
        <row r="43">
          <cell r="I43" t="str">
            <v/>
          </cell>
          <cell r="J43" t="str">
            <v/>
          </cell>
        </row>
        <row r="44">
          <cell r="I44" t="str">
            <v/>
          </cell>
          <cell r="J44" t="str">
            <v/>
          </cell>
        </row>
        <row r="45">
          <cell r="I45" t="str">
            <v/>
          </cell>
          <cell r="J45" t="str">
            <v/>
          </cell>
        </row>
        <row r="46">
          <cell r="I46" t="str">
            <v/>
          </cell>
          <cell r="J46" t="str">
            <v/>
          </cell>
        </row>
        <row r="47">
          <cell r="I47" t="str">
            <v/>
          </cell>
          <cell r="J47" t="str">
            <v/>
          </cell>
        </row>
        <row r="48">
          <cell r="I48" t="str">
            <v/>
          </cell>
          <cell r="J48" t="str">
            <v/>
          </cell>
        </row>
        <row r="49">
          <cell r="I49" t="str">
            <v/>
          </cell>
          <cell r="J49" t="str">
            <v/>
          </cell>
        </row>
        <row r="50">
          <cell r="I50" t="str">
            <v>［E：○○業務］</v>
          </cell>
          <cell r="J50">
            <v>47</v>
          </cell>
        </row>
        <row r="51">
          <cell r="I51" t="str">
            <v/>
          </cell>
          <cell r="J51" t="str">
            <v/>
          </cell>
        </row>
        <row r="52">
          <cell r="I52" t="str">
            <v/>
          </cell>
          <cell r="J52" t="str">
            <v/>
          </cell>
        </row>
        <row r="53">
          <cell r="I53" t="str">
            <v/>
          </cell>
          <cell r="J53" t="str">
            <v/>
          </cell>
        </row>
        <row r="54">
          <cell r="I54" t="str">
            <v/>
          </cell>
          <cell r="J54" t="str">
            <v/>
          </cell>
        </row>
        <row r="55">
          <cell r="I55" t="str">
            <v/>
          </cell>
          <cell r="J55" t="str">
            <v/>
          </cell>
        </row>
        <row r="56">
          <cell r="I56" t="str">
            <v/>
          </cell>
          <cell r="J56" t="str">
            <v/>
          </cell>
        </row>
        <row r="57">
          <cell r="I57" t="str">
            <v/>
          </cell>
          <cell r="J57" t="str">
            <v/>
          </cell>
        </row>
        <row r="58">
          <cell r="I58" t="str">
            <v/>
          </cell>
          <cell r="J58" t="str">
            <v/>
          </cell>
        </row>
        <row r="59">
          <cell r="I59" t="str">
            <v/>
          </cell>
          <cell r="J59" t="str">
            <v/>
          </cell>
        </row>
        <row r="60">
          <cell r="I60" t="str">
            <v/>
          </cell>
          <cell r="J60" t="str">
            <v/>
          </cell>
        </row>
        <row r="61">
          <cell r="I61" t="str">
            <v>［Y1：業務整理］</v>
          </cell>
          <cell r="J61">
            <v>58</v>
          </cell>
        </row>
        <row r="62">
          <cell r="I62" t="str">
            <v>［Y2：研修］</v>
          </cell>
          <cell r="J62">
            <v>59</v>
          </cell>
        </row>
        <row r="63">
          <cell r="I63" t="str">
            <v>［Y3：システム検証］</v>
          </cell>
          <cell r="J63">
            <v>60</v>
          </cell>
        </row>
        <row r="64">
          <cell r="I64" t="str">
            <v>［Y4：会議］</v>
          </cell>
          <cell r="J64">
            <v>61</v>
          </cell>
        </row>
        <row r="65">
          <cell r="I65" t="str">
            <v>［Z1:休憩］</v>
          </cell>
          <cell r="J65">
            <v>62</v>
          </cell>
        </row>
        <row r="66">
          <cell r="I66" t="str">
            <v>［Z2:その他］</v>
          </cell>
          <cell r="J66">
            <v>63</v>
          </cell>
        </row>
        <row r="67">
          <cell r="I67" t="str">
            <v>［他］昼休み</v>
          </cell>
          <cell r="J67">
            <v>64</v>
          </cell>
        </row>
        <row r="68">
          <cell r="I68" t="str">
            <v/>
          </cell>
          <cell r="J68" t="str">
            <v/>
          </cell>
        </row>
        <row r="69">
          <cell r="I69" t="str">
            <v/>
          </cell>
          <cell r="J69" t="str">
            <v/>
          </cell>
        </row>
        <row r="70">
          <cell r="I70" t="str">
            <v/>
          </cell>
          <cell r="J70" t="str">
            <v/>
          </cell>
        </row>
      </sheetData>
      <sheetData sheetId="2">
        <row r="1">
          <cell r="D1" t="str">
            <v>申出経路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645"/>
  <sheetViews>
    <sheetView tabSelected="1" zoomScaleNormal="100" workbookViewId="0">
      <selection activeCell="A2" sqref="A2"/>
    </sheetView>
  </sheetViews>
  <sheetFormatPr defaultRowHeight="13.5"/>
  <cols>
    <col min="1" max="1" width="13" style="22" customWidth="1"/>
    <col min="2" max="2" width="14.625" style="1" customWidth="1"/>
    <col min="3" max="3" width="12.125" style="1" customWidth="1"/>
    <col min="4" max="4" width="25" style="1" customWidth="1"/>
    <col min="5" max="5" width="31.375" style="1" customWidth="1"/>
    <col min="6" max="6" width="9" style="88"/>
    <col min="7" max="7" width="8.25" style="88" bestFit="1" customWidth="1"/>
    <col min="8" max="8" width="12" style="35" customWidth="1"/>
    <col min="9" max="9" width="7.75" style="37" customWidth="1"/>
    <col min="10" max="10" width="4.125" customWidth="1"/>
  </cols>
  <sheetData>
    <row r="1" spans="1:9" ht="23.25" customHeight="1">
      <c r="A1" s="20" t="s">
        <v>15</v>
      </c>
      <c r="B1" s="2" t="s">
        <v>1</v>
      </c>
      <c r="C1" s="2" t="s">
        <v>16</v>
      </c>
      <c r="D1" s="2" t="s">
        <v>21</v>
      </c>
      <c r="E1" s="2" t="s">
        <v>19</v>
      </c>
      <c r="F1" s="107" t="s">
        <v>20</v>
      </c>
      <c r="G1" s="107" t="s">
        <v>18</v>
      </c>
      <c r="H1" s="19" t="s">
        <v>17</v>
      </c>
      <c r="I1" s="86" t="s">
        <v>0</v>
      </c>
    </row>
    <row r="2" spans="1:9">
      <c r="A2" s="21"/>
      <c r="B2"/>
      <c r="F2" s="87"/>
      <c r="H2" s="87"/>
      <c r="I2" s="89"/>
    </row>
    <row r="3" spans="1:9">
      <c r="A3" s="21"/>
      <c r="B3"/>
      <c r="F3" s="87"/>
      <c r="H3" s="87"/>
      <c r="I3" s="89"/>
    </row>
    <row r="4" spans="1:9">
      <c r="A4" s="21"/>
      <c r="B4"/>
      <c r="F4" s="87"/>
      <c r="H4" s="87"/>
      <c r="I4" s="89"/>
    </row>
    <row r="5" spans="1:9">
      <c r="A5" s="21"/>
      <c r="B5"/>
      <c r="F5" s="87"/>
      <c r="H5" s="87"/>
      <c r="I5" s="89"/>
    </row>
    <row r="6" spans="1:9">
      <c r="A6" s="21"/>
      <c r="B6"/>
      <c r="F6" s="87"/>
      <c r="H6" s="87"/>
      <c r="I6" s="89"/>
    </row>
    <row r="7" spans="1:9">
      <c r="A7" s="21"/>
      <c r="B7"/>
      <c r="F7" s="87"/>
      <c r="H7" s="87"/>
      <c r="I7" s="89"/>
    </row>
    <row r="8" spans="1:9">
      <c r="A8" s="21"/>
      <c r="B8"/>
      <c r="F8" s="87"/>
      <c r="H8" s="87"/>
      <c r="I8" s="89"/>
    </row>
    <row r="9" spans="1:9">
      <c r="A9" s="21"/>
      <c r="B9"/>
      <c r="F9" s="87"/>
      <c r="H9" s="87"/>
      <c r="I9" s="89"/>
    </row>
    <row r="10" spans="1:9">
      <c r="A10" s="21"/>
      <c r="B10"/>
      <c r="F10" s="87"/>
      <c r="H10" s="87"/>
      <c r="I10" s="89"/>
    </row>
    <row r="11" spans="1:9">
      <c r="A11" s="21"/>
      <c r="B11"/>
      <c r="F11" s="87"/>
      <c r="H11" s="87"/>
      <c r="I11" s="89"/>
    </row>
    <row r="12" spans="1:9">
      <c r="A12" s="21"/>
      <c r="B12"/>
      <c r="F12" s="87"/>
      <c r="H12" s="87"/>
      <c r="I12" s="89"/>
    </row>
    <row r="13" spans="1:9">
      <c r="A13" s="21"/>
      <c r="B13"/>
      <c r="F13" s="87"/>
      <c r="H13" s="87"/>
      <c r="I13" s="89"/>
    </row>
    <row r="14" spans="1:9">
      <c r="A14" s="21"/>
      <c r="B14"/>
      <c r="F14" s="87"/>
      <c r="H14" s="87"/>
      <c r="I14" s="89"/>
    </row>
    <row r="15" spans="1:9">
      <c r="A15" s="21"/>
      <c r="B15"/>
      <c r="F15" s="87"/>
      <c r="H15" s="87"/>
      <c r="I15" s="89"/>
    </row>
    <row r="16" spans="1:9">
      <c r="A16" s="21"/>
      <c r="B16"/>
      <c r="F16" s="87"/>
      <c r="H16" s="87"/>
      <c r="I16" s="89"/>
    </row>
    <row r="17" spans="1:9">
      <c r="A17" s="21"/>
      <c r="B17"/>
      <c r="F17" s="87"/>
      <c r="H17" s="87"/>
      <c r="I17" s="89"/>
    </row>
    <row r="18" spans="1:9">
      <c r="A18" s="21"/>
      <c r="B18"/>
      <c r="F18" s="87"/>
      <c r="H18" s="87"/>
      <c r="I18" s="89"/>
    </row>
    <row r="19" spans="1:9">
      <c r="A19" s="21"/>
      <c r="B19"/>
      <c r="F19" s="87"/>
      <c r="H19" s="87"/>
      <c r="I19" s="89"/>
    </row>
    <row r="20" spans="1:9">
      <c r="A20" s="21"/>
      <c r="B20"/>
      <c r="F20" s="87"/>
      <c r="H20" s="87"/>
      <c r="I20" s="89"/>
    </row>
    <row r="21" spans="1:9">
      <c r="A21" s="21"/>
      <c r="B21"/>
      <c r="F21" s="87"/>
      <c r="H21" s="87"/>
      <c r="I21" s="89"/>
    </row>
    <row r="22" spans="1:9">
      <c r="A22" s="21"/>
      <c r="B22"/>
      <c r="F22" s="87"/>
      <c r="H22" s="87"/>
      <c r="I22" s="89"/>
    </row>
    <row r="23" spans="1:9">
      <c r="A23" s="21"/>
      <c r="B23"/>
      <c r="F23" s="87"/>
      <c r="H23" s="87"/>
      <c r="I23" s="89"/>
    </row>
    <row r="24" spans="1:9">
      <c r="A24" s="21"/>
      <c r="B24"/>
      <c r="F24" s="87"/>
      <c r="H24" s="87"/>
      <c r="I24" s="89"/>
    </row>
    <row r="25" spans="1:9">
      <c r="A25" s="21"/>
      <c r="B25"/>
      <c r="F25" s="87"/>
      <c r="H25" s="87"/>
      <c r="I25" s="89"/>
    </row>
    <row r="26" spans="1:9">
      <c r="A26" s="21"/>
      <c r="B26"/>
      <c r="F26" s="87"/>
      <c r="H26" s="87"/>
      <c r="I26" s="89"/>
    </row>
    <row r="27" spans="1:9">
      <c r="A27" s="21"/>
      <c r="B27"/>
      <c r="F27" s="87"/>
      <c r="H27" s="87"/>
      <c r="I27" s="89"/>
    </row>
    <row r="28" spans="1:9">
      <c r="A28" s="21"/>
      <c r="B28"/>
      <c r="F28" s="87"/>
      <c r="H28" s="87"/>
      <c r="I28" s="89"/>
    </row>
    <row r="29" spans="1:9">
      <c r="A29" s="21"/>
      <c r="B29"/>
      <c r="F29" s="87"/>
      <c r="H29" s="87"/>
      <c r="I29" s="89"/>
    </row>
    <row r="30" spans="1:9">
      <c r="A30" s="21"/>
      <c r="B30"/>
      <c r="F30" s="87"/>
      <c r="H30" s="87"/>
      <c r="I30" s="89"/>
    </row>
    <row r="31" spans="1:9">
      <c r="A31" s="21"/>
      <c r="B31"/>
      <c r="F31" s="87"/>
      <c r="H31" s="87"/>
      <c r="I31" s="89"/>
    </row>
    <row r="32" spans="1:9">
      <c r="A32" s="21"/>
      <c r="B32"/>
      <c r="F32" s="87"/>
      <c r="H32" s="87"/>
      <c r="I32" s="89"/>
    </row>
    <row r="33" spans="1:9">
      <c r="A33" s="21"/>
      <c r="B33"/>
      <c r="F33" s="87"/>
      <c r="H33" s="87"/>
      <c r="I33" s="89"/>
    </row>
    <row r="34" spans="1:9">
      <c r="A34" s="21"/>
      <c r="B34"/>
      <c r="F34" s="87"/>
      <c r="H34" s="87"/>
      <c r="I34" s="89"/>
    </row>
    <row r="35" spans="1:9">
      <c r="A35" s="21"/>
      <c r="B35"/>
      <c r="F35" s="87"/>
      <c r="H35" s="87"/>
      <c r="I35" s="89"/>
    </row>
    <row r="36" spans="1:9">
      <c r="A36" s="21"/>
      <c r="B36"/>
      <c r="F36" s="87"/>
      <c r="H36" s="87"/>
      <c r="I36" s="89"/>
    </row>
    <row r="37" spans="1:9">
      <c r="A37" s="21"/>
      <c r="B37"/>
      <c r="F37" s="87"/>
      <c r="H37" s="87"/>
      <c r="I37" s="89"/>
    </row>
    <row r="38" spans="1:9">
      <c r="A38" s="21"/>
      <c r="B38"/>
      <c r="F38" s="87"/>
      <c r="H38" s="87"/>
      <c r="I38" s="89"/>
    </row>
    <row r="39" spans="1:9">
      <c r="A39" s="21"/>
      <c r="B39"/>
      <c r="F39" s="87"/>
      <c r="H39" s="87"/>
      <c r="I39" s="89"/>
    </row>
    <row r="40" spans="1:9">
      <c r="A40" s="21"/>
      <c r="B40"/>
      <c r="F40" s="87"/>
      <c r="H40" s="87"/>
      <c r="I40" s="89"/>
    </row>
    <row r="41" spans="1:9">
      <c r="A41" s="21"/>
      <c r="B41"/>
      <c r="F41" s="87"/>
      <c r="H41" s="87"/>
      <c r="I41" s="89"/>
    </row>
    <row r="42" spans="1:9">
      <c r="A42" s="21"/>
      <c r="B42"/>
      <c r="F42" s="87"/>
      <c r="H42" s="87"/>
      <c r="I42" s="89"/>
    </row>
    <row r="43" spans="1:9">
      <c r="A43" s="21"/>
      <c r="B43"/>
      <c r="F43" s="87"/>
      <c r="H43" s="87"/>
      <c r="I43" s="89"/>
    </row>
    <row r="44" spans="1:9">
      <c r="A44" s="21"/>
      <c r="B44"/>
      <c r="F44" s="87"/>
      <c r="H44" s="87"/>
      <c r="I44" s="89"/>
    </row>
    <row r="45" spans="1:9">
      <c r="A45" s="21"/>
      <c r="B45"/>
      <c r="F45" s="87"/>
      <c r="H45" s="87"/>
      <c r="I45" s="89"/>
    </row>
    <row r="46" spans="1:9">
      <c r="A46" s="21"/>
      <c r="B46"/>
      <c r="F46" s="87"/>
      <c r="H46" s="87"/>
      <c r="I46" s="89"/>
    </row>
    <row r="47" spans="1:9">
      <c r="A47" s="21"/>
      <c r="B47"/>
      <c r="F47" s="87"/>
      <c r="H47" s="87"/>
      <c r="I47" s="89"/>
    </row>
    <row r="48" spans="1:9">
      <c r="A48" s="21"/>
      <c r="B48"/>
      <c r="F48" s="87"/>
      <c r="H48" s="87"/>
      <c r="I48" s="89"/>
    </row>
    <row r="49" spans="1:9">
      <c r="A49" s="21"/>
      <c r="B49"/>
      <c r="F49" s="87"/>
      <c r="H49" s="87"/>
      <c r="I49" s="89"/>
    </row>
    <row r="50" spans="1:9">
      <c r="A50" s="21"/>
      <c r="B50"/>
      <c r="F50" s="87"/>
      <c r="H50" s="87"/>
      <c r="I50" s="89"/>
    </row>
    <row r="51" spans="1:9">
      <c r="A51" s="21"/>
      <c r="B51"/>
      <c r="F51" s="87"/>
      <c r="H51" s="87"/>
      <c r="I51" s="89"/>
    </row>
    <row r="52" spans="1:9">
      <c r="A52" s="21"/>
      <c r="B52"/>
      <c r="F52" s="87"/>
      <c r="H52" s="87"/>
      <c r="I52" s="89"/>
    </row>
    <row r="53" spans="1:9">
      <c r="A53" s="21"/>
      <c r="B53"/>
      <c r="F53" s="87"/>
      <c r="H53" s="87"/>
      <c r="I53" s="89"/>
    </row>
    <row r="54" spans="1:9">
      <c r="A54" s="21"/>
      <c r="B54"/>
      <c r="F54" s="87"/>
      <c r="H54" s="87"/>
      <c r="I54" s="89"/>
    </row>
    <row r="55" spans="1:9">
      <c r="A55" s="21"/>
      <c r="B55"/>
      <c r="F55" s="87"/>
      <c r="H55" s="87"/>
      <c r="I55" s="89"/>
    </row>
    <row r="56" spans="1:9">
      <c r="A56" s="21"/>
      <c r="B56"/>
      <c r="F56" s="87"/>
      <c r="H56" s="87"/>
      <c r="I56" s="89"/>
    </row>
    <row r="57" spans="1:9">
      <c r="A57" s="21"/>
      <c r="B57"/>
      <c r="F57" s="87"/>
      <c r="H57" s="87"/>
      <c r="I57" s="89"/>
    </row>
    <row r="58" spans="1:9">
      <c r="A58" s="21"/>
      <c r="B58"/>
      <c r="F58" s="87"/>
      <c r="H58" s="87"/>
      <c r="I58" s="89"/>
    </row>
    <row r="59" spans="1:9">
      <c r="A59" s="21"/>
      <c r="B59"/>
      <c r="F59" s="87"/>
      <c r="H59" s="87"/>
      <c r="I59" s="89"/>
    </row>
    <row r="60" spans="1:9">
      <c r="A60" s="21"/>
      <c r="B60"/>
      <c r="F60" s="87"/>
      <c r="H60" s="87"/>
      <c r="I60" s="89"/>
    </row>
    <row r="61" spans="1:9">
      <c r="A61" s="21"/>
      <c r="B61"/>
      <c r="F61" s="87"/>
      <c r="H61" s="87"/>
      <c r="I61" s="89"/>
    </row>
    <row r="62" spans="1:9">
      <c r="A62" s="21"/>
      <c r="B62"/>
      <c r="F62" s="87"/>
      <c r="H62" s="87"/>
      <c r="I62" s="89"/>
    </row>
    <row r="63" spans="1:9">
      <c r="A63" s="21"/>
      <c r="B63"/>
      <c r="F63" s="87"/>
      <c r="H63" s="87"/>
      <c r="I63" s="89"/>
    </row>
    <row r="64" spans="1:9">
      <c r="A64" s="21"/>
      <c r="B64"/>
      <c r="F64" s="87"/>
      <c r="H64" s="87"/>
      <c r="I64" s="89"/>
    </row>
    <row r="65" spans="1:9">
      <c r="A65" s="21"/>
      <c r="B65"/>
      <c r="F65" s="87"/>
      <c r="H65" s="87"/>
      <c r="I65" s="89"/>
    </row>
    <row r="66" spans="1:9">
      <c r="A66" s="21"/>
      <c r="B66"/>
      <c r="F66" s="87"/>
      <c r="H66" s="87"/>
      <c r="I66" s="89"/>
    </row>
    <row r="67" spans="1:9">
      <c r="A67" s="21"/>
      <c r="B67"/>
      <c r="F67" s="87"/>
      <c r="H67" s="87"/>
      <c r="I67" s="89"/>
    </row>
    <row r="68" spans="1:9">
      <c r="A68" s="21"/>
      <c r="B68"/>
      <c r="F68" s="87"/>
      <c r="H68" s="87"/>
      <c r="I68" s="89"/>
    </row>
    <row r="69" spans="1:9">
      <c r="A69" s="21"/>
      <c r="B69"/>
      <c r="F69" s="87"/>
      <c r="H69" s="87"/>
      <c r="I69" s="89"/>
    </row>
    <row r="70" spans="1:9">
      <c r="A70" s="21"/>
      <c r="B70"/>
      <c r="F70" s="87"/>
      <c r="H70" s="87"/>
      <c r="I70" s="89"/>
    </row>
    <row r="71" spans="1:9">
      <c r="A71" s="21"/>
      <c r="B71"/>
      <c r="F71" s="87"/>
      <c r="H71" s="87"/>
      <c r="I71" s="89"/>
    </row>
    <row r="72" spans="1:9">
      <c r="A72" s="21"/>
      <c r="B72"/>
      <c r="F72" s="87"/>
      <c r="H72" s="87"/>
      <c r="I72" s="89"/>
    </row>
    <row r="73" spans="1:9">
      <c r="A73" s="21"/>
      <c r="B73"/>
      <c r="F73" s="87"/>
      <c r="H73" s="87"/>
      <c r="I73" s="89"/>
    </row>
    <row r="74" spans="1:9">
      <c r="A74" s="21"/>
      <c r="B74"/>
      <c r="F74" s="87"/>
      <c r="H74" s="87"/>
      <c r="I74" s="89"/>
    </row>
    <row r="75" spans="1:9">
      <c r="A75" s="21"/>
      <c r="B75"/>
      <c r="F75" s="87"/>
      <c r="H75" s="87"/>
      <c r="I75" s="89"/>
    </row>
    <row r="76" spans="1:9">
      <c r="A76" s="21"/>
      <c r="B76"/>
      <c r="F76" s="87"/>
      <c r="H76" s="87"/>
      <c r="I76" s="89"/>
    </row>
    <row r="77" spans="1:9">
      <c r="A77" s="21"/>
      <c r="B77"/>
      <c r="F77" s="87"/>
      <c r="H77" s="87"/>
      <c r="I77" s="89"/>
    </row>
    <row r="78" spans="1:9">
      <c r="A78" s="21"/>
      <c r="B78"/>
      <c r="F78" s="87"/>
      <c r="H78" s="87"/>
      <c r="I78" s="89"/>
    </row>
    <row r="79" spans="1:9">
      <c r="A79" s="21"/>
      <c r="B79"/>
      <c r="F79" s="87"/>
      <c r="H79" s="87"/>
      <c r="I79" s="89"/>
    </row>
    <row r="80" spans="1:9">
      <c r="A80" s="21"/>
      <c r="B80"/>
      <c r="F80" s="87"/>
      <c r="H80" s="87"/>
      <c r="I80" s="89"/>
    </row>
    <row r="81" spans="1:9">
      <c r="A81" s="21"/>
      <c r="B81"/>
      <c r="F81" s="87"/>
      <c r="H81" s="87"/>
      <c r="I81" s="89"/>
    </row>
    <row r="82" spans="1:9">
      <c r="A82" s="21"/>
      <c r="B82"/>
      <c r="F82" s="87"/>
      <c r="H82" s="87"/>
      <c r="I82" s="89"/>
    </row>
    <row r="83" spans="1:9">
      <c r="A83" s="21"/>
      <c r="B83"/>
      <c r="F83" s="87"/>
      <c r="H83" s="87"/>
      <c r="I83" s="89"/>
    </row>
    <row r="84" spans="1:9">
      <c r="A84" s="21"/>
      <c r="B84"/>
      <c r="F84" s="87"/>
      <c r="H84" s="87"/>
      <c r="I84" s="89"/>
    </row>
    <row r="85" spans="1:9">
      <c r="A85" s="21"/>
      <c r="B85"/>
      <c r="F85" s="87"/>
      <c r="H85" s="87"/>
      <c r="I85" s="89"/>
    </row>
    <row r="86" spans="1:9">
      <c r="A86" s="21"/>
      <c r="B86"/>
      <c r="F86" s="87"/>
      <c r="H86" s="87"/>
      <c r="I86" s="89"/>
    </row>
    <row r="87" spans="1:9">
      <c r="A87" s="21"/>
      <c r="B87"/>
      <c r="F87" s="87"/>
      <c r="H87" s="87"/>
      <c r="I87" s="89"/>
    </row>
    <row r="88" spans="1:9">
      <c r="A88" s="21"/>
      <c r="B88"/>
      <c r="F88" s="87"/>
      <c r="H88" s="87"/>
      <c r="I88" s="89"/>
    </row>
    <row r="89" spans="1:9">
      <c r="A89" s="21"/>
      <c r="B89"/>
      <c r="F89" s="87"/>
      <c r="H89" s="87"/>
      <c r="I89" s="89"/>
    </row>
    <row r="90" spans="1:9">
      <c r="A90" s="21"/>
      <c r="B90"/>
      <c r="F90" s="87"/>
      <c r="H90" s="87"/>
      <c r="I90" s="89"/>
    </row>
    <row r="91" spans="1:9">
      <c r="A91" s="21"/>
      <c r="B91"/>
      <c r="F91" s="87"/>
      <c r="H91" s="87"/>
      <c r="I91" s="89"/>
    </row>
    <row r="92" spans="1:9">
      <c r="A92" s="21"/>
      <c r="B92"/>
      <c r="F92" s="87"/>
      <c r="H92" s="87"/>
      <c r="I92" s="89"/>
    </row>
    <row r="93" spans="1:9">
      <c r="A93" s="21"/>
      <c r="B93"/>
      <c r="F93" s="87"/>
      <c r="H93" s="87"/>
      <c r="I93" s="89"/>
    </row>
    <row r="94" spans="1:9">
      <c r="A94" s="21"/>
      <c r="B94"/>
      <c r="F94" s="87"/>
      <c r="H94" s="87"/>
      <c r="I94" s="89"/>
    </row>
    <row r="95" spans="1:9">
      <c r="A95" s="21"/>
      <c r="B95"/>
      <c r="F95" s="87"/>
      <c r="H95" s="87"/>
      <c r="I95" s="89"/>
    </row>
    <row r="96" spans="1:9">
      <c r="A96" s="21"/>
      <c r="B96"/>
      <c r="F96" s="87"/>
      <c r="H96" s="87"/>
      <c r="I96" s="89"/>
    </row>
    <row r="97" spans="1:9">
      <c r="A97" s="21"/>
      <c r="B97"/>
      <c r="F97" s="87"/>
      <c r="H97" s="87"/>
      <c r="I97" s="89"/>
    </row>
    <row r="98" spans="1:9">
      <c r="A98" s="21"/>
      <c r="B98"/>
      <c r="F98" s="87"/>
      <c r="H98" s="87"/>
      <c r="I98" s="89"/>
    </row>
    <row r="99" spans="1:9">
      <c r="A99" s="21"/>
      <c r="B99"/>
      <c r="F99" s="87"/>
      <c r="H99" s="87"/>
      <c r="I99" s="89"/>
    </row>
    <row r="100" spans="1:9">
      <c r="A100" s="21"/>
      <c r="B100"/>
      <c r="F100" s="87"/>
      <c r="H100" s="87"/>
      <c r="I100" s="89"/>
    </row>
    <row r="101" spans="1:9">
      <c r="A101" s="21"/>
      <c r="B101"/>
      <c r="F101" s="87"/>
      <c r="H101" s="87"/>
      <c r="I101" s="89"/>
    </row>
    <row r="102" spans="1:9">
      <c r="A102" s="21"/>
      <c r="B102"/>
      <c r="F102" s="87"/>
      <c r="H102" s="87"/>
      <c r="I102" s="89"/>
    </row>
    <row r="103" spans="1:9">
      <c r="A103" s="21"/>
      <c r="B103"/>
      <c r="F103" s="87"/>
      <c r="H103" s="87"/>
      <c r="I103" s="89"/>
    </row>
    <row r="104" spans="1:9">
      <c r="A104" s="21"/>
      <c r="B104"/>
      <c r="F104" s="87"/>
      <c r="H104" s="87"/>
      <c r="I104" s="89"/>
    </row>
    <row r="105" spans="1:9">
      <c r="A105" s="21"/>
      <c r="B105"/>
      <c r="F105" s="87"/>
      <c r="H105" s="87"/>
      <c r="I105" s="89"/>
    </row>
    <row r="106" spans="1:9">
      <c r="A106" s="21"/>
      <c r="B106"/>
      <c r="F106" s="87"/>
      <c r="H106" s="87"/>
      <c r="I106" s="89"/>
    </row>
    <row r="107" spans="1:9">
      <c r="A107" s="21"/>
      <c r="B107"/>
      <c r="F107" s="87"/>
      <c r="H107" s="87"/>
      <c r="I107" s="89"/>
    </row>
    <row r="108" spans="1:9">
      <c r="A108" s="21"/>
      <c r="B108"/>
      <c r="F108" s="87"/>
      <c r="H108" s="87"/>
      <c r="I108" s="89"/>
    </row>
    <row r="109" spans="1:9">
      <c r="A109" s="21"/>
      <c r="B109"/>
      <c r="F109" s="87"/>
      <c r="H109" s="87"/>
      <c r="I109" s="89"/>
    </row>
    <row r="110" spans="1:9">
      <c r="A110" s="21"/>
      <c r="B110"/>
      <c r="F110" s="87"/>
      <c r="H110" s="87"/>
      <c r="I110" s="89"/>
    </row>
    <row r="111" spans="1:9">
      <c r="A111" s="21"/>
      <c r="B111"/>
      <c r="F111" s="87"/>
      <c r="H111" s="87"/>
      <c r="I111" s="89"/>
    </row>
    <row r="112" spans="1:9">
      <c r="A112" s="21"/>
      <c r="B112"/>
      <c r="F112" s="87"/>
      <c r="H112" s="87"/>
      <c r="I112" s="89"/>
    </row>
    <row r="113" spans="1:9">
      <c r="A113" s="21"/>
      <c r="B113"/>
      <c r="F113" s="87"/>
      <c r="H113" s="87"/>
      <c r="I113" s="89"/>
    </row>
    <row r="114" spans="1:9">
      <c r="A114" s="21"/>
      <c r="B114"/>
      <c r="F114" s="87"/>
      <c r="H114" s="87"/>
      <c r="I114" s="89"/>
    </row>
    <row r="115" spans="1:9">
      <c r="A115" s="21"/>
      <c r="B115"/>
      <c r="F115" s="87"/>
      <c r="H115" s="87"/>
      <c r="I115" s="89"/>
    </row>
    <row r="116" spans="1:9">
      <c r="A116" s="21"/>
      <c r="B116"/>
      <c r="F116" s="87"/>
      <c r="H116" s="87"/>
      <c r="I116" s="89"/>
    </row>
    <row r="117" spans="1:9">
      <c r="A117" s="21"/>
      <c r="B117"/>
      <c r="F117" s="87"/>
      <c r="H117" s="87"/>
      <c r="I117" s="89"/>
    </row>
    <row r="118" spans="1:9">
      <c r="A118" s="21"/>
      <c r="B118"/>
      <c r="F118" s="87"/>
      <c r="H118" s="87"/>
      <c r="I118" s="89"/>
    </row>
    <row r="119" spans="1:9">
      <c r="A119" s="21"/>
      <c r="B119"/>
      <c r="F119" s="87"/>
      <c r="H119" s="87"/>
      <c r="I119" s="89"/>
    </row>
    <row r="120" spans="1:9">
      <c r="A120" s="21"/>
      <c r="B120"/>
      <c r="F120" s="87"/>
      <c r="H120" s="87"/>
      <c r="I120" s="89"/>
    </row>
    <row r="121" spans="1:9">
      <c r="A121" s="21"/>
      <c r="B121"/>
      <c r="F121" s="87"/>
      <c r="H121" s="87"/>
      <c r="I121" s="89"/>
    </row>
    <row r="122" spans="1:9">
      <c r="A122" s="21"/>
      <c r="B122"/>
      <c r="F122" s="87"/>
      <c r="H122" s="87"/>
      <c r="I122" s="89"/>
    </row>
    <row r="123" spans="1:9">
      <c r="A123" s="21"/>
      <c r="B123"/>
      <c r="F123" s="87"/>
      <c r="H123" s="87"/>
      <c r="I123" s="89"/>
    </row>
    <row r="124" spans="1:9">
      <c r="A124" s="21"/>
      <c r="B124"/>
      <c r="F124" s="87"/>
      <c r="H124" s="87"/>
      <c r="I124" s="89"/>
    </row>
    <row r="125" spans="1:9">
      <c r="A125" s="21"/>
      <c r="B125"/>
      <c r="F125" s="87"/>
      <c r="H125" s="87"/>
      <c r="I125" s="89"/>
    </row>
    <row r="126" spans="1:9">
      <c r="A126" s="21"/>
      <c r="B126"/>
      <c r="F126" s="87"/>
      <c r="H126" s="87"/>
      <c r="I126" s="89"/>
    </row>
    <row r="127" spans="1:9">
      <c r="A127" s="21"/>
      <c r="B127"/>
      <c r="F127" s="87"/>
      <c r="H127" s="87"/>
      <c r="I127" s="89"/>
    </row>
    <row r="128" spans="1:9">
      <c r="A128" s="21"/>
      <c r="B128"/>
      <c r="F128" s="87"/>
      <c r="H128" s="87"/>
      <c r="I128" s="89"/>
    </row>
    <row r="129" spans="1:9">
      <c r="A129" s="21"/>
      <c r="B129"/>
      <c r="F129" s="87"/>
      <c r="H129" s="87"/>
      <c r="I129" s="89"/>
    </row>
    <row r="130" spans="1:9">
      <c r="A130" s="21"/>
      <c r="B130"/>
      <c r="F130" s="87"/>
      <c r="H130" s="87"/>
      <c r="I130" s="89"/>
    </row>
    <row r="131" spans="1:9">
      <c r="A131" s="21"/>
      <c r="B131"/>
      <c r="F131" s="87"/>
      <c r="H131" s="87"/>
      <c r="I131" s="89"/>
    </row>
    <row r="132" spans="1:9">
      <c r="A132" s="21"/>
      <c r="B132"/>
      <c r="F132" s="87"/>
      <c r="H132" s="87"/>
      <c r="I132" s="89"/>
    </row>
    <row r="133" spans="1:9">
      <c r="A133" s="21"/>
      <c r="B133"/>
      <c r="F133" s="87"/>
      <c r="H133" s="87"/>
      <c r="I133" s="89"/>
    </row>
    <row r="134" spans="1:9">
      <c r="A134" s="21"/>
      <c r="B134"/>
      <c r="F134" s="87"/>
      <c r="H134" s="87"/>
      <c r="I134" s="89"/>
    </row>
    <row r="135" spans="1:9">
      <c r="A135" s="21"/>
      <c r="B135"/>
      <c r="F135" s="87"/>
      <c r="H135" s="87"/>
      <c r="I135" s="89"/>
    </row>
    <row r="136" spans="1:9">
      <c r="A136" s="21"/>
      <c r="B136"/>
      <c r="F136" s="87"/>
      <c r="H136" s="87"/>
      <c r="I136" s="89"/>
    </row>
    <row r="137" spans="1:9">
      <c r="A137" s="21"/>
      <c r="B137"/>
      <c r="F137" s="87"/>
      <c r="H137" s="87"/>
      <c r="I137" s="89"/>
    </row>
    <row r="138" spans="1:9">
      <c r="A138" s="21"/>
      <c r="B138"/>
      <c r="F138" s="87"/>
      <c r="H138" s="87"/>
      <c r="I138" s="89"/>
    </row>
    <row r="139" spans="1:9">
      <c r="A139" s="21"/>
      <c r="B139"/>
      <c r="F139" s="87"/>
      <c r="H139" s="87"/>
      <c r="I139" s="89"/>
    </row>
    <row r="140" spans="1:9">
      <c r="A140" s="21"/>
      <c r="B140"/>
      <c r="F140" s="87"/>
      <c r="H140" s="87"/>
      <c r="I140" s="89"/>
    </row>
    <row r="141" spans="1:9">
      <c r="A141" s="21"/>
      <c r="B141"/>
      <c r="F141" s="87"/>
      <c r="H141" s="87"/>
      <c r="I141" s="89"/>
    </row>
    <row r="142" spans="1:9">
      <c r="A142" s="21"/>
      <c r="B142"/>
      <c r="F142" s="87"/>
      <c r="H142" s="87"/>
      <c r="I142" s="89"/>
    </row>
    <row r="143" spans="1:9">
      <c r="A143" s="21"/>
      <c r="B143"/>
      <c r="F143" s="87"/>
      <c r="H143" s="87"/>
      <c r="I143" s="89"/>
    </row>
    <row r="144" spans="1:9">
      <c r="A144" s="21"/>
      <c r="B144"/>
      <c r="F144" s="87"/>
      <c r="H144" s="87"/>
      <c r="I144" s="89"/>
    </row>
    <row r="145" spans="1:9">
      <c r="A145" s="21"/>
      <c r="B145"/>
      <c r="F145" s="87"/>
      <c r="H145" s="87"/>
      <c r="I145" s="89"/>
    </row>
    <row r="146" spans="1:9">
      <c r="A146" s="21"/>
      <c r="B146"/>
      <c r="F146" s="87"/>
      <c r="H146" s="87"/>
      <c r="I146" s="89"/>
    </row>
    <row r="147" spans="1:9">
      <c r="A147" s="21"/>
      <c r="B147"/>
      <c r="F147" s="87"/>
      <c r="H147" s="87"/>
      <c r="I147" s="89"/>
    </row>
    <row r="148" spans="1:9">
      <c r="A148" s="21"/>
      <c r="B148"/>
      <c r="F148" s="87"/>
      <c r="H148" s="87"/>
      <c r="I148" s="89"/>
    </row>
    <row r="149" spans="1:9">
      <c r="A149" s="21"/>
      <c r="B149"/>
      <c r="F149" s="87"/>
      <c r="H149" s="87"/>
      <c r="I149" s="89"/>
    </row>
    <row r="150" spans="1:9">
      <c r="A150" s="21"/>
      <c r="B150"/>
      <c r="F150" s="87"/>
      <c r="H150" s="87"/>
      <c r="I150" s="89"/>
    </row>
    <row r="151" spans="1:9">
      <c r="A151" s="21"/>
      <c r="B151"/>
      <c r="F151" s="87"/>
      <c r="H151" s="87"/>
      <c r="I151" s="89"/>
    </row>
    <row r="152" spans="1:9">
      <c r="A152" s="21"/>
      <c r="B152"/>
      <c r="F152" s="87"/>
      <c r="H152" s="87"/>
      <c r="I152" s="89"/>
    </row>
    <row r="153" spans="1:9">
      <c r="A153" s="21"/>
      <c r="B153"/>
      <c r="F153" s="87"/>
      <c r="H153" s="87"/>
      <c r="I153" s="89"/>
    </row>
    <row r="154" spans="1:9">
      <c r="A154" s="21"/>
      <c r="B154"/>
      <c r="F154" s="87"/>
      <c r="H154" s="87"/>
      <c r="I154" s="89"/>
    </row>
    <row r="155" spans="1:9">
      <c r="A155" s="21"/>
      <c r="B155"/>
      <c r="F155" s="87"/>
      <c r="H155" s="87"/>
      <c r="I155" s="89"/>
    </row>
    <row r="156" spans="1:9">
      <c r="A156" s="21"/>
      <c r="B156"/>
      <c r="F156" s="87"/>
      <c r="H156" s="87"/>
      <c r="I156" s="89"/>
    </row>
    <row r="157" spans="1:9">
      <c r="A157" s="21"/>
      <c r="B157"/>
      <c r="F157" s="87"/>
      <c r="H157" s="87"/>
      <c r="I157" s="89"/>
    </row>
    <row r="158" spans="1:9">
      <c r="A158" s="21"/>
      <c r="B158"/>
      <c r="F158" s="87"/>
      <c r="H158" s="87"/>
      <c r="I158" s="89"/>
    </row>
    <row r="159" spans="1:9">
      <c r="A159" s="21"/>
      <c r="B159"/>
      <c r="F159" s="87"/>
      <c r="H159" s="87"/>
      <c r="I159" s="89"/>
    </row>
    <row r="160" spans="1:9">
      <c r="A160" s="21"/>
      <c r="B160"/>
      <c r="F160" s="87"/>
      <c r="H160" s="87"/>
      <c r="I160" s="89"/>
    </row>
    <row r="161" spans="1:9">
      <c r="A161" s="21"/>
      <c r="B161"/>
      <c r="F161" s="87"/>
      <c r="H161" s="87"/>
      <c r="I161" s="89"/>
    </row>
    <row r="162" spans="1:9">
      <c r="A162" s="21"/>
      <c r="B162"/>
      <c r="F162" s="87"/>
      <c r="H162" s="87"/>
      <c r="I162" s="89"/>
    </row>
    <row r="163" spans="1:9">
      <c r="A163" s="21"/>
      <c r="B163"/>
      <c r="F163" s="87"/>
      <c r="H163" s="87"/>
      <c r="I163" s="89"/>
    </row>
    <row r="164" spans="1:9">
      <c r="A164" s="21"/>
      <c r="B164"/>
      <c r="F164" s="87"/>
      <c r="H164" s="87"/>
      <c r="I164" s="89"/>
    </row>
    <row r="165" spans="1:9">
      <c r="A165" s="21"/>
      <c r="B165"/>
      <c r="F165" s="87"/>
      <c r="H165" s="87"/>
      <c r="I165" s="89"/>
    </row>
    <row r="166" spans="1:9">
      <c r="A166" s="21"/>
      <c r="B166"/>
      <c r="F166" s="87"/>
      <c r="H166" s="87"/>
      <c r="I166" s="89"/>
    </row>
    <row r="167" spans="1:9">
      <c r="A167" s="21"/>
      <c r="B167"/>
      <c r="F167" s="87"/>
      <c r="H167" s="87"/>
      <c r="I167" s="89"/>
    </row>
    <row r="168" spans="1:9">
      <c r="A168" s="21"/>
      <c r="B168"/>
      <c r="F168" s="87"/>
      <c r="H168" s="87"/>
      <c r="I168" s="89"/>
    </row>
    <row r="169" spans="1:9">
      <c r="A169" s="21"/>
      <c r="B169"/>
      <c r="F169" s="87"/>
      <c r="H169" s="87"/>
      <c r="I169" s="89"/>
    </row>
    <row r="170" spans="1:9">
      <c r="A170" s="21"/>
      <c r="B170"/>
      <c r="F170" s="87"/>
      <c r="H170" s="87"/>
      <c r="I170" s="89"/>
    </row>
    <row r="171" spans="1:9">
      <c r="A171" s="21"/>
      <c r="B171"/>
      <c r="F171" s="87"/>
      <c r="H171" s="87"/>
      <c r="I171" s="89"/>
    </row>
    <row r="172" spans="1:9">
      <c r="A172" s="21"/>
      <c r="B172"/>
      <c r="F172" s="87"/>
      <c r="H172" s="87"/>
      <c r="I172" s="89"/>
    </row>
    <row r="173" spans="1:9">
      <c r="A173" s="21"/>
      <c r="B173"/>
      <c r="F173" s="87"/>
      <c r="H173" s="87"/>
      <c r="I173" s="89"/>
    </row>
    <row r="174" spans="1:9">
      <c r="A174" s="21"/>
      <c r="B174"/>
      <c r="F174" s="87"/>
      <c r="H174" s="87"/>
      <c r="I174" s="89"/>
    </row>
    <row r="175" spans="1:9">
      <c r="A175" s="21"/>
      <c r="B175"/>
      <c r="F175" s="87"/>
      <c r="H175" s="87"/>
      <c r="I175" s="89"/>
    </row>
    <row r="176" spans="1:9">
      <c r="A176" s="21"/>
      <c r="B176"/>
      <c r="F176" s="87"/>
      <c r="H176" s="87"/>
      <c r="I176" s="89"/>
    </row>
    <row r="177" spans="1:9">
      <c r="A177" s="21"/>
      <c r="B177"/>
      <c r="F177" s="87"/>
      <c r="H177" s="87"/>
      <c r="I177" s="89"/>
    </row>
    <row r="178" spans="1:9">
      <c r="A178" s="21"/>
      <c r="B178"/>
      <c r="F178" s="87"/>
      <c r="H178" s="87"/>
      <c r="I178" s="89"/>
    </row>
    <row r="179" spans="1:9">
      <c r="A179" s="21"/>
      <c r="B179"/>
      <c r="F179" s="87"/>
      <c r="H179" s="87"/>
      <c r="I179" s="89"/>
    </row>
    <row r="180" spans="1:9">
      <c r="A180" s="21"/>
      <c r="B180"/>
      <c r="F180" s="87"/>
      <c r="H180" s="87"/>
      <c r="I180" s="89"/>
    </row>
    <row r="181" spans="1:9">
      <c r="A181" s="21"/>
      <c r="B181"/>
      <c r="F181" s="87"/>
      <c r="H181" s="87"/>
      <c r="I181" s="89"/>
    </row>
    <row r="182" spans="1:9">
      <c r="A182" s="21"/>
      <c r="B182"/>
      <c r="F182" s="87"/>
      <c r="H182" s="87"/>
      <c r="I182" s="89"/>
    </row>
    <row r="183" spans="1:9">
      <c r="A183" s="21"/>
      <c r="B183"/>
      <c r="F183" s="87"/>
      <c r="H183" s="87"/>
      <c r="I183" s="89"/>
    </row>
    <row r="184" spans="1:9">
      <c r="A184" s="21"/>
      <c r="B184"/>
      <c r="F184" s="87"/>
      <c r="H184" s="87"/>
      <c r="I184" s="89"/>
    </row>
    <row r="185" spans="1:9">
      <c r="A185" s="21"/>
      <c r="B185"/>
      <c r="F185" s="87"/>
      <c r="H185" s="87"/>
      <c r="I185" s="89"/>
    </row>
    <row r="186" spans="1:9">
      <c r="A186" s="21"/>
      <c r="B186"/>
      <c r="F186" s="87"/>
      <c r="H186" s="87"/>
      <c r="I186" s="89"/>
    </row>
    <row r="187" spans="1:9">
      <c r="A187" s="21"/>
      <c r="B187"/>
      <c r="F187" s="87"/>
      <c r="H187" s="87"/>
      <c r="I187" s="89"/>
    </row>
    <row r="188" spans="1:9">
      <c r="A188" s="21"/>
      <c r="B188"/>
      <c r="F188" s="87"/>
      <c r="H188" s="87"/>
      <c r="I188" s="89"/>
    </row>
    <row r="189" spans="1:9">
      <c r="A189" s="21"/>
      <c r="B189"/>
      <c r="F189" s="87"/>
      <c r="H189" s="87"/>
      <c r="I189" s="89"/>
    </row>
    <row r="190" spans="1:9">
      <c r="A190" s="21"/>
      <c r="B190"/>
      <c r="F190" s="87"/>
      <c r="H190" s="87"/>
      <c r="I190" s="89"/>
    </row>
    <row r="191" spans="1:9">
      <c r="A191" s="21"/>
      <c r="B191"/>
      <c r="F191" s="87"/>
      <c r="H191" s="87"/>
      <c r="I191" s="89"/>
    </row>
    <row r="192" spans="1:9">
      <c r="A192" s="21"/>
      <c r="B192"/>
      <c r="F192" s="87"/>
      <c r="H192" s="87"/>
      <c r="I192" s="89"/>
    </row>
    <row r="193" spans="1:9">
      <c r="A193" s="21"/>
      <c r="B193"/>
      <c r="F193" s="87"/>
      <c r="H193" s="87"/>
      <c r="I193" s="89"/>
    </row>
    <row r="194" spans="1:9">
      <c r="A194" s="21"/>
      <c r="B194"/>
      <c r="F194" s="87"/>
      <c r="H194" s="87"/>
      <c r="I194" s="89"/>
    </row>
    <row r="195" spans="1:9">
      <c r="A195" s="21"/>
      <c r="B195"/>
      <c r="F195" s="87"/>
      <c r="H195" s="87"/>
      <c r="I195" s="89"/>
    </row>
    <row r="196" spans="1:9">
      <c r="A196" s="21"/>
      <c r="B196"/>
      <c r="F196" s="87"/>
      <c r="H196" s="87"/>
      <c r="I196" s="89"/>
    </row>
    <row r="197" spans="1:9">
      <c r="A197" s="21"/>
      <c r="B197"/>
      <c r="F197" s="87"/>
      <c r="H197" s="87"/>
      <c r="I197" s="89"/>
    </row>
    <row r="198" spans="1:9">
      <c r="A198" s="21"/>
      <c r="B198"/>
      <c r="F198" s="87"/>
      <c r="H198" s="87"/>
      <c r="I198" s="89"/>
    </row>
    <row r="199" spans="1:9">
      <c r="A199" s="21"/>
      <c r="B199"/>
      <c r="F199" s="87"/>
      <c r="H199" s="87"/>
      <c r="I199" s="89"/>
    </row>
    <row r="200" spans="1:9">
      <c r="A200" s="21"/>
      <c r="B200"/>
      <c r="F200" s="87"/>
      <c r="H200" s="87"/>
      <c r="I200" s="89"/>
    </row>
    <row r="201" spans="1:9">
      <c r="A201" s="21"/>
      <c r="B201"/>
      <c r="F201" s="87"/>
      <c r="H201" s="87"/>
      <c r="I201" s="89"/>
    </row>
    <row r="202" spans="1:9">
      <c r="A202" s="21"/>
      <c r="B202"/>
      <c r="F202" s="87"/>
      <c r="H202" s="87"/>
      <c r="I202" s="89"/>
    </row>
    <row r="203" spans="1:9">
      <c r="A203" s="21"/>
      <c r="B203"/>
      <c r="F203" s="87"/>
      <c r="H203" s="87"/>
      <c r="I203" s="89"/>
    </row>
    <row r="204" spans="1:9">
      <c r="A204" s="21"/>
      <c r="B204"/>
      <c r="F204" s="87"/>
      <c r="H204" s="87"/>
      <c r="I204" s="89"/>
    </row>
    <row r="205" spans="1:9">
      <c r="A205" s="21"/>
      <c r="B205"/>
      <c r="F205" s="87"/>
      <c r="H205" s="87"/>
      <c r="I205" s="89"/>
    </row>
    <row r="206" spans="1:9">
      <c r="A206" s="21"/>
      <c r="B206"/>
      <c r="F206" s="87"/>
      <c r="H206" s="87"/>
      <c r="I206" s="89"/>
    </row>
    <row r="207" spans="1:9">
      <c r="A207" s="21"/>
      <c r="B207"/>
      <c r="F207" s="87"/>
      <c r="H207" s="87"/>
      <c r="I207" s="89"/>
    </row>
    <row r="208" spans="1:9">
      <c r="A208" s="21"/>
      <c r="B208"/>
      <c r="F208" s="87"/>
      <c r="H208" s="87"/>
      <c r="I208" s="89"/>
    </row>
    <row r="209" spans="1:9">
      <c r="A209" s="21"/>
      <c r="B209"/>
      <c r="F209" s="87"/>
      <c r="H209" s="87"/>
      <c r="I209" s="89"/>
    </row>
    <row r="210" spans="1:9">
      <c r="A210" s="21"/>
      <c r="B210"/>
      <c r="F210" s="87"/>
      <c r="H210" s="87"/>
      <c r="I210" s="89"/>
    </row>
    <row r="211" spans="1:9">
      <c r="A211" s="21"/>
      <c r="B211"/>
      <c r="F211" s="87"/>
      <c r="H211" s="87"/>
      <c r="I211" s="89"/>
    </row>
    <row r="212" spans="1:9">
      <c r="A212" s="21"/>
      <c r="B212"/>
      <c r="F212" s="87"/>
      <c r="H212" s="87"/>
      <c r="I212" s="89"/>
    </row>
    <row r="213" spans="1:9">
      <c r="A213" s="21"/>
      <c r="B213"/>
      <c r="F213" s="87"/>
      <c r="H213" s="87"/>
      <c r="I213" s="89"/>
    </row>
    <row r="214" spans="1:9">
      <c r="A214" s="21"/>
      <c r="B214"/>
      <c r="F214" s="87"/>
      <c r="H214" s="87"/>
      <c r="I214" s="89"/>
    </row>
    <row r="215" spans="1:9">
      <c r="A215" s="21"/>
      <c r="B215"/>
      <c r="F215" s="87"/>
      <c r="H215" s="87"/>
      <c r="I215" s="89"/>
    </row>
    <row r="216" spans="1:9">
      <c r="A216" s="21"/>
      <c r="B216"/>
      <c r="F216" s="87"/>
      <c r="H216" s="87"/>
      <c r="I216" s="89"/>
    </row>
    <row r="217" spans="1:9">
      <c r="A217" s="21"/>
      <c r="B217"/>
      <c r="F217" s="87"/>
      <c r="H217" s="87"/>
      <c r="I217" s="89"/>
    </row>
    <row r="218" spans="1:9">
      <c r="A218" s="21"/>
      <c r="B218"/>
      <c r="F218" s="87"/>
      <c r="H218" s="87"/>
      <c r="I218" s="89"/>
    </row>
    <row r="219" spans="1:9">
      <c r="A219" s="21"/>
      <c r="B219"/>
      <c r="F219" s="87"/>
      <c r="H219" s="87"/>
      <c r="I219" s="89"/>
    </row>
    <row r="220" spans="1:9">
      <c r="A220" s="21"/>
      <c r="B220"/>
      <c r="F220" s="87"/>
      <c r="H220" s="87"/>
      <c r="I220" s="89"/>
    </row>
    <row r="221" spans="1:9">
      <c r="A221" s="21"/>
      <c r="B221"/>
      <c r="F221" s="87"/>
      <c r="H221" s="87"/>
      <c r="I221" s="89"/>
    </row>
    <row r="222" spans="1:9">
      <c r="A222" s="21"/>
      <c r="B222"/>
      <c r="F222" s="87"/>
      <c r="H222" s="87"/>
      <c r="I222" s="89"/>
    </row>
    <row r="223" spans="1:9">
      <c r="A223" s="21"/>
      <c r="B223"/>
      <c r="F223" s="87"/>
      <c r="H223" s="87"/>
      <c r="I223" s="89"/>
    </row>
    <row r="224" spans="1:9">
      <c r="A224" s="21"/>
      <c r="B224"/>
      <c r="F224" s="87"/>
      <c r="H224" s="87"/>
      <c r="I224" s="89"/>
    </row>
    <row r="225" spans="1:9">
      <c r="A225" s="21"/>
      <c r="B225"/>
      <c r="F225" s="87"/>
      <c r="H225" s="87"/>
      <c r="I225" s="89"/>
    </row>
    <row r="226" spans="1:9">
      <c r="A226" s="21"/>
      <c r="B226"/>
      <c r="F226" s="87"/>
      <c r="H226" s="87"/>
      <c r="I226" s="89"/>
    </row>
    <row r="227" spans="1:9">
      <c r="A227" s="21"/>
      <c r="B227"/>
      <c r="F227" s="87"/>
      <c r="H227" s="87"/>
      <c r="I227" s="89"/>
    </row>
    <row r="228" spans="1:9">
      <c r="A228" s="21"/>
      <c r="B228"/>
      <c r="F228" s="87"/>
      <c r="H228" s="87"/>
      <c r="I228" s="89"/>
    </row>
    <row r="229" spans="1:9">
      <c r="A229" s="21"/>
      <c r="B229"/>
      <c r="F229" s="87"/>
      <c r="H229" s="87"/>
      <c r="I229" s="89"/>
    </row>
    <row r="230" spans="1:9">
      <c r="A230" s="21"/>
      <c r="B230"/>
      <c r="F230" s="87"/>
      <c r="H230" s="87"/>
      <c r="I230" s="89"/>
    </row>
    <row r="231" spans="1:9">
      <c r="A231" s="21"/>
      <c r="B231"/>
      <c r="F231" s="87"/>
      <c r="H231" s="87"/>
      <c r="I231" s="89"/>
    </row>
    <row r="232" spans="1:9">
      <c r="A232" s="21"/>
      <c r="B232"/>
      <c r="F232" s="87"/>
      <c r="H232" s="87"/>
      <c r="I232" s="89"/>
    </row>
    <row r="233" spans="1:9">
      <c r="A233" s="21"/>
      <c r="B233"/>
      <c r="F233" s="87"/>
      <c r="H233" s="87"/>
      <c r="I233" s="89"/>
    </row>
    <row r="234" spans="1:9">
      <c r="A234" s="21"/>
      <c r="B234"/>
      <c r="F234" s="87"/>
      <c r="H234" s="87"/>
      <c r="I234" s="89"/>
    </row>
    <row r="235" spans="1:9">
      <c r="A235" s="21"/>
      <c r="B235"/>
      <c r="F235" s="87"/>
      <c r="H235" s="87"/>
      <c r="I235" s="89"/>
    </row>
    <row r="236" spans="1:9">
      <c r="A236" s="21"/>
      <c r="B236"/>
      <c r="F236" s="87"/>
      <c r="H236" s="87"/>
      <c r="I236" s="89"/>
    </row>
    <row r="237" spans="1:9">
      <c r="A237" s="21"/>
      <c r="B237"/>
      <c r="F237" s="87"/>
      <c r="H237" s="87"/>
      <c r="I237" s="89"/>
    </row>
    <row r="238" spans="1:9">
      <c r="A238" s="21"/>
      <c r="B238"/>
      <c r="F238" s="87"/>
      <c r="H238" s="87"/>
      <c r="I238" s="89"/>
    </row>
    <row r="239" spans="1:9">
      <c r="A239" s="21"/>
      <c r="B239"/>
      <c r="F239" s="87"/>
      <c r="H239" s="87"/>
      <c r="I239" s="89"/>
    </row>
    <row r="240" spans="1:9">
      <c r="A240" s="21"/>
      <c r="B240"/>
      <c r="F240" s="87"/>
      <c r="H240" s="87"/>
      <c r="I240" s="89"/>
    </row>
    <row r="241" spans="1:9">
      <c r="A241" s="21"/>
      <c r="B241"/>
      <c r="F241" s="87"/>
      <c r="H241" s="87"/>
      <c r="I241" s="89"/>
    </row>
    <row r="242" spans="1:9">
      <c r="A242" s="21"/>
      <c r="B242"/>
      <c r="F242" s="87"/>
      <c r="H242" s="87"/>
      <c r="I242" s="89"/>
    </row>
    <row r="243" spans="1:9">
      <c r="A243" s="21"/>
      <c r="B243"/>
      <c r="F243" s="87"/>
      <c r="H243" s="87"/>
      <c r="I243" s="89"/>
    </row>
    <row r="244" spans="1:9">
      <c r="A244" s="21"/>
      <c r="B244"/>
      <c r="F244" s="87"/>
      <c r="H244" s="87"/>
      <c r="I244" s="89"/>
    </row>
    <row r="245" spans="1:9">
      <c r="A245" s="21"/>
      <c r="B245"/>
      <c r="F245" s="87"/>
      <c r="H245" s="87"/>
      <c r="I245" s="89"/>
    </row>
    <row r="246" spans="1:9">
      <c r="A246" s="21"/>
      <c r="B246"/>
      <c r="F246" s="87"/>
      <c r="H246" s="87"/>
      <c r="I246" s="89"/>
    </row>
    <row r="247" spans="1:9">
      <c r="A247" s="21"/>
      <c r="B247"/>
      <c r="F247" s="87"/>
      <c r="H247" s="87"/>
      <c r="I247" s="89"/>
    </row>
    <row r="248" spans="1:9">
      <c r="A248" s="21"/>
      <c r="B248"/>
      <c r="F248" s="87"/>
      <c r="H248" s="87"/>
      <c r="I248" s="89"/>
    </row>
    <row r="249" spans="1:9">
      <c r="A249" s="21"/>
      <c r="B249"/>
      <c r="F249" s="87"/>
      <c r="H249" s="87"/>
      <c r="I249" s="89"/>
    </row>
    <row r="250" spans="1:9">
      <c r="A250" s="21"/>
      <c r="B250"/>
      <c r="F250" s="87"/>
      <c r="H250" s="87"/>
      <c r="I250" s="89"/>
    </row>
    <row r="251" spans="1:9">
      <c r="A251" s="21"/>
      <c r="B251"/>
      <c r="F251" s="87"/>
      <c r="H251" s="87"/>
      <c r="I251" s="89"/>
    </row>
    <row r="252" spans="1:9">
      <c r="A252" s="21"/>
      <c r="B252"/>
      <c r="F252" s="87"/>
      <c r="H252" s="87"/>
      <c r="I252" s="89"/>
    </row>
    <row r="253" spans="1:9">
      <c r="A253" s="21"/>
      <c r="B253"/>
      <c r="F253" s="87"/>
      <c r="H253" s="87"/>
      <c r="I253" s="89"/>
    </row>
    <row r="254" spans="1:9">
      <c r="A254" s="21"/>
      <c r="B254"/>
      <c r="F254" s="87"/>
      <c r="H254" s="87"/>
      <c r="I254" s="89"/>
    </row>
    <row r="255" spans="1:9">
      <c r="A255" s="21"/>
      <c r="B255"/>
      <c r="F255" s="87"/>
      <c r="H255" s="87"/>
      <c r="I255" s="89"/>
    </row>
    <row r="256" spans="1:9">
      <c r="A256" s="21"/>
      <c r="B256"/>
      <c r="F256" s="87"/>
      <c r="H256" s="87"/>
      <c r="I256" s="89"/>
    </row>
    <row r="257" spans="1:9">
      <c r="A257" s="21"/>
      <c r="B257"/>
      <c r="F257" s="87"/>
      <c r="H257" s="87"/>
      <c r="I257" s="89"/>
    </row>
    <row r="258" spans="1:9">
      <c r="A258" s="21"/>
      <c r="B258"/>
      <c r="F258" s="87"/>
      <c r="H258" s="87"/>
      <c r="I258" s="89"/>
    </row>
    <row r="259" spans="1:9">
      <c r="A259" s="21"/>
      <c r="B259"/>
      <c r="F259" s="87"/>
      <c r="H259" s="87"/>
      <c r="I259" s="89"/>
    </row>
    <row r="260" spans="1:9">
      <c r="A260" s="21"/>
      <c r="B260"/>
      <c r="F260" s="87"/>
      <c r="H260" s="87"/>
      <c r="I260" s="89"/>
    </row>
    <row r="261" spans="1:9">
      <c r="A261" s="21"/>
      <c r="B261"/>
      <c r="F261" s="87"/>
      <c r="H261" s="87"/>
      <c r="I261" s="89"/>
    </row>
    <row r="262" spans="1:9">
      <c r="A262" s="21"/>
      <c r="B262"/>
      <c r="F262" s="87"/>
      <c r="H262" s="87"/>
      <c r="I262" s="89"/>
    </row>
    <row r="263" spans="1:9">
      <c r="A263" s="21"/>
      <c r="B263"/>
      <c r="F263" s="87"/>
      <c r="H263" s="87"/>
      <c r="I263" s="89"/>
    </row>
    <row r="264" spans="1:9">
      <c r="A264" s="21"/>
      <c r="B264"/>
      <c r="F264" s="87"/>
      <c r="H264" s="87"/>
      <c r="I264" s="89"/>
    </row>
    <row r="265" spans="1:9">
      <c r="A265" s="21"/>
      <c r="B265"/>
      <c r="F265" s="87"/>
      <c r="H265" s="87"/>
      <c r="I265" s="89"/>
    </row>
    <row r="266" spans="1:9">
      <c r="A266" s="21"/>
      <c r="B266"/>
      <c r="F266" s="87"/>
      <c r="H266" s="87"/>
      <c r="I266" s="89"/>
    </row>
    <row r="267" spans="1:9">
      <c r="A267" s="21"/>
      <c r="B267"/>
      <c r="F267" s="87"/>
      <c r="H267" s="87"/>
      <c r="I267" s="89"/>
    </row>
    <row r="268" spans="1:9">
      <c r="A268" s="21"/>
      <c r="B268"/>
      <c r="F268" s="87"/>
      <c r="H268" s="87"/>
      <c r="I268" s="89"/>
    </row>
    <row r="269" spans="1:9">
      <c r="A269" s="21"/>
      <c r="B269"/>
      <c r="F269" s="87"/>
      <c r="H269" s="87"/>
      <c r="I269" s="89"/>
    </row>
    <row r="270" spans="1:9">
      <c r="A270" s="21"/>
      <c r="B270"/>
      <c r="F270" s="87"/>
      <c r="H270" s="87"/>
      <c r="I270" s="89"/>
    </row>
    <row r="271" spans="1:9">
      <c r="A271" s="21"/>
      <c r="B271"/>
      <c r="F271" s="87"/>
      <c r="H271" s="87"/>
      <c r="I271" s="89"/>
    </row>
    <row r="272" spans="1:9">
      <c r="A272" s="21"/>
      <c r="B272"/>
      <c r="F272" s="87"/>
      <c r="H272" s="87"/>
      <c r="I272" s="89"/>
    </row>
    <row r="273" spans="1:9">
      <c r="A273" s="21"/>
      <c r="B273"/>
      <c r="F273" s="87"/>
      <c r="H273" s="87"/>
      <c r="I273" s="89"/>
    </row>
    <row r="274" spans="1:9">
      <c r="A274" s="21"/>
      <c r="B274"/>
      <c r="F274" s="87"/>
      <c r="H274" s="87"/>
      <c r="I274" s="89"/>
    </row>
    <row r="275" spans="1:9">
      <c r="A275" s="21"/>
      <c r="B275"/>
      <c r="F275" s="87"/>
      <c r="H275" s="87"/>
      <c r="I275" s="89"/>
    </row>
    <row r="276" spans="1:9">
      <c r="A276" s="21"/>
      <c r="B276"/>
      <c r="F276" s="87"/>
      <c r="H276" s="87"/>
      <c r="I276" s="89"/>
    </row>
    <row r="277" spans="1:9">
      <c r="A277" s="21"/>
      <c r="B277"/>
      <c r="F277" s="87"/>
      <c r="H277" s="87"/>
      <c r="I277" s="89"/>
    </row>
    <row r="278" spans="1:9">
      <c r="A278" s="21"/>
      <c r="B278"/>
      <c r="F278" s="87"/>
      <c r="H278" s="87"/>
      <c r="I278" s="89"/>
    </row>
    <row r="279" spans="1:9">
      <c r="A279" s="21"/>
      <c r="B279"/>
      <c r="F279" s="87"/>
      <c r="H279" s="87"/>
      <c r="I279" s="89"/>
    </row>
    <row r="280" spans="1:9">
      <c r="A280" s="21"/>
      <c r="B280"/>
      <c r="F280" s="87"/>
      <c r="H280" s="87"/>
      <c r="I280" s="89"/>
    </row>
    <row r="281" spans="1:9">
      <c r="A281" s="21"/>
      <c r="B281"/>
      <c r="F281" s="87"/>
      <c r="H281" s="87"/>
      <c r="I281" s="89"/>
    </row>
    <row r="282" spans="1:9">
      <c r="A282" s="21"/>
      <c r="B282"/>
      <c r="F282" s="87"/>
      <c r="H282" s="87"/>
      <c r="I282" s="89"/>
    </row>
    <row r="283" spans="1:9">
      <c r="A283" s="21"/>
      <c r="B283"/>
      <c r="F283" s="87"/>
      <c r="H283" s="87"/>
      <c r="I283" s="89"/>
    </row>
    <row r="284" spans="1:9">
      <c r="A284" s="21"/>
      <c r="B284"/>
      <c r="F284" s="87"/>
      <c r="H284" s="87"/>
      <c r="I284" s="89"/>
    </row>
    <row r="285" spans="1:9">
      <c r="A285" s="21"/>
      <c r="B285"/>
      <c r="F285" s="87"/>
      <c r="H285" s="87"/>
      <c r="I285" s="89"/>
    </row>
    <row r="286" spans="1:9">
      <c r="A286" s="21"/>
      <c r="B286"/>
      <c r="F286" s="87"/>
      <c r="H286" s="87"/>
      <c r="I286" s="89"/>
    </row>
    <row r="287" spans="1:9">
      <c r="A287" s="21"/>
      <c r="B287"/>
      <c r="F287" s="87"/>
      <c r="H287" s="87"/>
      <c r="I287" s="89"/>
    </row>
    <row r="288" spans="1:9">
      <c r="A288" s="21"/>
      <c r="B288"/>
      <c r="F288" s="87"/>
      <c r="H288" s="87"/>
      <c r="I288" s="89"/>
    </row>
    <row r="289" spans="1:9">
      <c r="A289" s="21"/>
      <c r="B289"/>
      <c r="F289" s="87"/>
      <c r="H289" s="87"/>
      <c r="I289" s="89"/>
    </row>
    <row r="290" spans="1:9">
      <c r="A290" s="21"/>
      <c r="B290"/>
      <c r="F290" s="87"/>
      <c r="H290" s="87"/>
      <c r="I290" s="89"/>
    </row>
    <row r="291" spans="1:9">
      <c r="A291" s="21"/>
      <c r="B291"/>
      <c r="F291" s="87"/>
      <c r="H291" s="87"/>
      <c r="I291" s="89"/>
    </row>
    <row r="292" spans="1:9">
      <c r="A292" s="21"/>
      <c r="B292"/>
      <c r="F292" s="87"/>
      <c r="H292" s="87"/>
      <c r="I292" s="89"/>
    </row>
    <row r="293" spans="1:9">
      <c r="A293" s="21"/>
      <c r="B293"/>
      <c r="F293" s="87"/>
      <c r="H293" s="87"/>
      <c r="I293" s="89"/>
    </row>
    <row r="294" spans="1:9">
      <c r="A294" s="21"/>
      <c r="B294"/>
      <c r="F294" s="87"/>
      <c r="H294" s="87"/>
      <c r="I294" s="89"/>
    </row>
    <row r="295" spans="1:9">
      <c r="A295" s="21"/>
      <c r="B295"/>
      <c r="F295" s="87"/>
      <c r="H295" s="87"/>
      <c r="I295" s="89"/>
    </row>
    <row r="296" spans="1:9">
      <c r="A296" s="21"/>
      <c r="B296"/>
      <c r="F296" s="87"/>
      <c r="H296" s="87"/>
      <c r="I296" s="89"/>
    </row>
    <row r="297" spans="1:9">
      <c r="A297" s="21"/>
      <c r="B297"/>
      <c r="F297" s="87"/>
      <c r="H297" s="87"/>
      <c r="I297" s="89"/>
    </row>
    <row r="298" spans="1:9">
      <c r="A298" s="21"/>
      <c r="B298"/>
      <c r="F298" s="87"/>
      <c r="H298" s="87"/>
      <c r="I298" s="89"/>
    </row>
    <row r="299" spans="1:9">
      <c r="A299" s="21"/>
      <c r="B299"/>
      <c r="F299" s="87"/>
      <c r="H299" s="87"/>
      <c r="I299" s="89"/>
    </row>
    <row r="300" spans="1:9">
      <c r="A300" s="21"/>
      <c r="B300"/>
      <c r="F300" s="87"/>
      <c r="H300" s="87"/>
      <c r="I300" s="89"/>
    </row>
    <row r="301" spans="1:9">
      <c r="A301" s="21"/>
      <c r="B301"/>
      <c r="F301" s="87"/>
      <c r="H301" s="87"/>
      <c r="I301" s="89"/>
    </row>
    <row r="302" spans="1:9">
      <c r="A302" s="21"/>
      <c r="B302"/>
      <c r="F302" s="87"/>
      <c r="H302" s="87"/>
      <c r="I302" s="89"/>
    </row>
    <row r="303" spans="1:9">
      <c r="A303" s="21"/>
      <c r="B303"/>
      <c r="F303" s="87"/>
      <c r="H303" s="87"/>
      <c r="I303" s="89"/>
    </row>
    <row r="304" spans="1:9">
      <c r="A304" s="21"/>
      <c r="B304"/>
      <c r="F304" s="87"/>
      <c r="H304" s="87"/>
      <c r="I304" s="89"/>
    </row>
    <row r="305" spans="1:9">
      <c r="A305" s="21"/>
      <c r="B305"/>
      <c r="F305" s="87"/>
      <c r="H305" s="87"/>
      <c r="I305" s="89"/>
    </row>
    <row r="306" spans="1:9">
      <c r="A306" s="21"/>
      <c r="B306"/>
      <c r="F306" s="87"/>
      <c r="H306" s="87"/>
      <c r="I306" s="89"/>
    </row>
    <row r="307" spans="1:9">
      <c r="A307" s="21"/>
      <c r="B307"/>
      <c r="F307" s="87"/>
      <c r="H307" s="87"/>
      <c r="I307" s="89"/>
    </row>
    <row r="308" spans="1:9">
      <c r="A308" s="21"/>
      <c r="B308"/>
      <c r="F308" s="87"/>
      <c r="H308" s="87"/>
      <c r="I308" s="89"/>
    </row>
    <row r="309" spans="1:9">
      <c r="A309" s="21"/>
      <c r="B309"/>
      <c r="F309" s="87"/>
      <c r="H309" s="87"/>
      <c r="I309" s="89"/>
    </row>
    <row r="310" spans="1:9">
      <c r="A310" s="21"/>
      <c r="B310"/>
      <c r="F310" s="87"/>
      <c r="H310" s="87"/>
      <c r="I310" s="89"/>
    </row>
    <row r="311" spans="1:9">
      <c r="A311" s="21"/>
      <c r="B311"/>
      <c r="F311" s="87"/>
      <c r="H311" s="87"/>
      <c r="I311" s="89"/>
    </row>
    <row r="312" spans="1:9">
      <c r="A312" s="21"/>
      <c r="B312"/>
      <c r="F312" s="87"/>
      <c r="H312" s="87"/>
      <c r="I312" s="89"/>
    </row>
    <row r="313" spans="1:9">
      <c r="A313" s="21"/>
      <c r="B313"/>
      <c r="F313" s="87"/>
      <c r="H313" s="87"/>
      <c r="I313" s="89"/>
    </row>
    <row r="314" spans="1:9">
      <c r="A314" s="21"/>
      <c r="B314"/>
      <c r="F314" s="87"/>
      <c r="H314" s="87"/>
      <c r="I314" s="89"/>
    </row>
    <row r="315" spans="1:9">
      <c r="A315" s="21"/>
      <c r="B315"/>
      <c r="F315" s="87"/>
      <c r="H315" s="87"/>
      <c r="I315" s="89"/>
    </row>
    <row r="316" spans="1:9">
      <c r="A316" s="21"/>
      <c r="B316"/>
      <c r="F316" s="87"/>
      <c r="H316" s="87"/>
      <c r="I316" s="89"/>
    </row>
    <row r="317" spans="1:9">
      <c r="A317" s="21"/>
      <c r="B317"/>
      <c r="F317" s="87"/>
      <c r="H317" s="87"/>
      <c r="I317" s="89"/>
    </row>
    <row r="318" spans="1:9">
      <c r="A318" s="21"/>
      <c r="B318"/>
      <c r="F318" s="87"/>
      <c r="H318" s="87"/>
      <c r="I318" s="89"/>
    </row>
    <row r="319" spans="1:9">
      <c r="A319" s="21"/>
      <c r="B319"/>
      <c r="F319" s="87"/>
      <c r="H319" s="87"/>
      <c r="I319" s="89"/>
    </row>
    <row r="320" spans="1:9">
      <c r="A320" s="21"/>
      <c r="B320"/>
      <c r="F320" s="87"/>
      <c r="H320" s="87"/>
      <c r="I320" s="89"/>
    </row>
    <row r="321" spans="1:9">
      <c r="A321" s="21"/>
      <c r="B321"/>
      <c r="F321" s="87"/>
      <c r="H321" s="87"/>
      <c r="I321" s="89"/>
    </row>
    <row r="322" spans="1:9">
      <c r="A322" s="21"/>
      <c r="B322"/>
      <c r="F322" s="87"/>
      <c r="H322" s="87"/>
      <c r="I322" s="89"/>
    </row>
    <row r="323" spans="1:9">
      <c r="A323" s="21"/>
      <c r="B323"/>
      <c r="F323" s="87"/>
      <c r="H323" s="87"/>
      <c r="I323" s="89"/>
    </row>
    <row r="324" spans="1:9">
      <c r="A324" s="21"/>
      <c r="B324"/>
      <c r="F324" s="87"/>
      <c r="H324" s="87"/>
      <c r="I324" s="89"/>
    </row>
    <row r="325" spans="1:9">
      <c r="A325" s="21"/>
      <c r="B325"/>
      <c r="F325" s="87"/>
      <c r="H325" s="87"/>
      <c r="I325" s="89"/>
    </row>
    <row r="326" spans="1:9">
      <c r="A326" s="21"/>
      <c r="B326"/>
      <c r="F326" s="87"/>
      <c r="H326" s="87"/>
      <c r="I326" s="89"/>
    </row>
    <row r="327" spans="1:9">
      <c r="A327" s="21"/>
      <c r="B327"/>
      <c r="F327" s="87"/>
      <c r="H327" s="87"/>
      <c r="I327" s="89"/>
    </row>
    <row r="328" spans="1:9">
      <c r="A328" s="21"/>
      <c r="B328"/>
      <c r="F328" s="87"/>
      <c r="H328" s="87"/>
      <c r="I328" s="89"/>
    </row>
    <row r="329" spans="1:9">
      <c r="A329" s="21"/>
      <c r="B329"/>
      <c r="F329" s="87"/>
      <c r="H329" s="87"/>
      <c r="I329" s="89"/>
    </row>
    <row r="330" spans="1:9">
      <c r="A330" s="21"/>
      <c r="B330"/>
      <c r="F330" s="87"/>
      <c r="H330" s="87"/>
      <c r="I330" s="89"/>
    </row>
    <row r="331" spans="1:9">
      <c r="A331" s="21"/>
      <c r="B331"/>
      <c r="F331" s="87"/>
      <c r="H331" s="87"/>
      <c r="I331" s="89"/>
    </row>
    <row r="332" spans="1:9">
      <c r="A332" s="21"/>
      <c r="B332"/>
      <c r="F332" s="87"/>
      <c r="H332" s="87"/>
      <c r="I332" s="89"/>
    </row>
    <row r="333" spans="1:9">
      <c r="A333" s="21"/>
      <c r="B333"/>
      <c r="F333" s="87"/>
      <c r="H333" s="87"/>
      <c r="I333" s="89"/>
    </row>
    <row r="334" spans="1:9">
      <c r="A334" s="21"/>
      <c r="B334"/>
      <c r="F334" s="87"/>
      <c r="H334" s="87"/>
      <c r="I334" s="89"/>
    </row>
    <row r="335" spans="1:9">
      <c r="A335" s="21"/>
      <c r="B335"/>
      <c r="F335" s="87"/>
      <c r="H335" s="87"/>
      <c r="I335" s="89"/>
    </row>
    <row r="336" spans="1:9">
      <c r="A336" s="21"/>
      <c r="B336"/>
      <c r="F336" s="87"/>
      <c r="H336" s="87"/>
      <c r="I336" s="89"/>
    </row>
    <row r="337" spans="1:9">
      <c r="A337" s="21"/>
      <c r="B337"/>
      <c r="F337" s="87"/>
      <c r="H337" s="87"/>
      <c r="I337" s="89"/>
    </row>
    <row r="338" spans="1:9">
      <c r="A338" s="21"/>
      <c r="B338"/>
      <c r="F338" s="87"/>
      <c r="H338" s="87"/>
      <c r="I338" s="89"/>
    </row>
    <row r="339" spans="1:9">
      <c r="A339" s="21"/>
      <c r="B339"/>
      <c r="F339" s="87"/>
      <c r="H339" s="87"/>
      <c r="I339" s="89"/>
    </row>
    <row r="340" spans="1:9">
      <c r="A340" s="21"/>
      <c r="B340"/>
      <c r="F340" s="87"/>
      <c r="H340" s="87"/>
      <c r="I340" s="89"/>
    </row>
    <row r="341" spans="1:9">
      <c r="A341" s="21"/>
      <c r="B341"/>
      <c r="F341" s="87"/>
      <c r="H341" s="87"/>
      <c r="I341" s="89"/>
    </row>
    <row r="342" spans="1:9">
      <c r="A342" s="21"/>
      <c r="B342"/>
      <c r="F342" s="87"/>
      <c r="H342" s="87"/>
      <c r="I342" s="89"/>
    </row>
    <row r="343" spans="1:9">
      <c r="A343" s="21"/>
      <c r="B343"/>
      <c r="F343" s="87"/>
      <c r="H343" s="87"/>
      <c r="I343" s="89"/>
    </row>
    <row r="344" spans="1:9">
      <c r="A344" s="21"/>
      <c r="B344"/>
      <c r="F344" s="87"/>
      <c r="H344" s="87"/>
      <c r="I344" s="89"/>
    </row>
    <row r="345" spans="1:9">
      <c r="A345" s="21"/>
      <c r="B345"/>
      <c r="F345" s="87"/>
      <c r="H345" s="87"/>
      <c r="I345" s="89"/>
    </row>
    <row r="346" spans="1:9">
      <c r="A346" s="21"/>
      <c r="B346"/>
      <c r="F346" s="87"/>
      <c r="H346" s="87"/>
      <c r="I346" s="89"/>
    </row>
    <row r="347" spans="1:9">
      <c r="A347" s="21"/>
      <c r="B347"/>
      <c r="F347" s="87"/>
      <c r="H347" s="87"/>
      <c r="I347" s="89"/>
    </row>
    <row r="348" spans="1:9">
      <c r="A348" s="21"/>
      <c r="B348"/>
      <c r="F348" s="87"/>
      <c r="H348" s="87"/>
      <c r="I348" s="89"/>
    </row>
    <row r="349" spans="1:9">
      <c r="A349" s="21"/>
      <c r="B349"/>
      <c r="F349" s="87"/>
      <c r="H349" s="87"/>
      <c r="I349" s="89"/>
    </row>
    <row r="350" spans="1:9">
      <c r="A350" s="21"/>
      <c r="B350"/>
      <c r="F350" s="87"/>
      <c r="H350" s="87"/>
      <c r="I350" s="89"/>
    </row>
    <row r="351" spans="1:9">
      <c r="A351" s="21"/>
      <c r="B351"/>
      <c r="F351" s="87"/>
      <c r="H351" s="87"/>
      <c r="I351" s="89"/>
    </row>
    <row r="352" spans="1:9">
      <c r="A352" s="21"/>
      <c r="B352"/>
      <c r="F352" s="87"/>
      <c r="H352" s="87"/>
      <c r="I352" s="89"/>
    </row>
    <row r="353" spans="1:9">
      <c r="A353" s="21"/>
      <c r="B353"/>
      <c r="F353" s="87"/>
      <c r="H353" s="87"/>
      <c r="I353" s="89"/>
    </row>
    <row r="354" spans="1:9">
      <c r="A354" s="21"/>
      <c r="B354"/>
      <c r="F354" s="87"/>
      <c r="H354" s="87"/>
      <c r="I354" s="89"/>
    </row>
    <row r="355" spans="1:9">
      <c r="A355" s="21"/>
      <c r="B355"/>
      <c r="F355" s="87"/>
      <c r="H355" s="87"/>
      <c r="I355" s="89"/>
    </row>
    <row r="356" spans="1:9">
      <c r="A356" s="21"/>
      <c r="B356"/>
      <c r="F356" s="87"/>
      <c r="H356" s="87"/>
      <c r="I356" s="89"/>
    </row>
    <row r="357" spans="1:9">
      <c r="A357" s="21"/>
      <c r="B357"/>
      <c r="F357" s="87"/>
      <c r="H357" s="87"/>
      <c r="I357" s="89"/>
    </row>
    <row r="358" spans="1:9">
      <c r="A358" s="21"/>
      <c r="B358"/>
      <c r="F358" s="87"/>
      <c r="H358" s="87"/>
      <c r="I358" s="89"/>
    </row>
    <row r="359" spans="1:9">
      <c r="A359" s="21"/>
      <c r="B359"/>
      <c r="F359" s="87"/>
      <c r="H359" s="87"/>
      <c r="I359" s="89"/>
    </row>
    <row r="360" spans="1:9">
      <c r="A360" s="21"/>
      <c r="B360"/>
      <c r="F360" s="87"/>
      <c r="H360" s="87"/>
      <c r="I360" s="89"/>
    </row>
    <row r="361" spans="1:9">
      <c r="A361" s="21"/>
      <c r="B361"/>
      <c r="F361" s="87"/>
      <c r="H361" s="87"/>
      <c r="I361" s="89"/>
    </row>
    <row r="362" spans="1:9">
      <c r="A362" s="21"/>
      <c r="B362"/>
      <c r="F362" s="87"/>
      <c r="H362" s="87"/>
      <c r="I362" s="89"/>
    </row>
    <row r="363" spans="1:9">
      <c r="A363" s="21"/>
      <c r="B363"/>
      <c r="F363" s="87"/>
      <c r="H363" s="87"/>
      <c r="I363" s="89"/>
    </row>
    <row r="364" spans="1:9">
      <c r="A364" s="21"/>
      <c r="B364"/>
      <c r="F364" s="87"/>
      <c r="H364" s="87"/>
      <c r="I364" s="89"/>
    </row>
    <row r="365" spans="1:9">
      <c r="A365" s="21"/>
      <c r="B365"/>
      <c r="F365" s="87"/>
      <c r="H365" s="87"/>
      <c r="I365" s="89"/>
    </row>
    <row r="366" spans="1:9">
      <c r="A366" s="21"/>
      <c r="B366"/>
      <c r="F366" s="87"/>
      <c r="H366" s="87"/>
      <c r="I366" s="89"/>
    </row>
    <row r="367" spans="1:9">
      <c r="A367" s="21"/>
      <c r="B367"/>
      <c r="F367" s="87"/>
      <c r="H367" s="87"/>
      <c r="I367" s="89"/>
    </row>
    <row r="368" spans="1:9">
      <c r="A368" s="21"/>
      <c r="B368"/>
      <c r="F368" s="87"/>
      <c r="H368" s="87"/>
      <c r="I368" s="89"/>
    </row>
    <row r="369" spans="1:9">
      <c r="A369" s="21"/>
      <c r="B369"/>
      <c r="F369" s="87"/>
      <c r="H369" s="87"/>
      <c r="I369" s="89"/>
    </row>
    <row r="370" spans="1:9">
      <c r="A370" s="21"/>
      <c r="B370"/>
      <c r="F370" s="87"/>
      <c r="H370" s="87"/>
      <c r="I370" s="89"/>
    </row>
    <row r="371" spans="1:9">
      <c r="A371" s="21"/>
      <c r="B371"/>
      <c r="F371" s="87"/>
      <c r="H371" s="87"/>
      <c r="I371" s="89"/>
    </row>
    <row r="372" spans="1:9">
      <c r="A372" s="21"/>
      <c r="B372"/>
      <c r="F372" s="87"/>
      <c r="H372" s="87"/>
      <c r="I372" s="89"/>
    </row>
    <row r="373" spans="1:9">
      <c r="A373" s="21"/>
      <c r="B373"/>
      <c r="F373" s="87"/>
      <c r="H373" s="87"/>
      <c r="I373" s="89"/>
    </row>
    <row r="374" spans="1:9">
      <c r="A374" s="21"/>
      <c r="B374"/>
      <c r="F374" s="87"/>
      <c r="H374" s="87"/>
      <c r="I374" s="89"/>
    </row>
    <row r="375" spans="1:9">
      <c r="A375" s="21"/>
      <c r="B375"/>
      <c r="F375" s="87"/>
      <c r="H375" s="87"/>
      <c r="I375" s="89"/>
    </row>
    <row r="376" spans="1:9">
      <c r="A376" s="21"/>
      <c r="B376"/>
      <c r="F376" s="87"/>
      <c r="H376" s="87"/>
      <c r="I376" s="89"/>
    </row>
    <row r="377" spans="1:9">
      <c r="A377" s="21"/>
      <c r="B377"/>
      <c r="F377" s="87"/>
      <c r="H377" s="87"/>
      <c r="I377" s="89"/>
    </row>
    <row r="378" spans="1:9">
      <c r="A378" s="21"/>
      <c r="B378"/>
      <c r="F378" s="87"/>
      <c r="H378" s="87"/>
      <c r="I378" s="89"/>
    </row>
    <row r="379" spans="1:9">
      <c r="A379" s="21"/>
      <c r="B379"/>
      <c r="F379" s="87"/>
      <c r="H379" s="87"/>
      <c r="I379" s="89"/>
    </row>
    <row r="380" spans="1:9">
      <c r="A380" s="21"/>
      <c r="B380"/>
      <c r="F380" s="87"/>
      <c r="H380" s="87"/>
      <c r="I380" s="89"/>
    </row>
    <row r="381" spans="1:9">
      <c r="A381" s="21"/>
      <c r="B381"/>
      <c r="F381" s="87"/>
      <c r="H381" s="87"/>
      <c r="I381" s="89"/>
    </row>
    <row r="382" spans="1:9">
      <c r="A382" s="21"/>
      <c r="B382"/>
      <c r="F382" s="87"/>
      <c r="H382" s="87"/>
      <c r="I382" s="89"/>
    </row>
    <row r="383" spans="1:9">
      <c r="A383" s="21"/>
      <c r="B383"/>
      <c r="F383" s="87"/>
      <c r="H383" s="87"/>
      <c r="I383" s="89"/>
    </row>
    <row r="384" spans="1:9">
      <c r="A384" s="21"/>
      <c r="B384"/>
      <c r="F384" s="87"/>
      <c r="H384" s="87"/>
      <c r="I384" s="89"/>
    </row>
    <row r="385" spans="1:9">
      <c r="A385" s="21"/>
      <c r="B385"/>
      <c r="F385" s="87"/>
      <c r="H385" s="87"/>
      <c r="I385" s="89"/>
    </row>
    <row r="386" spans="1:9">
      <c r="A386" s="21"/>
      <c r="B386"/>
      <c r="F386" s="87"/>
      <c r="H386" s="87"/>
      <c r="I386" s="89"/>
    </row>
    <row r="387" spans="1:9">
      <c r="A387" s="21"/>
      <c r="B387"/>
      <c r="F387" s="87"/>
      <c r="H387" s="87"/>
      <c r="I387" s="89"/>
    </row>
    <row r="388" spans="1:9">
      <c r="A388" s="21"/>
      <c r="B388"/>
      <c r="F388" s="87"/>
      <c r="H388" s="87"/>
      <c r="I388" s="89"/>
    </row>
    <row r="389" spans="1:9">
      <c r="A389" s="21"/>
      <c r="B389"/>
      <c r="F389" s="87"/>
      <c r="H389" s="87"/>
      <c r="I389" s="89"/>
    </row>
    <row r="390" spans="1:9">
      <c r="A390" s="21"/>
      <c r="B390"/>
      <c r="F390" s="87"/>
      <c r="H390" s="87"/>
      <c r="I390" s="89"/>
    </row>
    <row r="391" spans="1:9">
      <c r="A391" s="21"/>
      <c r="B391"/>
      <c r="F391" s="87"/>
      <c r="H391" s="87"/>
      <c r="I391" s="89"/>
    </row>
    <row r="392" spans="1:9">
      <c r="A392" s="21"/>
      <c r="B392"/>
      <c r="F392" s="87"/>
      <c r="H392" s="87"/>
      <c r="I392" s="89"/>
    </row>
    <row r="393" spans="1:9">
      <c r="A393" s="21"/>
      <c r="B393"/>
      <c r="F393" s="87"/>
      <c r="H393" s="87"/>
      <c r="I393" s="89"/>
    </row>
    <row r="394" spans="1:9">
      <c r="A394" s="21"/>
      <c r="B394"/>
      <c r="F394" s="87"/>
      <c r="H394" s="87"/>
      <c r="I394" s="89"/>
    </row>
    <row r="395" spans="1:9">
      <c r="A395" s="21"/>
      <c r="B395"/>
      <c r="F395" s="87"/>
      <c r="H395" s="87"/>
      <c r="I395" s="89"/>
    </row>
    <row r="396" spans="1:9">
      <c r="A396" s="21"/>
      <c r="B396"/>
      <c r="F396" s="87"/>
      <c r="H396" s="87"/>
      <c r="I396" s="89"/>
    </row>
    <row r="397" spans="1:9">
      <c r="A397" s="21"/>
      <c r="B397"/>
      <c r="F397" s="87"/>
      <c r="H397" s="87"/>
      <c r="I397" s="89"/>
    </row>
    <row r="398" spans="1:9">
      <c r="A398" s="21"/>
      <c r="B398"/>
      <c r="F398" s="87"/>
      <c r="H398" s="87"/>
      <c r="I398" s="89"/>
    </row>
    <row r="399" spans="1:9">
      <c r="A399" s="21"/>
      <c r="B399"/>
      <c r="F399" s="87"/>
      <c r="H399" s="87"/>
      <c r="I399" s="89"/>
    </row>
    <row r="400" spans="1:9">
      <c r="A400" s="21"/>
      <c r="B400"/>
      <c r="F400" s="87"/>
      <c r="H400" s="87"/>
      <c r="I400" s="89"/>
    </row>
    <row r="401" spans="1:9">
      <c r="A401" s="21"/>
      <c r="B401"/>
      <c r="F401" s="87"/>
      <c r="H401" s="87"/>
      <c r="I401" s="89"/>
    </row>
    <row r="402" spans="1:9">
      <c r="A402" s="21"/>
      <c r="B402"/>
      <c r="F402" s="87"/>
      <c r="H402" s="87"/>
      <c r="I402" s="89"/>
    </row>
    <row r="403" spans="1:9">
      <c r="A403" s="21"/>
      <c r="B403"/>
      <c r="F403" s="87"/>
      <c r="H403" s="87"/>
      <c r="I403" s="89"/>
    </row>
    <row r="404" spans="1:9">
      <c r="A404" s="21"/>
      <c r="B404"/>
      <c r="F404" s="87"/>
      <c r="H404" s="87"/>
      <c r="I404" s="89"/>
    </row>
    <row r="405" spans="1:9">
      <c r="A405" s="21"/>
      <c r="B405"/>
      <c r="F405" s="87"/>
      <c r="H405" s="87"/>
      <c r="I405" s="89"/>
    </row>
    <row r="406" spans="1:9">
      <c r="A406" s="21"/>
      <c r="B406"/>
      <c r="F406" s="87"/>
      <c r="H406" s="87"/>
      <c r="I406" s="89"/>
    </row>
    <row r="407" spans="1:9">
      <c r="A407" s="21"/>
      <c r="B407"/>
      <c r="F407" s="87"/>
      <c r="H407" s="87"/>
      <c r="I407" s="89"/>
    </row>
    <row r="408" spans="1:9">
      <c r="A408" s="21"/>
      <c r="B408"/>
      <c r="F408" s="87"/>
      <c r="H408" s="87"/>
      <c r="I408" s="89"/>
    </row>
    <row r="409" spans="1:9">
      <c r="A409" s="21"/>
      <c r="B409"/>
      <c r="F409" s="87"/>
      <c r="H409" s="87"/>
      <c r="I409" s="89"/>
    </row>
    <row r="410" spans="1:9">
      <c r="A410" s="21"/>
      <c r="B410"/>
      <c r="F410" s="87"/>
      <c r="H410" s="87"/>
      <c r="I410" s="89"/>
    </row>
    <row r="411" spans="1:9">
      <c r="A411" s="21"/>
      <c r="B411"/>
      <c r="F411" s="87"/>
      <c r="H411" s="87"/>
      <c r="I411" s="89"/>
    </row>
    <row r="412" spans="1:9">
      <c r="A412" s="21"/>
      <c r="B412"/>
      <c r="F412" s="87"/>
      <c r="H412" s="87"/>
      <c r="I412" s="89"/>
    </row>
    <row r="413" spans="1:9">
      <c r="A413" s="21"/>
      <c r="B413"/>
      <c r="F413" s="87"/>
      <c r="H413" s="87"/>
      <c r="I413" s="89"/>
    </row>
    <row r="414" spans="1:9">
      <c r="A414" s="21"/>
      <c r="B414"/>
      <c r="F414" s="87"/>
      <c r="H414" s="87"/>
      <c r="I414" s="89"/>
    </row>
    <row r="415" spans="1:9">
      <c r="A415" s="21"/>
      <c r="B415"/>
      <c r="F415" s="87"/>
      <c r="H415" s="87"/>
      <c r="I415" s="89"/>
    </row>
    <row r="416" spans="1:9">
      <c r="A416" s="21"/>
      <c r="B416"/>
      <c r="F416" s="87"/>
      <c r="H416" s="87"/>
      <c r="I416" s="89"/>
    </row>
    <row r="417" spans="1:9">
      <c r="A417" s="21"/>
      <c r="B417"/>
      <c r="F417" s="87"/>
      <c r="H417" s="87"/>
      <c r="I417" s="89"/>
    </row>
    <row r="418" spans="1:9">
      <c r="A418" s="21"/>
      <c r="B418"/>
      <c r="F418" s="87"/>
      <c r="H418" s="87"/>
      <c r="I418" s="89"/>
    </row>
    <row r="419" spans="1:9">
      <c r="A419" s="21"/>
      <c r="B419"/>
      <c r="F419" s="87"/>
      <c r="H419" s="87"/>
      <c r="I419" s="89"/>
    </row>
    <row r="420" spans="1:9">
      <c r="A420" s="21"/>
      <c r="B420"/>
      <c r="F420" s="87"/>
      <c r="H420" s="87"/>
      <c r="I420" s="89"/>
    </row>
    <row r="421" spans="1:9">
      <c r="A421" s="21"/>
      <c r="B421"/>
      <c r="F421" s="87"/>
      <c r="H421" s="87"/>
      <c r="I421" s="89"/>
    </row>
    <row r="422" spans="1:9">
      <c r="A422" s="21"/>
      <c r="B422"/>
      <c r="F422" s="87"/>
      <c r="H422" s="87"/>
      <c r="I422" s="89"/>
    </row>
    <row r="423" spans="1:9">
      <c r="A423" s="21"/>
      <c r="B423"/>
      <c r="F423" s="87"/>
      <c r="H423" s="87"/>
      <c r="I423" s="89"/>
    </row>
    <row r="424" spans="1:9">
      <c r="A424" s="21"/>
      <c r="B424"/>
      <c r="F424" s="87"/>
      <c r="H424" s="87"/>
      <c r="I424" s="89"/>
    </row>
    <row r="425" spans="1:9">
      <c r="A425" s="21"/>
      <c r="B425"/>
      <c r="F425" s="87"/>
      <c r="H425" s="87"/>
      <c r="I425" s="89"/>
    </row>
    <row r="426" spans="1:9">
      <c r="A426" s="21"/>
      <c r="B426"/>
      <c r="F426" s="87"/>
      <c r="H426" s="87"/>
      <c r="I426" s="89"/>
    </row>
    <row r="427" spans="1:9">
      <c r="A427" s="21"/>
      <c r="B427"/>
      <c r="F427" s="87"/>
      <c r="H427" s="87"/>
      <c r="I427" s="89"/>
    </row>
    <row r="428" spans="1:9">
      <c r="A428" s="21"/>
      <c r="B428"/>
      <c r="F428" s="87"/>
      <c r="H428" s="87"/>
      <c r="I428" s="89"/>
    </row>
    <row r="429" spans="1:9">
      <c r="A429" s="21"/>
      <c r="B429"/>
      <c r="F429" s="87"/>
      <c r="H429" s="87"/>
      <c r="I429" s="89"/>
    </row>
    <row r="430" spans="1:9">
      <c r="A430" s="21"/>
      <c r="B430"/>
      <c r="F430" s="87"/>
      <c r="H430" s="87"/>
      <c r="I430" s="89"/>
    </row>
    <row r="431" spans="1:9">
      <c r="A431" s="21"/>
      <c r="B431"/>
      <c r="F431" s="87"/>
      <c r="H431" s="87"/>
      <c r="I431" s="89"/>
    </row>
    <row r="432" spans="1:9">
      <c r="A432" s="21"/>
      <c r="B432"/>
      <c r="F432" s="87"/>
      <c r="H432" s="87"/>
      <c r="I432" s="89"/>
    </row>
    <row r="433" spans="1:9">
      <c r="A433" s="21"/>
      <c r="B433"/>
      <c r="F433" s="87"/>
      <c r="H433" s="87"/>
      <c r="I433" s="89"/>
    </row>
    <row r="434" spans="1:9">
      <c r="A434" s="21"/>
      <c r="B434"/>
      <c r="F434" s="87"/>
      <c r="H434" s="87"/>
      <c r="I434" s="89"/>
    </row>
    <row r="435" spans="1:9">
      <c r="A435" s="21"/>
      <c r="B435"/>
      <c r="F435" s="87"/>
      <c r="H435" s="87"/>
      <c r="I435" s="89"/>
    </row>
    <row r="436" spans="1:9">
      <c r="A436" s="21"/>
      <c r="B436"/>
      <c r="F436" s="87"/>
      <c r="H436" s="87"/>
      <c r="I436" s="89"/>
    </row>
    <row r="437" spans="1:9">
      <c r="A437" s="21"/>
      <c r="B437"/>
      <c r="F437" s="87"/>
      <c r="H437" s="87"/>
      <c r="I437" s="89"/>
    </row>
    <row r="438" spans="1:9">
      <c r="A438" s="21"/>
      <c r="B438"/>
      <c r="F438" s="87"/>
      <c r="H438" s="87"/>
      <c r="I438" s="89"/>
    </row>
    <row r="439" spans="1:9">
      <c r="A439" s="21"/>
      <c r="B439"/>
      <c r="F439" s="87"/>
      <c r="H439" s="87"/>
      <c r="I439" s="89"/>
    </row>
    <row r="440" spans="1:9">
      <c r="A440" s="21"/>
      <c r="B440"/>
      <c r="F440" s="87"/>
      <c r="H440" s="87"/>
      <c r="I440" s="89"/>
    </row>
    <row r="441" spans="1:9">
      <c r="A441" s="21"/>
      <c r="B441"/>
      <c r="F441" s="87"/>
      <c r="H441" s="87"/>
      <c r="I441" s="89"/>
    </row>
    <row r="442" spans="1:9">
      <c r="A442" s="21"/>
      <c r="B442"/>
      <c r="F442" s="87"/>
      <c r="H442" s="87"/>
      <c r="I442" s="89"/>
    </row>
    <row r="443" spans="1:9">
      <c r="A443" s="21"/>
      <c r="B443"/>
      <c r="F443" s="87"/>
      <c r="H443" s="87"/>
      <c r="I443" s="89"/>
    </row>
    <row r="444" spans="1:9">
      <c r="A444" s="21"/>
      <c r="B444"/>
      <c r="F444" s="87"/>
      <c r="H444" s="87"/>
      <c r="I444" s="89"/>
    </row>
    <row r="445" spans="1:9">
      <c r="A445" s="21"/>
      <c r="B445"/>
      <c r="F445" s="87"/>
      <c r="H445" s="87"/>
      <c r="I445" s="89"/>
    </row>
    <row r="446" spans="1:9">
      <c r="A446" s="21"/>
      <c r="B446"/>
      <c r="F446" s="87"/>
      <c r="H446" s="87"/>
      <c r="I446" s="89"/>
    </row>
    <row r="447" spans="1:9">
      <c r="A447" s="21"/>
      <c r="B447"/>
      <c r="F447" s="87"/>
      <c r="H447" s="87"/>
      <c r="I447" s="89"/>
    </row>
    <row r="448" spans="1:9">
      <c r="A448" s="21"/>
      <c r="B448"/>
      <c r="F448" s="87"/>
      <c r="H448" s="87"/>
      <c r="I448" s="89"/>
    </row>
    <row r="449" spans="1:9">
      <c r="A449" s="21"/>
      <c r="B449"/>
      <c r="F449" s="87"/>
      <c r="H449" s="87"/>
      <c r="I449" s="89"/>
    </row>
    <row r="450" spans="1:9">
      <c r="A450" s="21"/>
      <c r="B450"/>
      <c r="F450" s="87"/>
      <c r="H450" s="87"/>
      <c r="I450" s="89"/>
    </row>
    <row r="451" spans="1:9">
      <c r="A451" s="21"/>
      <c r="B451"/>
      <c r="F451" s="87"/>
      <c r="H451" s="87"/>
      <c r="I451" s="89"/>
    </row>
    <row r="452" spans="1:9">
      <c r="A452" s="21"/>
      <c r="B452"/>
      <c r="F452" s="87"/>
      <c r="H452" s="87"/>
      <c r="I452" s="89"/>
    </row>
    <row r="453" spans="1:9">
      <c r="A453" s="21"/>
      <c r="B453"/>
      <c r="F453" s="87"/>
      <c r="H453" s="87"/>
      <c r="I453" s="89"/>
    </row>
    <row r="454" spans="1:9">
      <c r="A454" s="21"/>
      <c r="B454"/>
      <c r="F454" s="87"/>
      <c r="H454" s="87"/>
      <c r="I454" s="89"/>
    </row>
    <row r="455" spans="1:9">
      <c r="A455" s="21"/>
      <c r="B455"/>
      <c r="F455" s="87"/>
      <c r="H455" s="87"/>
      <c r="I455" s="89"/>
    </row>
    <row r="456" spans="1:9">
      <c r="A456" s="21"/>
      <c r="B456"/>
      <c r="F456" s="87"/>
      <c r="H456" s="87"/>
      <c r="I456" s="89"/>
    </row>
    <row r="457" spans="1:9">
      <c r="A457" s="21"/>
      <c r="B457"/>
      <c r="F457" s="87"/>
      <c r="H457" s="87"/>
      <c r="I457" s="89"/>
    </row>
    <row r="458" spans="1:9">
      <c r="A458" s="21"/>
      <c r="B458"/>
      <c r="F458" s="87"/>
      <c r="H458" s="87"/>
      <c r="I458" s="89"/>
    </row>
    <row r="459" spans="1:9">
      <c r="A459" s="21"/>
      <c r="B459"/>
      <c r="F459" s="87"/>
      <c r="H459" s="87"/>
      <c r="I459" s="89"/>
    </row>
    <row r="460" spans="1:9">
      <c r="A460" s="21"/>
      <c r="B460"/>
      <c r="F460" s="87"/>
      <c r="H460" s="87"/>
      <c r="I460" s="89"/>
    </row>
    <row r="461" spans="1:9">
      <c r="A461" s="21"/>
      <c r="B461"/>
      <c r="F461" s="87"/>
      <c r="H461" s="87"/>
      <c r="I461" s="89"/>
    </row>
    <row r="462" spans="1:9">
      <c r="A462" s="21"/>
      <c r="B462"/>
      <c r="F462" s="87"/>
      <c r="H462" s="87"/>
      <c r="I462" s="89"/>
    </row>
    <row r="463" spans="1:9">
      <c r="A463" s="21"/>
      <c r="B463"/>
      <c r="F463" s="87"/>
      <c r="H463" s="87"/>
      <c r="I463" s="89"/>
    </row>
    <row r="464" spans="1:9">
      <c r="A464" s="21"/>
      <c r="B464"/>
      <c r="F464" s="87"/>
      <c r="H464" s="87"/>
      <c r="I464" s="89"/>
    </row>
    <row r="465" spans="1:9">
      <c r="A465" s="21"/>
      <c r="B465"/>
      <c r="F465" s="87"/>
      <c r="H465" s="87"/>
      <c r="I465" s="89"/>
    </row>
    <row r="466" spans="1:9">
      <c r="A466" s="21"/>
      <c r="B466"/>
      <c r="F466" s="87"/>
      <c r="H466" s="87"/>
      <c r="I466" s="89"/>
    </row>
    <row r="467" spans="1:9">
      <c r="A467" s="21"/>
      <c r="B467"/>
      <c r="F467" s="87"/>
      <c r="H467" s="87"/>
      <c r="I467" s="89"/>
    </row>
    <row r="468" spans="1:9">
      <c r="A468" s="21"/>
      <c r="B468"/>
      <c r="F468" s="87"/>
      <c r="H468" s="87"/>
      <c r="I468" s="89"/>
    </row>
    <row r="469" spans="1:9">
      <c r="A469" s="21"/>
      <c r="B469"/>
      <c r="F469" s="87"/>
      <c r="H469" s="87"/>
      <c r="I469" s="89"/>
    </row>
    <row r="470" spans="1:9">
      <c r="A470" s="21"/>
      <c r="B470"/>
      <c r="F470" s="87"/>
      <c r="H470" s="87"/>
      <c r="I470" s="89"/>
    </row>
    <row r="471" spans="1:9">
      <c r="A471" s="21"/>
      <c r="B471"/>
      <c r="F471" s="87"/>
      <c r="H471" s="87"/>
      <c r="I471" s="89"/>
    </row>
    <row r="472" spans="1:9">
      <c r="A472" s="21"/>
      <c r="B472"/>
      <c r="F472" s="87"/>
      <c r="H472" s="87"/>
      <c r="I472" s="89"/>
    </row>
    <row r="473" spans="1:9">
      <c r="A473" s="21"/>
      <c r="B473"/>
      <c r="F473" s="87"/>
      <c r="H473" s="87"/>
      <c r="I473" s="89"/>
    </row>
    <row r="474" spans="1:9">
      <c r="A474" s="21"/>
      <c r="B474"/>
      <c r="F474" s="87"/>
      <c r="H474" s="87"/>
      <c r="I474" s="89"/>
    </row>
    <row r="475" spans="1:9">
      <c r="A475" s="21"/>
      <c r="B475"/>
      <c r="F475" s="87"/>
      <c r="H475" s="87"/>
      <c r="I475" s="89"/>
    </row>
    <row r="476" spans="1:9">
      <c r="A476" s="21"/>
      <c r="B476"/>
      <c r="F476" s="87"/>
      <c r="H476" s="87"/>
      <c r="I476" s="89"/>
    </row>
    <row r="477" spans="1:9">
      <c r="A477" s="21"/>
      <c r="B477"/>
      <c r="F477" s="87"/>
      <c r="H477" s="87"/>
      <c r="I477" s="89"/>
    </row>
    <row r="478" spans="1:9">
      <c r="A478" s="21"/>
      <c r="B478"/>
      <c r="F478" s="87"/>
      <c r="H478" s="87"/>
      <c r="I478" s="89"/>
    </row>
    <row r="479" spans="1:9">
      <c r="A479" s="21"/>
      <c r="B479"/>
      <c r="F479" s="87"/>
      <c r="H479" s="87"/>
      <c r="I479" s="89"/>
    </row>
    <row r="480" spans="1:9">
      <c r="A480" s="21"/>
      <c r="B480"/>
      <c r="F480" s="87"/>
      <c r="H480" s="87"/>
      <c r="I480" s="89"/>
    </row>
    <row r="481" spans="1:9">
      <c r="A481" s="21"/>
      <c r="B481"/>
      <c r="F481" s="87"/>
      <c r="H481" s="87"/>
      <c r="I481" s="89"/>
    </row>
    <row r="482" spans="1:9">
      <c r="A482" s="21"/>
      <c r="B482"/>
      <c r="F482" s="87"/>
      <c r="H482" s="87"/>
      <c r="I482" s="89"/>
    </row>
    <row r="483" spans="1:9">
      <c r="A483" s="21"/>
      <c r="B483"/>
      <c r="F483" s="87"/>
      <c r="H483" s="87"/>
      <c r="I483" s="89"/>
    </row>
    <row r="484" spans="1:9">
      <c r="A484" s="21"/>
      <c r="B484"/>
      <c r="F484" s="87"/>
      <c r="H484" s="87"/>
      <c r="I484" s="89"/>
    </row>
    <row r="485" spans="1:9">
      <c r="A485" s="21"/>
      <c r="B485"/>
      <c r="F485" s="87"/>
      <c r="H485" s="87"/>
      <c r="I485" s="89"/>
    </row>
    <row r="486" spans="1:9">
      <c r="A486" s="21"/>
      <c r="B486"/>
      <c r="F486" s="87"/>
      <c r="H486" s="87"/>
      <c r="I486" s="89"/>
    </row>
    <row r="487" spans="1:9">
      <c r="A487" s="21"/>
      <c r="B487"/>
      <c r="F487" s="87"/>
      <c r="H487" s="87"/>
      <c r="I487" s="89"/>
    </row>
    <row r="488" spans="1:9">
      <c r="A488" s="21"/>
      <c r="B488"/>
      <c r="F488" s="87"/>
      <c r="H488" s="87"/>
      <c r="I488" s="89"/>
    </row>
    <row r="489" spans="1:9">
      <c r="A489" s="21"/>
      <c r="B489"/>
      <c r="F489" s="87"/>
      <c r="H489" s="87"/>
      <c r="I489" s="89"/>
    </row>
    <row r="490" spans="1:9">
      <c r="A490" s="21"/>
      <c r="B490"/>
      <c r="F490" s="87"/>
      <c r="H490" s="87"/>
      <c r="I490" s="89"/>
    </row>
    <row r="491" spans="1:9">
      <c r="A491" s="21"/>
      <c r="B491"/>
      <c r="F491" s="87"/>
      <c r="H491" s="87"/>
      <c r="I491" s="89"/>
    </row>
    <row r="492" spans="1:9">
      <c r="A492" s="21"/>
      <c r="B492"/>
      <c r="F492" s="87"/>
      <c r="H492" s="87"/>
      <c r="I492" s="89"/>
    </row>
    <row r="493" spans="1:9">
      <c r="A493" s="21"/>
      <c r="B493"/>
      <c r="F493" s="87"/>
      <c r="H493" s="87"/>
      <c r="I493" s="89"/>
    </row>
    <row r="494" spans="1:9">
      <c r="A494" s="21"/>
      <c r="B494"/>
      <c r="F494" s="87"/>
      <c r="H494" s="87"/>
      <c r="I494" s="89"/>
    </row>
    <row r="495" spans="1:9">
      <c r="A495" s="21"/>
      <c r="B495"/>
      <c r="F495" s="87"/>
      <c r="H495" s="87"/>
      <c r="I495" s="89"/>
    </row>
    <row r="496" spans="1:9">
      <c r="A496" s="21"/>
      <c r="B496"/>
      <c r="F496" s="87"/>
      <c r="H496" s="87"/>
      <c r="I496" s="89"/>
    </row>
    <row r="497" spans="1:9">
      <c r="A497" s="21"/>
      <c r="B497"/>
      <c r="F497" s="87"/>
      <c r="H497" s="87"/>
      <c r="I497" s="89"/>
    </row>
    <row r="498" spans="1:9">
      <c r="A498" s="21"/>
      <c r="B498"/>
      <c r="F498" s="87"/>
      <c r="H498" s="87"/>
      <c r="I498" s="89"/>
    </row>
    <row r="499" spans="1:9">
      <c r="A499" s="21"/>
      <c r="B499"/>
      <c r="F499" s="87"/>
      <c r="H499" s="87"/>
      <c r="I499" s="89"/>
    </row>
    <row r="500" spans="1:9">
      <c r="A500" s="21"/>
      <c r="B500"/>
      <c r="F500" s="87"/>
      <c r="H500" s="87"/>
      <c r="I500" s="89"/>
    </row>
    <row r="501" spans="1:9">
      <c r="A501" s="21"/>
      <c r="B501"/>
      <c r="F501" s="87"/>
      <c r="H501" s="87"/>
      <c r="I501" s="89"/>
    </row>
    <row r="502" spans="1:9">
      <c r="A502" s="21"/>
      <c r="B502"/>
      <c r="F502" s="87"/>
      <c r="H502" s="87"/>
      <c r="I502" s="89"/>
    </row>
    <row r="503" spans="1:9">
      <c r="A503" s="21"/>
      <c r="B503"/>
      <c r="F503" s="87"/>
      <c r="H503" s="87"/>
      <c r="I503" s="89"/>
    </row>
    <row r="504" spans="1:9">
      <c r="A504" s="21"/>
      <c r="B504"/>
      <c r="F504" s="87"/>
      <c r="H504" s="87"/>
      <c r="I504" s="89"/>
    </row>
    <row r="505" spans="1:9">
      <c r="A505" s="21"/>
      <c r="B505"/>
      <c r="F505" s="87"/>
      <c r="H505" s="87"/>
      <c r="I505" s="89"/>
    </row>
    <row r="506" spans="1:9">
      <c r="A506" s="21"/>
      <c r="B506"/>
      <c r="F506" s="87"/>
      <c r="H506" s="87"/>
      <c r="I506" s="89"/>
    </row>
    <row r="507" spans="1:9">
      <c r="A507" s="21"/>
      <c r="B507"/>
      <c r="F507" s="87"/>
      <c r="H507" s="87"/>
      <c r="I507" s="89"/>
    </row>
    <row r="508" spans="1:9">
      <c r="A508" s="21"/>
      <c r="B508"/>
      <c r="F508" s="87"/>
      <c r="H508" s="87"/>
      <c r="I508" s="89"/>
    </row>
    <row r="509" spans="1:9">
      <c r="A509" s="21"/>
      <c r="B509"/>
      <c r="F509" s="87"/>
      <c r="H509" s="87"/>
      <c r="I509" s="89"/>
    </row>
    <row r="510" spans="1:9">
      <c r="A510" s="21"/>
      <c r="B510"/>
      <c r="F510" s="87"/>
      <c r="H510" s="87"/>
      <c r="I510" s="89"/>
    </row>
    <row r="511" spans="1:9">
      <c r="A511" s="21"/>
      <c r="B511"/>
      <c r="F511" s="87"/>
      <c r="H511" s="87"/>
      <c r="I511" s="89"/>
    </row>
    <row r="512" spans="1:9">
      <c r="A512" s="21"/>
      <c r="B512"/>
      <c r="F512" s="87"/>
      <c r="H512" s="87"/>
      <c r="I512" s="89"/>
    </row>
    <row r="513" spans="1:9">
      <c r="A513" s="21"/>
      <c r="B513"/>
      <c r="F513" s="87"/>
      <c r="H513" s="87"/>
      <c r="I513" s="89"/>
    </row>
    <row r="514" spans="1:9">
      <c r="A514" s="21"/>
      <c r="B514"/>
      <c r="F514" s="87"/>
      <c r="H514" s="87"/>
      <c r="I514" s="89"/>
    </row>
    <row r="515" spans="1:9">
      <c r="A515" s="21"/>
      <c r="B515"/>
      <c r="F515" s="87"/>
      <c r="H515" s="87"/>
      <c r="I515" s="89"/>
    </row>
    <row r="516" spans="1:9">
      <c r="A516" s="21"/>
      <c r="B516"/>
      <c r="F516" s="87"/>
      <c r="H516" s="87"/>
      <c r="I516" s="89"/>
    </row>
    <row r="517" spans="1:9">
      <c r="A517" s="21"/>
      <c r="B517"/>
      <c r="F517" s="87"/>
      <c r="H517" s="87"/>
      <c r="I517" s="89"/>
    </row>
    <row r="518" spans="1:9">
      <c r="A518" s="21"/>
      <c r="B518"/>
      <c r="F518" s="87"/>
      <c r="H518" s="87"/>
      <c r="I518" s="89"/>
    </row>
    <row r="519" spans="1:9">
      <c r="A519" s="21"/>
      <c r="B519"/>
      <c r="F519" s="87"/>
      <c r="H519" s="87"/>
      <c r="I519" s="89"/>
    </row>
    <row r="520" spans="1:9">
      <c r="A520" s="21"/>
      <c r="B520"/>
      <c r="F520" s="87"/>
      <c r="H520" s="87"/>
      <c r="I520" s="89"/>
    </row>
    <row r="521" spans="1:9">
      <c r="A521" s="21"/>
      <c r="B521"/>
      <c r="F521" s="87"/>
      <c r="H521" s="87"/>
      <c r="I521" s="89"/>
    </row>
    <row r="522" spans="1:9">
      <c r="A522" s="21"/>
      <c r="B522"/>
      <c r="F522" s="87"/>
      <c r="H522" s="87"/>
      <c r="I522" s="89"/>
    </row>
    <row r="523" spans="1:9">
      <c r="A523" s="21"/>
      <c r="B523"/>
      <c r="F523" s="87"/>
      <c r="H523" s="87"/>
      <c r="I523" s="89"/>
    </row>
    <row r="524" spans="1:9">
      <c r="A524" s="21"/>
      <c r="B524"/>
      <c r="F524" s="87"/>
      <c r="H524" s="87"/>
      <c r="I524" s="89"/>
    </row>
    <row r="525" spans="1:9">
      <c r="A525" s="21"/>
      <c r="B525"/>
      <c r="F525" s="87"/>
      <c r="H525" s="87"/>
      <c r="I525" s="89"/>
    </row>
    <row r="526" spans="1:9">
      <c r="A526" s="21"/>
      <c r="B526"/>
      <c r="F526" s="87"/>
      <c r="H526" s="87"/>
      <c r="I526" s="89"/>
    </row>
    <row r="527" spans="1:9">
      <c r="A527" s="21"/>
      <c r="B527"/>
      <c r="F527" s="87"/>
      <c r="H527" s="87"/>
      <c r="I527" s="89"/>
    </row>
    <row r="528" spans="1:9">
      <c r="A528" s="21"/>
      <c r="B528"/>
      <c r="F528" s="87"/>
      <c r="H528" s="87"/>
      <c r="I528" s="89"/>
    </row>
    <row r="529" spans="1:9">
      <c r="A529" s="21"/>
      <c r="B529"/>
      <c r="F529" s="87"/>
      <c r="H529" s="87"/>
      <c r="I529" s="89"/>
    </row>
    <row r="530" spans="1:9">
      <c r="A530" s="21"/>
      <c r="B530"/>
      <c r="F530" s="87"/>
      <c r="H530" s="87"/>
      <c r="I530" s="89"/>
    </row>
    <row r="531" spans="1:9">
      <c r="A531" s="21"/>
      <c r="B531"/>
      <c r="F531" s="87"/>
      <c r="H531" s="87"/>
      <c r="I531" s="89"/>
    </row>
    <row r="532" spans="1:9">
      <c r="A532" s="21"/>
      <c r="B532"/>
      <c r="F532" s="87"/>
      <c r="H532" s="87"/>
      <c r="I532" s="89"/>
    </row>
    <row r="533" spans="1:9">
      <c r="A533" s="21"/>
      <c r="B533"/>
      <c r="F533" s="87"/>
      <c r="H533" s="87"/>
      <c r="I533" s="89"/>
    </row>
    <row r="534" spans="1:9">
      <c r="A534" s="21"/>
      <c r="B534"/>
      <c r="F534" s="87"/>
      <c r="H534" s="87"/>
      <c r="I534" s="89"/>
    </row>
    <row r="535" spans="1:9">
      <c r="A535" s="21"/>
      <c r="B535"/>
      <c r="F535" s="87"/>
      <c r="H535" s="87"/>
      <c r="I535" s="89"/>
    </row>
    <row r="536" spans="1:9">
      <c r="A536" s="21"/>
      <c r="B536"/>
      <c r="F536" s="87"/>
      <c r="H536" s="87"/>
      <c r="I536" s="89"/>
    </row>
    <row r="537" spans="1:9">
      <c r="A537" s="21"/>
      <c r="B537"/>
      <c r="F537" s="87"/>
      <c r="H537" s="87"/>
      <c r="I537" s="89"/>
    </row>
    <row r="538" spans="1:9">
      <c r="A538" s="21"/>
      <c r="B538"/>
      <c r="F538" s="87"/>
      <c r="H538" s="87"/>
      <c r="I538" s="89"/>
    </row>
    <row r="539" spans="1:9">
      <c r="A539" s="21"/>
      <c r="B539"/>
      <c r="F539" s="87"/>
      <c r="H539" s="87"/>
      <c r="I539" s="89"/>
    </row>
    <row r="540" spans="1:9">
      <c r="A540" s="21"/>
      <c r="B540"/>
      <c r="F540" s="87"/>
      <c r="H540" s="87"/>
      <c r="I540" s="89"/>
    </row>
    <row r="541" spans="1:9">
      <c r="A541" s="21"/>
      <c r="B541"/>
      <c r="F541" s="87"/>
      <c r="H541" s="87"/>
      <c r="I541" s="89"/>
    </row>
    <row r="542" spans="1:9">
      <c r="A542" s="21"/>
      <c r="B542"/>
      <c r="F542" s="87"/>
      <c r="H542" s="87"/>
      <c r="I542" s="89"/>
    </row>
    <row r="543" spans="1:9">
      <c r="A543" s="21"/>
      <c r="B543"/>
      <c r="F543" s="87"/>
      <c r="H543" s="87"/>
      <c r="I543" s="89"/>
    </row>
    <row r="544" spans="1:9">
      <c r="A544" s="21"/>
      <c r="B544"/>
      <c r="F544" s="87"/>
      <c r="H544" s="87"/>
      <c r="I544" s="89"/>
    </row>
    <row r="545" spans="1:9">
      <c r="A545" s="21"/>
      <c r="B545"/>
      <c r="F545" s="87"/>
      <c r="H545" s="87"/>
      <c r="I545" s="89"/>
    </row>
    <row r="546" spans="1:9">
      <c r="A546" s="21"/>
      <c r="B546"/>
      <c r="F546" s="87"/>
      <c r="H546" s="87"/>
      <c r="I546" s="89"/>
    </row>
    <row r="547" spans="1:9">
      <c r="A547" s="21"/>
      <c r="B547"/>
      <c r="F547" s="87"/>
      <c r="H547" s="87"/>
      <c r="I547" s="89"/>
    </row>
    <row r="548" spans="1:9">
      <c r="A548" s="21"/>
      <c r="B548"/>
      <c r="F548" s="87"/>
      <c r="H548" s="87"/>
      <c r="I548" s="89"/>
    </row>
    <row r="549" spans="1:9">
      <c r="A549" s="21"/>
      <c r="B549"/>
      <c r="F549" s="87"/>
      <c r="H549" s="87"/>
      <c r="I549" s="89"/>
    </row>
    <row r="550" spans="1:9">
      <c r="A550" s="21"/>
      <c r="B550"/>
      <c r="F550" s="87"/>
      <c r="H550" s="87"/>
      <c r="I550" s="89"/>
    </row>
    <row r="551" spans="1:9">
      <c r="A551" s="21"/>
      <c r="B551"/>
      <c r="F551" s="87"/>
      <c r="H551" s="87"/>
      <c r="I551" s="89"/>
    </row>
    <row r="552" spans="1:9">
      <c r="A552" s="21"/>
      <c r="B552"/>
      <c r="F552" s="87"/>
      <c r="H552" s="87"/>
      <c r="I552" s="89"/>
    </row>
    <row r="553" spans="1:9">
      <c r="A553" s="21"/>
      <c r="B553"/>
      <c r="F553" s="87"/>
      <c r="H553" s="87"/>
      <c r="I553" s="89"/>
    </row>
    <row r="554" spans="1:9">
      <c r="A554" s="21"/>
      <c r="B554"/>
      <c r="F554" s="87"/>
      <c r="H554" s="87"/>
      <c r="I554" s="89"/>
    </row>
    <row r="555" spans="1:9">
      <c r="A555" s="21"/>
      <c r="B555"/>
      <c r="F555" s="87"/>
      <c r="H555" s="87"/>
      <c r="I555" s="89"/>
    </row>
    <row r="556" spans="1:9">
      <c r="A556" s="21"/>
      <c r="B556"/>
      <c r="F556" s="87"/>
      <c r="H556" s="87"/>
      <c r="I556" s="89"/>
    </row>
    <row r="557" spans="1:9">
      <c r="A557" s="21"/>
      <c r="B557"/>
      <c r="F557" s="87"/>
      <c r="H557" s="87"/>
      <c r="I557" s="89"/>
    </row>
    <row r="558" spans="1:9">
      <c r="A558" s="21"/>
      <c r="B558"/>
      <c r="F558" s="87"/>
      <c r="H558" s="87"/>
      <c r="I558" s="89"/>
    </row>
    <row r="559" spans="1:9">
      <c r="A559" s="21"/>
      <c r="B559"/>
      <c r="F559" s="87"/>
      <c r="H559" s="87"/>
      <c r="I559" s="89"/>
    </row>
    <row r="560" spans="1:9">
      <c r="A560" s="21"/>
      <c r="B560"/>
      <c r="F560" s="87"/>
      <c r="H560" s="87"/>
      <c r="I560" s="89"/>
    </row>
    <row r="561" spans="1:9">
      <c r="A561" s="21"/>
      <c r="B561"/>
      <c r="F561" s="87"/>
      <c r="H561" s="87"/>
      <c r="I561" s="89"/>
    </row>
    <row r="562" spans="1:9">
      <c r="A562" s="21"/>
      <c r="B562"/>
      <c r="F562" s="87"/>
      <c r="H562" s="87"/>
      <c r="I562" s="89"/>
    </row>
    <row r="563" spans="1:9">
      <c r="A563" s="21"/>
      <c r="B563"/>
      <c r="F563" s="87"/>
      <c r="H563" s="87"/>
      <c r="I563" s="89"/>
    </row>
    <row r="564" spans="1:9">
      <c r="A564" s="21"/>
      <c r="B564"/>
      <c r="F564" s="87"/>
      <c r="H564" s="87"/>
      <c r="I564" s="89"/>
    </row>
    <row r="565" spans="1:9">
      <c r="A565" s="21"/>
      <c r="B565"/>
      <c r="F565" s="87"/>
      <c r="H565" s="87"/>
      <c r="I565" s="89"/>
    </row>
    <row r="566" spans="1:9">
      <c r="A566" s="21"/>
      <c r="B566"/>
      <c r="F566" s="87"/>
      <c r="H566" s="87"/>
      <c r="I566" s="89"/>
    </row>
    <row r="567" spans="1:9">
      <c r="A567" s="21"/>
      <c r="B567"/>
      <c r="F567" s="87"/>
      <c r="H567" s="87"/>
      <c r="I567" s="89"/>
    </row>
    <row r="568" spans="1:9">
      <c r="A568" s="21"/>
      <c r="B568"/>
      <c r="F568" s="87"/>
      <c r="H568" s="87"/>
      <c r="I568" s="89"/>
    </row>
    <row r="569" spans="1:9">
      <c r="A569" s="21"/>
      <c r="B569"/>
      <c r="F569" s="87"/>
      <c r="H569" s="87"/>
      <c r="I569" s="89"/>
    </row>
    <row r="570" spans="1:9">
      <c r="A570" s="21"/>
      <c r="B570"/>
      <c r="F570" s="87"/>
      <c r="H570" s="87"/>
      <c r="I570" s="89"/>
    </row>
    <row r="571" spans="1:9">
      <c r="A571" s="21"/>
      <c r="B571"/>
      <c r="F571" s="87"/>
      <c r="H571" s="87"/>
      <c r="I571" s="89"/>
    </row>
    <row r="572" spans="1:9">
      <c r="A572" s="21"/>
      <c r="B572"/>
      <c r="F572" s="87"/>
      <c r="H572" s="87"/>
      <c r="I572" s="89"/>
    </row>
    <row r="573" spans="1:9">
      <c r="A573" s="21"/>
      <c r="B573"/>
      <c r="F573" s="87"/>
      <c r="H573" s="87"/>
      <c r="I573" s="89"/>
    </row>
    <row r="574" spans="1:9">
      <c r="A574" s="21"/>
      <c r="B574"/>
      <c r="F574" s="87"/>
      <c r="H574" s="87"/>
      <c r="I574" s="89"/>
    </row>
    <row r="575" spans="1:9">
      <c r="A575" s="21"/>
      <c r="B575"/>
      <c r="F575" s="87"/>
      <c r="H575" s="87"/>
      <c r="I575" s="89"/>
    </row>
    <row r="576" spans="1:9">
      <c r="A576" s="21"/>
      <c r="B576"/>
      <c r="F576" s="87"/>
      <c r="H576" s="87"/>
      <c r="I576" s="89"/>
    </row>
    <row r="577" spans="1:9">
      <c r="A577" s="21"/>
      <c r="B577"/>
      <c r="F577" s="87"/>
      <c r="H577" s="87"/>
      <c r="I577" s="89"/>
    </row>
    <row r="578" spans="1:9">
      <c r="A578" s="21"/>
      <c r="B578"/>
      <c r="F578" s="87"/>
      <c r="H578" s="87"/>
      <c r="I578" s="89"/>
    </row>
    <row r="579" spans="1:9">
      <c r="A579" s="21"/>
      <c r="B579"/>
      <c r="F579" s="87"/>
      <c r="H579" s="87"/>
      <c r="I579" s="89"/>
    </row>
    <row r="580" spans="1:9">
      <c r="A580" s="21"/>
      <c r="B580"/>
      <c r="F580" s="87"/>
      <c r="H580" s="87"/>
      <c r="I580" s="89"/>
    </row>
    <row r="581" spans="1:9">
      <c r="A581" s="21"/>
      <c r="B581"/>
      <c r="F581" s="87"/>
      <c r="H581" s="87"/>
      <c r="I581" s="89"/>
    </row>
    <row r="582" spans="1:9">
      <c r="A582" s="21"/>
      <c r="B582"/>
      <c r="F582" s="87"/>
      <c r="H582" s="87"/>
      <c r="I582" s="89"/>
    </row>
    <row r="583" spans="1:9">
      <c r="A583" s="21"/>
      <c r="B583"/>
      <c r="F583" s="87"/>
      <c r="H583" s="87"/>
      <c r="I583" s="89"/>
    </row>
    <row r="584" spans="1:9">
      <c r="A584" s="21"/>
      <c r="B584"/>
      <c r="F584" s="87"/>
      <c r="H584" s="87"/>
      <c r="I584" s="89"/>
    </row>
    <row r="585" spans="1:9">
      <c r="A585" s="21"/>
      <c r="B585"/>
      <c r="F585" s="87"/>
      <c r="H585" s="87"/>
      <c r="I585" s="89"/>
    </row>
    <row r="586" spans="1:9">
      <c r="A586" s="21"/>
      <c r="B586"/>
      <c r="F586" s="87"/>
      <c r="H586" s="87"/>
      <c r="I586" s="89"/>
    </row>
    <row r="587" spans="1:9">
      <c r="A587" s="21"/>
      <c r="B587"/>
      <c r="F587" s="87"/>
      <c r="H587" s="87"/>
      <c r="I587" s="89"/>
    </row>
    <row r="588" spans="1:9">
      <c r="A588" s="21"/>
      <c r="B588"/>
      <c r="F588" s="87"/>
      <c r="H588" s="87"/>
      <c r="I588" s="89"/>
    </row>
    <row r="589" spans="1:9">
      <c r="A589" s="21"/>
      <c r="B589"/>
      <c r="F589" s="87"/>
      <c r="H589" s="87"/>
      <c r="I589" s="89"/>
    </row>
    <row r="590" spans="1:9">
      <c r="A590" s="21"/>
      <c r="B590"/>
      <c r="F590" s="87"/>
      <c r="H590" s="87"/>
      <c r="I590" s="89"/>
    </row>
    <row r="591" spans="1:9">
      <c r="A591" s="21"/>
      <c r="B591"/>
      <c r="F591" s="87"/>
      <c r="H591" s="87"/>
      <c r="I591" s="89"/>
    </row>
    <row r="592" spans="1:9">
      <c r="A592" s="21"/>
      <c r="B592"/>
      <c r="F592" s="87"/>
      <c r="H592" s="87"/>
      <c r="I592" s="89"/>
    </row>
    <row r="593" spans="1:9">
      <c r="A593" s="21"/>
      <c r="B593"/>
      <c r="F593" s="87"/>
      <c r="H593" s="87"/>
      <c r="I593" s="89"/>
    </row>
    <row r="594" spans="1:9">
      <c r="A594" s="21"/>
      <c r="B594"/>
      <c r="F594" s="87"/>
      <c r="H594" s="87"/>
      <c r="I594" s="89"/>
    </row>
    <row r="595" spans="1:9">
      <c r="A595" s="21"/>
      <c r="B595"/>
      <c r="F595" s="87"/>
      <c r="H595" s="87"/>
      <c r="I595" s="89"/>
    </row>
    <row r="596" spans="1:9">
      <c r="A596" s="21"/>
      <c r="B596"/>
      <c r="F596" s="87"/>
      <c r="H596" s="87"/>
      <c r="I596" s="89"/>
    </row>
    <row r="597" spans="1:9">
      <c r="A597" s="21"/>
      <c r="B597"/>
      <c r="F597" s="87"/>
      <c r="H597" s="87"/>
      <c r="I597" s="89"/>
    </row>
    <row r="598" spans="1:9">
      <c r="A598" s="21"/>
      <c r="B598"/>
      <c r="F598" s="87"/>
      <c r="H598" s="87"/>
      <c r="I598" s="89"/>
    </row>
    <row r="599" spans="1:9">
      <c r="A599" s="21"/>
      <c r="B599"/>
      <c r="F599" s="87"/>
      <c r="H599" s="87"/>
      <c r="I599" s="89"/>
    </row>
    <row r="600" spans="1:9">
      <c r="A600" s="21"/>
      <c r="B600"/>
      <c r="F600" s="87"/>
      <c r="H600" s="87"/>
      <c r="I600" s="89"/>
    </row>
    <row r="601" spans="1:9">
      <c r="A601" s="21"/>
      <c r="B601"/>
      <c r="F601" s="87"/>
      <c r="H601" s="87"/>
      <c r="I601" s="89"/>
    </row>
    <row r="602" spans="1:9">
      <c r="A602" s="21"/>
      <c r="B602"/>
      <c r="F602" s="87"/>
      <c r="H602" s="87"/>
      <c r="I602" s="89"/>
    </row>
    <row r="603" spans="1:9">
      <c r="A603" s="21"/>
      <c r="B603"/>
      <c r="F603" s="87"/>
      <c r="H603" s="87"/>
      <c r="I603" s="89"/>
    </row>
    <row r="604" spans="1:9">
      <c r="A604" s="21"/>
      <c r="B604"/>
      <c r="F604" s="87"/>
      <c r="H604" s="87"/>
      <c r="I604" s="89"/>
    </row>
    <row r="605" spans="1:9">
      <c r="A605" s="21"/>
      <c r="B605"/>
      <c r="F605" s="87"/>
      <c r="H605" s="87"/>
      <c r="I605" s="89"/>
    </row>
    <row r="606" spans="1:9">
      <c r="A606" s="21"/>
      <c r="B606"/>
      <c r="F606" s="87"/>
      <c r="H606" s="87"/>
      <c r="I606" s="89"/>
    </row>
    <row r="607" spans="1:9">
      <c r="A607" s="21"/>
      <c r="B607"/>
      <c r="F607" s="87"/>
      <c r="H607" s="87"/>
      <c r="I607" s="89"/>
    </row>
    <row r="608" spans="1:9">
      <c r="A608" s="21"/>
      <c r="B608"/>
      <c r="F608" s="87"/>
      <c r="H608" s="87"/>
      <c r="I608" s="89"/>
    </row>
    <row r="609" spans="1:9">
      <c r="A609" s="21"/>
      <c r="B609"/>
      <c r="F609" s="87"/>
      <c r="H609" s="87"/>
      <c r="I609" s="89"/>
    </row>
    <row r="610" spans="1:9">
      <c r="A610" s="21"/>
      <c r="B610"/>
      <c r="F610" s="87"/>
      <c r="H610" s="87"/>
      <c r="I610" s="89"/>
    </row>
    <row r="611" spans="1:9">
      <c r="A611" s="21"/>
      <c r="B611"/>
      <c r="F611" s="87"/>
      <c r="H611" s="87"/>
      <c r="I611" s="89"/>
    </row>
    <row r="612" spans="1:9">
      <c r="A612" s="21"/>
      <c r="B612"/>
      <c r="F612" s="87"/>
      <c r="H612" s="87"/>
      <c r="I612" s="89"/>
    </row>
    <row r="613" spans="1:9">
      <c r="A613" s="21"/>
      <c r="B613"/>
      <c r="F613" s="87"/>
      <c r="H613" s="87"/>
      <c r="I613" s="89"/>
    </row>
    <row r="614" spans="1:9">
      <c r="A614" s="21"/>
      <c r="B614"/>
      <c r="F614" s="87"/>
      <c r="H614" s="87"/>
      <c r="I614" s="89"/>
    </row>
    <row r="615" spans="1:9">
      <c r="A615" s="21"/>
      <c r="B615"/>
      <c r="F615" s="87"/>
      <c r="H615" s="87"/>
      <c r="I615" s="89"/>
    </row>
    <row r="616" spans="1:9">
      <c r="A616" s="21"/>
      <c r="B616"/>
      <c r="F616" s="87"/>
      <c r="H616" s="87"/>
      <c r="I616" s="89"/>
    </row>
    <row r="617" spans="1:9">
      <c r="A617" s="21"/>
      <c r="B617"/>
      <c r="F617" s="87"/>
      <c r="H617" s="87"/>
      <c r="I617" s="89"/>
    </row>
    <row r="618" spans="1:9">
      <c r="A618" s="21"/>
      <c r="B618"/>
      <c r="F618" s="87"/>
      <c r="H618" s="87"/>
      <c r="I618" s="89"/>
    </row>
    <row r="619" spans="1:9">
      <c r="A619" s="21"/>
      <c r="B619"/>
      <c r="F619" s="87"/>
      <c r="H619" s="87"/>
      <c r="I619" s="89"/>
    </row>
    <row r="620" spans="1:9">
      <c r="A620" s="21"/>
      <c r="B620"/>
      <c r="F620" s="87"/>
      <c r="H620" s="87"/>
      <c r="I620" s="89"/>
    </row>
    <row r="621" spans="1:9">
      <c r="A621" s="21"/>
      <c r="B621"/>
      <c r="F621" s="87"/>
      <c r="H621" s="87"/>
      <c r="I621" s="89"/>
    </row>
    <row r="622" spans="1:9">
      <c r="A622" s="21"/>
      <c r="B622"/>
      <c r="F622" s="87"/>
      <c r="H622" s="87"/>
      <c r="I622" s="89"/>
    </row>
    <row r="623" spans="1:9">
      <c r="A623" s="21"/>
      <c r="B623"/>
      <c r="F623" s="87"/>
      <c r="H623" s="87"/>
      <c r="I623" s="89"/>
    </row>
    <row r="624" spans="1:9">
      <c r="A624" s="21"/>
      <c r="B624"/>
      <c r="F624" s="87"/>
      <c r="H624" s="87"/>
      <c r="I624" s="89"/>
    </row>
    <row r="625" spans="1:9">
      <c r="A625" s="21"/>
      <c r="B625"/>
      <c r="F625" s="87"/>
      <c r="H625" s="87"/>
      <c r="I625" s="89"/>
    </row>
    <row r="626" spans="1:9">
      <c r="A626" s="21"/>
      <c r="B626"/>
      <c r="F626" s="87"/>
      <c r="H626" s="87"/>
      <c r="I626" s="89"/>
    </row>
    <row r="627" spans="1:9">
      <c r="A627" s="21"/>
      <c r="B627"/>
      <c r="F627" s="87"/>
      <c r="H627" s="87"/>
      <c r="I627" s="89"/>
    </row>
    <row r="628" spans="1:9">
      <c r="A628" s="21"/>
      <c r="B628"/>
      <c r="F628" s="87"/>
      <c r="H628" s="87"/>
      <c r="I628" s="89"/>
    </row>
    <row r="629" spans="1:9">
      <c r="A629" s="21"/>
      <c r="B629"/>
      <c r="F629" s="87"/>
      <c r="H629" s="87"/>
      <c r="I629" s="89"/>
    </row>
    <row r="630" spans="1:9">
      <c r="A630" s="21"/>
      <c r="B630"/>
      <c r="F630" s="87"/>
      <c r="H630" s="87"/>
      <c r="I630" s="89"/>
    </row>
    <row r="631" spans="1:9">
      <c r="A631" s="21"/>
      <c r="B631"/>
      <c r="F631" s="87"/>
      <c r="H631" s="87"/>
      <c r="I631" s="89"/>
    </row>
    <row r="632" spans="1:9">
      <c r="A632" s="21"/>
      <c r="B632"/>
      <c r="F632" s="87"/>
      <c r="H632" s="87"/>
      <c r="I632" s="89"/>
    </row>
    <row r="633" spans="1:9">
      <c r="A633" s="21"/>
      <c r="B633"/>
      <c r="F633" s="87"/>
      <c r="H633" s="87"/>
      <c r="I633" s="89"/>
    </row>
    <row r="634" spans="1:9">
      <c r="A634" s="21"/>
      <c r="B634"/>
      <c r="F634" s="87"/>
      <c r="H634" s="87"/>
      <c r="I634" s="89"/>
    </row>
    <row r="635" spans="1:9">
      <c r="A635" s="21"/>
      <c r="B635"/>
      <c r="F635" s="87"/>
      <c r="H635" s="87"/>
      <c r="I635" s="89"/>
    </row>
    <row r="636" spans="1:9">
      <c r="A636" s="21"/>
      <c r="B636"/>
      <c r="F636" s="87"/>
      <c r="H636" s="87"/>
      <c r="I636" s="89"/>
    </row>
    <row r="637" spans="1:9">
      <c r="A637" s="21"/>
      <c r="B637"/>
      <c r="F637" s="87"/>
      <c r="H637" s="87"/>
      <c r="I637" s="89"/>
    </row>
    <row r="638" spans="1:9">
      <c r="A638" s="21"/>
      <c r="B638"/>
      <c r="F638" s="87"/>
      <c r="H638" s="87"/>
      <c r="I638" s="89"/>
    </row>
    <row r="639" spans="1:9">
      <c r="A639" s="21"/>
      <c r="B639"/>
      <c r="F639" s="87"/>
      <c r="H639" s="87"/>
      <c r="I639" s="89"/>
    </row>
    <row r="640" spans="1:9">
      <c r="A640" s="21"/>
      <c r="B640"/>
      <c r="F640" s="87"/>
      <c r="H640" s="87"/>
      <c r="I640" s="89"/>
    </row>
    <row r="641" spans="1:9">
      <c r="A641" s="21"/>
      <c r="B641"/>
      <c r="F641" s="87"/>
      <c r="H641" s="87"/>
      <c r="I641" s="89"/>
    </row>
    <row r="642" spans="1:9">
      <c r="A642" s="21"/>
      <c r="B642"/>
      <c r="F642" s="87"/>
      <c r="H642" s="87"/>
      <c r="I642" s="89"/>
    </row>
    <row r="643" spans="1:9">
      <c r="A643" s="21"/>
      <c r="B643"/>
      <c r="F643" s="87"/>
      <c r="H643" s="87"/>
      <c r="I643" s="89"/>
    </row>
    <row r="644" spans="1:9">
      <c r="A644" s="21"/>
      <c r="B644"/>
      <c r="F644" s="87"/>
      <c r="H644" s="87"/>
      <c r="I644" s="89"/>
    </row>
    <row r="645" spans="1:9">
      <c r="A645" s="21"/>
      <c r="B645"/>
      <c r="F645" s="87"/>
      <c r="H645" s="87"/>
      <c r="I645" s="89"/>
    </row>
    <row r="646" spans="1:9">
      <c r="A646" s="21"/>
      <c r="B646"/>
      <c r="F646" s="87"/>
      <c r="H646" s="87"/>
      <c r="I646" s="89"/>
    </row>
    <row r="647" spans="1:9">
      <c r="A647" s="21"/>
      <c r="B647"/>
      <c r="F647" s="87"/>
      <c r="H647" s="87"/>
      <c r="I647" s="89"/>
    </row>
    <row r="648" spans="1:9">
      <c r="A648" s="21"/>
      <c r="B648"/>
      <c r="F648" s="87"/>
      <c r="H648" s="87"/>
      <c r="I648" s="89"/>
    </row>
    <row r="649" spans="1:9">
      <c r="A649" s="21"/>
      <c r="B649"/>
      <c r="F649" s="87"/>
      <c r="H649" s="87"/>
      <c r="I649" s="89"/>
    </row>
    <row r="650" spans="1:9">
      <c r="A650" s="21"/>
      <c r="B650"/>
      <c r="F650" s="87"/>
      <c r="H650" s="87"/>
      <c r="I650" s="89"/>
    </row>
    <row r="651" spans="1:9">
      <c r="A651" s="21"/>
      <c r="B651"/>
      <c r="F651" s="87"/>
      <c r="H651" s="87"/>
      <c r="I651" s="89"/>
    </row>
    <row r="652" spans="1:9">
      <c r="A652" s="21"/>
      <c r="B652"/>
      <c r="F652" s="87"/>
      <c r="H652" s="87"/>
      <c r="I652" s="89"/>
    </row>
    <row r="653" spans="1:9">
      <c r="A653" s="21"/>
      <c r="B653"/>
      <c r="F653" s="87"/>
      <c r="H653" s="87"/>
      <c r="I653" s="89"/>
    </row>
    <row r="654" spans="1:9">
      <c r="A654" s="21"/>
      <c r="B654"/>
      <c r="F654" s="87"/>
      <c r="H654" s="87"/>
      <c r="I654" s="89"/>
    </row>
    <row r="655" spans="1:9">
      <c r="A655" s="21"/>
      <c r="B655"/>
      <c r="F655" s="87"/>
      <c r="H655" s="87"/>
      <c r="I655" s="89"/>
    </row>
    <row r="656" spans="1:9">
      <c r="A656" s="21"/>
      <c r="B656"/>
      <c r="F656" s="87"/>
      <c r="H656" s="87"/>
      <c r="I656" s="89"/>
    </row>
    <row r="657" spans="1:9">
      <c r="A657" s="21"/>
      <c r="B657"/>
      <c r="F657" s="87"/>
      <c r="H657" s="87"/>
      <c r="I657" s="89"/>
    </row>
    <row r="658" spans="1:9">
      <c r="A658" s="21"/>
      <c r="B658"/>
      <c r="F658" s="87"/>
      <c r="H658" s="87"/>
      <c r="I658" s="89"/>
    </row>
    <row r="659" spans="1:9">
      <c r="A659" s="21"/>
      <c r="B659"/>
      <c r="F659" s="87"/>
      <c r="H659" s="87"/>
      <c r="I659" s="89"/>
    </row>
    <row r="660" spans="1:9">
      <c r="A660" s="21"/>
      <c r="B660"/>
      <c r="F660" s="87"/>
      <c r="H660" s="87"/>
      <c r="I660" s="89"/>
    </row>
    <row r="661" spans="1:9">
      <c r="A661" s="21"/>
      <c r="B661"/>
      <c r="F661" s="87"/>
      <c r="H661" s="87"/>
      <c r="I661" s="89"/>
    </row>
    <row r="662" spans="1:9">
      <c r="A662" s="21"/>
      <c r="B662"/>
      <c r="F662" s="87"/>
      <c r="H662" s="87"/>
      <c r="I662" s="89"/>
    </row>
    <row r="663" spans="1:9">
      <c r="A663" s="21"/>
      <c r="B663"/>
      <c r="F663" s="87"/>
      <c r="H663" s="87"/>
      <c r="I663" s="89"/>
    </row>
    <row r="664" spans="1:9">
      <c r="A664" s="21"/>
      <c r="B664"/>
      <c r="F664" s="87"/>
      <c r="H664" s="87"/>
      <c r="I664" s="89"/>
    </row>
    <row r="665" spans="1:9">
      <c r="A665" s="21"/>
      <c r="B665"/>
      <c r="F665" s="87"/>
      <c r="H665" s="87"/>
      <c r="I665" s="89"/>
    </row>
    <row r="666" spans="1:9">
      <c r="A666" s="21"/>
      <c r="B666"/>
      <c r="F666" s="87"/>
      <c r="H666" s="87"/>
      <c r="I666" s="89"/>
    </row>
    <row r="667" spans="1:9">
      <c r="A667" s="21"/>
      <c r="B667"/>
      <c r="F667" s="87"/>
      <c r="H667" s="87"/>
      <c r="I667" s="89"/>
    </row>
    <row r="668" spans="1:9">
      <c r="A668" s="21"/>
      <c r="B668"/>
      <c r="F668" s="87"/>
      <c r="H668" s="87"/>
      <c r="I668" s="89"/>
    </row>
    <row r="669" spans="1:9">
      <c r="A669" s="21"/>
      <c r="B669"/>
      <c r="F669" s="87"/>
      <c r="H669" s="87"/>
      <c r="I669" s="89"/>
    </row>
    <row r="670" spans="1:9">
      <c r="A670" s="21"/>
      <c r="B670"/>
      <c r="F670" s="87"/>
      <c r="H670" s="87"/>
      <c r="I670" s="89"/>
    </row>
    <row r="671" spans="1:9">
      <c r="A671" s="21"/>
      <c r="B671"/>
      <c r="F671" s="87"/>
      <c r="H671" s="87"/>
      <c r="I671" s="89"/>
    </row>
    <row r="672" spans="1:9">
      <c r="A672" s="21"/>
      <c r="B672"/>
      <c r="F672" s="87"/>
      <c r="H672" s="87"/>
      <c r="I672" s="89"/>
    </row>
    <row r="673" spans="1:9">
      <c r="A673" s="21"/>
      <c r="B673"/>
      <c r="F673" s="87"/>
      <c r="H673" s="87"/>
      <c r="I673" s="89"/>
    </row>
    <row r="674" spans="1:9">
      <c r="A674" s="21"/>
      <c r="B674"/>
      <c r="F674" s="87"/>
      <c r="H674" s="87"/>
      <c r="I674" s="89"/>
    </row>
    <row r="675" spans="1:9">
      <c r="A675" s="21"/>
      <c r="B675"/>
      <c r="F675" s="87"/>
      <c r="H675" s="87"/>
      <c r="I675" s="89"/>
    </row>
    <row r="676" spans="1:9">
      <c r="A676" s="21"/>
      <c r="B676"/>
      <c r="F676" s="87"/>
      <c r="H676" s="87"/>
      <c r="I676" s="89"/>
    </row>
    <row r="677" spans="1:9">
      <c r="A677" s="21"/>
      <c r="B677"/>
      <c r="F677" s="87"/>
      <c r="H677" s="87"/>
      <c r="I677" s="89"/>
    </row>
    <row r="678" spans="1:9">
      <c r="A678" s="21"/>
      <c r="B678"/>
      <c r="F678" s="87"/>
      <c r="H678" s="87"/>
      <c r="I678" s="89"/>
    </row>
    <row r="679" spans="1:9">
      <c r="A679" s="21"/>
      <c r="B679"/>
      <c r="F679" s="87"/>
      <c r="H679" s="87"/>
      <c r="I679" s="89"/>
    </row>
    <row r="680" spans="1:9">
      <c r="A680" s="21"/>
      <c r="B680"/>
      <c r="F680" s="87"/>
      <c r="H680" s="87"/>
      <c r="I680" s="89"/>
    </row>
    <row r="681" spans="1:9">
      <c r="A681" s="21"/>
      <c r="B681"/>
      <c r="F681" s="87"/>
      <c r="H681" s="87"/>
      <c r="I681" s="89"/>
    </row>
    <row r="682" spans="1:9">
      <c r="A682" s="21"/>
      <c r="B682"/>
      <c r="F682" s="87"/>
      <c r="H682" s="87"/>
      <c r="I682" s="89"/>
    </row>
    <row r="683" spans="1:9">
      <c r="A683" s="21"/>
      <c r="B683"/>
      <c r="F683" s="87"/>
      <c r="H683" s="87"/>
      <c r="I683" s="89"/>
    </row>
    <row r="684" spans="1:9">
      <c r="A684" s="21"/>
      <c r="B684"/>
      <c r="F684" s="87"/>
      <c r="H684" s="87"/>
      <c r="I684" s="89"/>
    </row>
    <row r="685" spans="1:9">
      <c r="A685" s="21"/>
      <c r="B685"/>
      <c r="F685" s="87"/>
      <c r="H685" s="87"/>
      <c r="I685" s="89"/>
    </row>
    <row r="686" spans="1:9">
      <c r="A686" s="21"/>
      <c r="B686"/>
      <c r="F686" s="87"/>
      <c r="H686" s="87"/>
      <c r="I686" s="89"/>
    </row>
    <row r="687" spans="1:9">
      <c r="A687" s="21"/>
      <c r="B687"/>
      <c r="F687" s="87"/>
      <c r="H687" s="87"/>
      <c r="I687" s="89"/>
    </row>
    <row r="688" spans="1:9">
      <c r="A688" s="21"/>
      <c r="B688"/>
      <c r="F688" s="87"/>
      <c r="H688" s="87"/>
      <c r="I688" s="89"/>
    </row>
    <row r="689" spans="1:9">
      <c r="A689" s="21"/>
      <c r="B689"/>
      <c r="F689" s="87"/>
      <c r="H689" s="87"/>
      <c r="I689" s="89"/>
    </row>
    <row r="690" spans="1:9">
      <c r="A690" s="21"/>
      <c r="B690"/>
      <c r="F690" s="87"/>
      <c r="H690" s="87"/>
      <c r="I690" s="89"/>
    </row>
    <row r="691" spans="1:9">
      <c r="A691" s="21"/>
      <c r="B691"/>
      <c r="F691" s="87"/>
      <c r="H691" s="87"/>
      <c r="I691" s="89"/>
    </row>
    <row r="692" spans="1:9">
      <c r="A692" s="21"/>
      <c r="B692"/>
      <c r="F692" s="87"/>
      <c r="H692" s="87"/>
      <c r="I692" s="89"/>
    </row>
    <row r="693" spans="1:9">
      <c r="A693" s="21"/>
      <c r="B693"/>
      <c r="F693" s="87"/>
      <c r="H693" s="87"/>
      <c r="I693" s="89"/>
    </row>
    <row r="694" spans="1:9">
      <c r="A694" s="21"/>
      <c r="B694"/>
      <c r="F694" s="87"/>
      <c r="H694" s="87"/>
      <c r="I694" s="89"/>
    </row>
    <row r="695" spans="1:9">
      <c r="A695" s="21"/>
      <c r="B695"/>
      <c r="F695" s="87"/>
      <c r="H695" s="87"/>
      <c r="I695" s="89"/>
    </row>
    <row r="696" spans="1:9">
      <c r="A696" s="21"/>
      <c r="B696"/>
      <c r="F696" s="87"/>
      <c r="H696" s="87"/>
      <c r="I696" s="89"/>
    </row>
    <row r="697" spans="1:9">
      <c r="A697" s="21"/>
      <c r="B697"/>
      <c r="F697" s="87"/>
      <c r="H697" s="87"/>
      <c r="I697" s="89"/>
    </row>
    <row r="698" spans="1:9">
      <c r="A698" s="21"/>
      <c r="B698"/>
      <c r="F698" s="87"/>
      <c r="H698" s="87"/>
      <c r="I698" s="89"/>
    </row>
    <row r="699" spans="1:9">
      <c r="A699" s="21"/>
      <c r="B699"/>
      <c r="F699" s="87"/>
      <c r="H699" s="87"/>
      <c r="I699" s="89"/>
    </row>
    <row r="700" spans="1:9">
      <c r="A700" s="21"/>
      <c r="B700"/>
      <c r="F700" s="87"/>
      <c r="H700" s="87"/>
      <c r="I700" s="89"/>
    </row>
    <row r="701" spans="1:9">
      <c r="A701" s="21"/>
      <c r="B701"/>
      <c r="F701" s="87"/>
      <c r="H701" s="87"/>
      <c r="I701" s="89"/>
    </row>
    <row r="702" spans="1:9">
      <c r="A702" s="21"/>
      <c r="B702"/>
      <c r="F702" s="87"/>
      <c r="H702" s="87"/>
      <c r="I702" s="89"/>
    </row>
    <row r="703" spans="1:9">
      <c r="A703" s="21"/>
      <c r="B703"/>
      <c r="F703" s="87"/>
      <c r="H703" s="87"/>
      <c r="I703" s="89"/>
    </row>
    <row r="704" spans="1:9">
      <c r="A704" s="21"/>
      <c r="B704"/>
      <c r="F704" s="87"/>
      <c r="H704" s="87"/>
      <c r="I704" s="89"/>
    </row>
    <row r="705" spans="1:9">
      <c r="A705" s="21"/>
      <c r="B705"/>
      <c r="F705" s="87"/>
      <c r="H705" s="87"/>
      <c r="I705" s="89"/>
    </row>
    <row r="706" spans="1:9">
      <c r="A706" s="21"/>
      <c r="B706"/>
      <c r="F706" s="87"/>
      <c r="H706" s="87"/>
      <c r="I706" s="89"/>
    </row>
    <row r="707" spans="1:9">
      <c r="A707" s="21"/>
      <c r="B707"/>
      <c r="F707" s="87"/>
      <c r="H707" s="87"/>
      <c r="I707" s="89"/>
    </row>
    <row r="708" spans="1:9">
      <c r="A708" s="21"/>
      <c r="B708"/>
      <c r="F708" s="87"/>
      <c r="H708" s="87"/>
      <c r="I708" s="89"/>
    </row>
    <row r="709" spans="1:9">
      <c r="A709" s="21"/>
      <c r="B709"/>
      <c r="F709" s="87"/>
      <c r="H709" s="87"/>
      <c r="I709" s="89"/>
    </row>
    <row r="710" spans="1:9">
      <c r="A710" s="21"/>
      <c r="B710"/>
      <c r="F710" s="87"/>
      <c r="H710" s="87"/>
      <c r="I710" s="89"/>
    </row>
    <row r="711" spans="1:9">
      <c r="A711" s="21"/>
      <c r="B711"/>
      <c r="F711" s="87"/>
      <c r="H711" s="87"/>
      <c r="I711" s="89"/>
    </row>
    <row r="712" spans="1:9">
      <c r="A712" s="21"/>
      <c r="B712"/>
      <c r="F712" s="87"/>
      <c r="H712" s="87"/>
      <c r="I712" s="89"/>
    </row>
    <row r="713" spans="1:9">
      <c r="A713" s="21"/>
      <c r="B713"/>
      <c r="F713" s="87"/>
      <c r="H713" s="87"/>
      <c r="I713" s="89"/>
    </row>
    <row r="714" spans="1:9">
      <c r="A714" s="21"/>
      <c r="B714"/>
      <c r="F714" s="87"/>
      <c r="H714" s="87"/>
      <c r="I714" s="89"/>
    </row>
    <row r="715" spans="1:9">
      <c r="A715" s="21"/>
      <c r="B715"/>
      <c r="F715" s="87"/>
      <c r="H715" s="87"/>
      <c r="I715" s="89"/>
    </row>
    <row r="716" spans="1:9">
      <c r="A716" s="21"/>
      <c r="B716"/>
      <c r="F716" s="87"/>
      <c r="H716" s="87"/>
      <c r="I716" s="89"/>
    </row>
    <row r="717" spans="1:9">
      <c r="A717" s="21"/>
      <c r="B717"/>
      <c r="F717" s="87"/>
      <c r="H717" s="87"/>
      <c r="I717" s="89"/>
    </row>
    <row r="718" spans="1:9">
      <c r="A718" s="21"/>
      <c r="B718"/>
      <c r="F718" s="87"/>
      <c r="H718" s="87"/>
      <c r="I718" s="89"/>
    </row>
    <row r="719" spans="1:9">
      <c r="A719" s="21"/>
      <c r="B719"/>
      <c r="F719" s="87"/>
      <c r="H719" s="87"/>
      <c r="I719" s="89"/>
    </row>
    <row r="720" spans="1:9">
      <c r="A720" s="21"/>
      <c r="B720"/>
      <c r="F720" s="87"/>
      <c r="H720" s="87"/>
      <c r="I720" s="89"/>
    </row>
    <row r="721" spans="1:9">
      <c r="A721" s="21"/>
      <c r="B721"/>
      <c r="F721" s="87"/>
      <c r="H721" s="87"/>
      <c r="I721" s="89"/>
    </row>
    <row r="722" spans="1:9">
      <c r="A722" s="21"/>
      <c r="B722"/>
      <c r="F722" s="87"/>
      <c r="H722" s="87"/>
      <c r="I722" s="89"/>
    </row>
    <row r="723" spans="1:9">
      <c r="A723" s="21"/>
      <c r="B723"/>
      <c r="F723" s="87"/>
      <c r="H723" s="87"/>
      <c r="I723" s="89"/>
    </row>
    <row r="724" spans="1:9">
      <c r="A724" s="21"/>
      <c r="B724"/>
      <c r="F724" s="87"/>
      <c r="H724" s="87"/>
      <c r="I724" s="89"/>
    </row>
    <row r="725" spans="1:9">
      <c r="A725" s="21"/>
      <c r="B725"/>
      <c r="F725" s="87"/>
      <c r="H725" s="87"/>
      <c r="I725" s="89"/>
    </row>
    <row r="726" spans="1:9">
      <c r="A726" s="21"/>
      <c r="B726"/>
      <c r="F726" s="87"/>
      <c r="H726" s="87"/>
      <c r="I726" s="89"/>
    </row>
    <row r="727" spans="1:9">
      <c r="A727" s="21"/>
      <c r="B727"/>
      <c r="F727" s="87"/>
      <c r="H727" s="87"/>
      <c r="I727" s="89"/>
    </row>
    <row r="728" spans="1:9">
      <c r="A728" s="21"/>
      <c r="B728"/>
      <c r="F728" s="87"/>
      <c r="H728" s="87"/>
      <c r="I728" s="89"/>
    </row>
    <row r="729" spans="1:9">
      <c r="A729" s="21"/>
      <c r="B729"/>
      <c r="F729" s="87"/>
      <c r="H729" s="87"/>
      <c r="I729" s="89"/>
    </row>
    <row r="730" spans="1:9">
      <c r="A730" s="21"/>
      <c r="B730"/>
      <c r="F730" s="87"/>
      <c r="H730" s="87"/>
      <c r="I730" s="89"/>
    </row>
    <row r="731" spans="1:9">
      <c r="A731" s="21"/>
      <c r="B731"/>
      <c r="F731" s="87"/>
      <c r="H731" s="87"/>
      <c r="I731" s="89"/>
    </row>
    <row r="732" spans="1:9">
      <c r="A732" s="21"/>
      <c r="B732"/>
      <c r="F732" s="87"/>
      <c r="H732" s="87"/>
      <c r="I732" s="89"/>
    </row>
    <row r="733" spans="1:9">
      <c r="A733" s="21"/>
      <c r="B733"/>
      <c r="F733" s="87"/>
      <c r="H733" s="87"/>
      <c r="I733" s="89"/>
    </row>
    <row r="734" spans="1:9">
      <c r="A734" s="21"/>
      <c r="B734"/>
      <c r="F734" s="87"/>
      <c r="H734" s="87"/>
      <c r="I734" s="89"/>
    </row>
    <row r="735" spans="1:9">
      <c r="A735" s="21"/>
      <c r="B735"/>
      <c r="F735" s="87"/>
      <c r="H735" s="87"/>
      <c r="I735" s="89"/>
    </row>
    <row r="736" spans="1:9">
      <c r="A736" s="21"/>
      <c r="B736"/>
      <c r="F736" s="87"/>
      <c r="H736" s="87"/>
      <c r="I736" s="89"/>
    </row>
    <row r="737" spans="1:9">
      <c r="A737" s="21"/>
      <c r="B737"/>
      <c r="F737" s="87"/>
      <c r="H737" s="87"/>
      <c r="I737" s="89"/>
    </row>
    <row r="738" spans="1:9">
      <c r="A738" s="21"/>
      <c r="B738"/>
      <c r="F738" s="87"/>
      <c r="H738" s="87"/>
      <c r="I738" s="89"/>
    </row>
    <row r="739" spans="1:9">
      <c r="A739" s="21"/>
      <c r="B739"/>
      <c r="F739" s="87"/>
      <c r="H739" s="87"/>
      <c r="I739" s="89"/>
    </row>
    <row r="740" spans="1:9">
      <c r="A740" s="21"/>
      <c r="B740"/>
      <c r="F740" s="87"/>
      <c r="H740" s="87"/>
      <c r="I740" s="89"/>
    </row>
    <row r="741" spans="1:9">
      <c r="A741" s="21"/>
      <c r="B741"/>
      <c r="F741" s="87"/>
      <c r="H741" s="87"/>
      <c r="I741" s="89"/>
    </row>
    <row r="742" spans="1:9">
      <c r="A742" s="21"/>
      <c r="B742"/>
      <c r="F742" s="87"/>
      <c r="H742" s="87"/>
      <c r="I742" s="89"/>
    </row>
    <row r="743" spans="1:9">
      <c r="A743" s="21"/>
      <c r="B743"/>
      <c r="F743" s="87"/>
      <c r="H743" s="87"/>
      <c r="I743" s="89"/>
    </row>
    <row r="744" spans="1:9">
      <c r="A744" s="21"/>
      <c r="B744"/>
      <c r="F744" s="87"/>
      <c r="H744" s="87"/>
      <c r="I744" s="89"/>
    </row>
    <row r="745" spans="1:9">
      <c r="A745" s="21"/>
      <c r="B745"/>
      <c r="F745" s="87"/>
      <c r="H745" s="87"/>
      <c r="I745" s="89"/>
    </row>
    <row r="746" spans="1:9">
      <c r="A746" s="21"/>
      <c r="B746"/>
      <c r="F746" s="87"/>
      <c r="H746" s="87"/>
      <c r="I746" s="89"/>
    </row>
    <row r="747" spans="1:9">
      <c r="A747" s="21"/>
      <c r="B747"/>
      <c r="F747" s="87"/>
      <c r="H747" s="87"/>
      <c r="I747" s="89"/>
    </row>
    <row r="748" spans="1:9">
      <c r="A748" s="21"/>
      <c r="B748"/>
      <c r="F748" s="87"/>
      <c r="H748" s="87"/>
      <c r="I748" s="89"/>
    </row>
    <row r="749" spans="1:9">
      <c r="A749" s="21"/>
      <c r="B749"/>
      <c r="F749" s="87"/>
      <c r="H749" s="87"/>
      <c r="I749" s="89"/>
    </row>
    <row r="750" spans="1:9">
      <c r="A750" s="21"/>
      <c r="B750"/>
      <c r="F750" s="87"/>
      <c r="H750" s="87"/>
      <c r="I750" s="89"/>
    </row>
    <row r="751" spans="1:9">
      <c r="A751" s="21"/>
      <c r="B751"/>
      <c r="F751" s="87"/>
      <c r="H751" s="87"/>
      <c r="I751" s="89"/>
    </row>
    <row r="752" spans="1:9">
      <c r="A752" s="21"/>
      <c r="B752"/>
      <c r="F752" s="87"/>
      <c r="H752" s="87"/>
      <c r="I752" s="89"/>
    </row>
    <row r="753" spans="1:9">
      <c r="A753" s="21"/>
      <c r="B753"/>
      <c r="F753" s="87"/>
      <c r="H753" s="87"/>
      <c r="I753" s="89"/>
    </row>
    <row r="754" spans="1:9">
      <c r="A754" s="21"/>
      <c r="B754"/>
      <c r="F754" s="87"/>
      <c r="H754" s="87"/>
      <c r="I754" s="89"/>
    </row>
    <row r="755" spans="1:9">
      <c r="A755" s="21"/>
      <c r="B755"/>
      <c r="F755" s="87"/>
      <c r="H755" s="87"/>
      <c r="I755" s="89"/>
    </row>
    <row r="756" spans="1:9">
      <c r="A756" s="21"/>
      <c r="B756"/>
      <c r="F756" s="87"/>
      <c r="H756" s="87"/>
      <c r="I756" s="89"/>
    </row>
    <row r="757" spans="1:9">
      <c r="A757" s="21"/>
      <c r="B757"/>
      <c r="F757" s="87"/>
      <c r="H757" s="87"/>
      <c r="I757" s="89"/>
    </row>
    <row r="758" spans="1:9">
      <c r="A758" s="21"/>
      <c r="B758"/>
      <c r="F758" s="87"/>
      <c r="H758" s="87"/>
      <c r="I758" s="89"/>
    </row>
    <row r="759" spans="1:9">
      <c r="A759" s="21"/>
      <c r="B759"/>
      <c r="F759" s="87"/>
      <c r="H759" s="87"/>
      <c r="I759" s="89"/>
    </row>
    <row r="760" spans="1:9">
      <c r="A760" s="21"/>
      <c r="B760"/>
      <c r="F760" s="87"/>
      <c r="H760" s="87"/>
      <c r="I760" s="89"/>
    </row>
    <row r="761" spans="1:9">
      <c r="A761" s="21"/>
      <c r="B761"/>
      <c r="F761" s="87"/>
      <c r="H761" s="87"/>
      <c r="I761" s="89"/>
    </row>
    <row r="762" spans="1:9">
      <c r="A762" s="21"/>
      <c r="B762"/>
      <c r="F762" s="87"/>
      <c r="H762" s="87"/>
      <c r="I762" s="89"/>
    </row>
    <row r="763" spans="1:9">
      <c r="A763" s="21"/>
      <c r="B763"/>
      <c r="F763" s="87"/>
      <c r="H763" s="87"/>
      <c r="I763" s="89"/>
    </row>
    <row r="764" spans="1:9">
      <c r="A764" s="21"/>
      <c r="B764"/>
      <c r="F764" s="87"/>
      <c r="H764" s="87"/>
      <c r="I764" s="89"/>
    </row>
    <row r="765" spans="1:9">
      <c r="A765" s="21"/>
      <c r="B765"/>
      <c r="F765" s="87"/>
      <c r="H765" s="87"/>
      <c r="I765" s="89"/>
    </row>
    <row r="766" spans="1:9">
      <c r="A766" s="21"/>
      <c r="B766"/>
      <c r="F766" s="87"/>
      <c r="H766" s="87"/>
      <c r="I766" s="89"/>
    </row>
    <row r="767" spans="1:9">
      <c r="A767" s="21"/>
      <c r="B767"/>
      <c r="F767" s="87"/>
      <c r="H767" s="87"/>
      <c r="I767" s="89"/>
    </row>
    <row r="768" spans="1:9">
      <c r="A768" s="21"/>
      <c r="B768"/>
      <c r="F768" s="87"/>
      <c r="H768" s="87"/>
      <c r="I768" s="89"/>
    </row>
    <row r="769" spans="1:9">
      <c r="A769" s="21"/>
      <c r="B769"/>
      <c r="F769" s="87"/>
      <c r="H769" s="87"/>
      <c r="I769" s="89"/>
    </row>
    <row r="770" spans="1:9">
      <c r="A770" s="21"/>
      <c r="B770"/>
      <c r="F770" s="87"/>
      <c r="H770" s="87"/>
      <c r="I770" s="89"/>
    </row>
    <row r="771" spans="1:9">
      <c r="A771" s="21"/>
      <c r="B771"/>
      <c r="F771" s="87"/>
      <c r="H771" s="87"/>
      <c r="I771" s="89"/>
    </row>
    <row r="772" spans="1:9">
      <c r="A772" s="21"/>
      <c r="B772"/>
      <c r="F772" s="87"/>
      <c r="H772" s="87"/>
      <c r="I772" s="89"/>
    </row>
    <row r="773" spans="1:9">
      <c r="A773" s="21"/>
      <c r="B773"/>
      <c r="F773" s="87"/>
      <c r="H773" s="87"/>
      <c r="I773" s="89"/>
    </row>
    <row r="774" spans="1:9">
      <c r="A774" s="21"/>
      <c r="B774"/>
      <c r="F774" s="87"/>
      <c r="H774" s="87"/>
      <c r="I774" s="89"/>
    </row>
    <row r="775" spans="1:9">
      <c r="A775" s="21"/>
      <c r="B775"/>
      <c r="F775" s="87"/>
      <c r="H775" s="87"/>
      <c r="I775" s="89"/>
    </row>
    <row r="776" spans="1:9">
      <c r="A776" s="21"/>
      <c r="B776"/>
      <c r="F776" s="87"/>
      <c r="H776" s="87"/>
      <c r="I776" s="89"/>
    </row>
    <row r="777" spans="1:9">
      <c r="A777" s="21"/>
      <c r="B777"/>
      <c r="F777" s="87"/>
      <c r="H777" s="87"/>
      <c r="I777" s="89"/>
    </row>
    <row r="778" spans="1:9">
      <c r="A778" s="21"/>
      <c r="B778"/>
      <c r="F778" s="87"/>
      <c r="H778" s="87"/>
      <c r="I778" s="89"/>
    </row>
    <row r="779" spans="1:9">
      <c r="A779" s="21"/>
      <c r="B779"/>
      <c r="F779" s="87"/>
      <c r="H779" s="87"/>
      <c r="I779" s="89"/>
    </row>
    <row r="780" spans="1:9">
      <c r="A780" s="21"/>
      <c r="B780"/>
      <c r="F780" s="87"/>
      <c r="H780" s="87"/>
      <c r="I780" s="89"/>
    </row>
    <row r="781" spans="1:9">
      <c r="A781" s="21"/>
      <c r="B781"/>
      <c r="F781" s="87"/>
      <c r="H781" s="87"/>
      <c r="I781" s="89"/>
    </row>
    <row r="782" spans="1:9">
      <c r="A782" s="21"/>
      <c r="B782"/>
      <c r="F782" s="87"/>
      <c r="H782" s="87"/>
      <c r="I782" s="89"/>
    </row>
    <row r="783" spans="1:9">
      <c r="A783" s="21"/>
      <c r="B783"/>
      <c r="F783" s="87"/>
      <c r="H783" s="87"/>
      <c r="I783" s="89"/>
    </row>
    <row r="784" spans="1:9">
      <c r="A784" s="21"/>
      <c r="B784"/>
      <c r="F784" s="87"/>
      <c r="H784" s="87"/>
      <c r="I784" s="89"/>
    </row>
    <row r="785" spans="1:9">
      <c r="A785" s="21"/>
      <c r="B785"/>
      <c r="F785" s="87"/>
      <c r="H785" s="87"/>
      <c r="I785" s="89"/>
    </row>
    <row r="786" spans="1:9">
      <c r="A786" s="21"/>
      <c r="B786"/>
      <c r="F786" s="87"/>
      <c r="H786" s="87"/>
      <c r="I786" s="89"/>
    </row>
    <row r="787" spans="1:9">
      <c r="A787" s="21"/>
      <c r="B787"/>
      <c r="F787" s="87"/>
      <c r="H787" s="87"/>
      <c r="I787" s="89"/>
    </row>
    <row r="788" spans="1:9">
      <c r="A788" s="21"/>
      <c r="B788"/>
      <c r="F788" s="87"/>
      <c r="H788" s="87"/>
      <c r="I788" s="89"/>
    </row>
    <row r="789" spans="1:9">
      <c r="A789" s="21"/>
      <c r="B789"/>
      <c r="F789" s="87"/>
      <c r="H789" s="87"/>
      <c r="I789" s="89"/>
    </row>
    <row r="790" spans="1:9">
      <c r="A790" s="21"/>
      <c r="B790"/>
      <c r="F790" s="87"/>
      <c r="H790" s="87"/>
      <c r="I790" s="89"/>
    </row>
    <row r="791" spans="1:9">
      <c r="A791" s="21"/>
      <c r="B791"/>
      <c r="F791" s="87"/>
      <c r="H791" s="87"/>
      <c r="I791" s="89"/>
    </row>
    <row r="792" spans="1:9">
      <c r="A792" s="21"/>
      <c r="B792"/>
      <c r="F792" s="87"/>
      <c r="H792" s="87"/>
      <c r="I792" s="89"/>
    </row>
    <row r="793" spans="1:9">
      <c r="A793" s="21"/>
      <c r="B793"/>
      <c r="F793" s="87"/>
      <c r="H793" s="87"/>
      <c r="I793" s="89"/>
    </row>
    <row r="794" spans="1:9">
      <c r="A794" s="21"/>
      <c r="B794"/>
      <c r="F794" s="87"/>
      <c r="H794" s="87"/>
      <c r="I794" s="89"/>
    </row>
    <row r="795" spans="1:9">
      <c r="A795" s="21"/>
      <c r="B795"/>
      <c r="F795" s="87"/>
      <c r="H795" s="87"/>
      <c r="I795" s="89"/>
    </row>
    <row r="796" spans="1:9">
      <c r="A796" s="21"/>
      <c r="B796"/>
      <c r="F796" s="87"/>
      <c r="H796" s="87"/>
      <c r="I796" s="89"/>
    </row>
    <row r="797" spans="1:9">
      <c r="A797" s="21"/>
      <c r="B797"/>
      <c r="F797" s="87"/>
      <c r="H797" s="87"/>
      <c r="I797" s="89"/>
    </row>
    <row r="798" spans="1:9">
      <c r="A798" s="21"/>
      <c r="B798"/>
      <c r="F798" s="87"/>
      <c r="H798" s="87"/>
      <c r="I798" s="89"/>
    </row>
    <row r="799" spans="1:9">
      <c r="A799" s="21"/>
      <c r="B799"/>
      <c r="F799" s="87"/>
      <c r="H799" s="87"/>
      <c r="I799" s="89"/>
    </row>
    <row r="800" spans="1:9">
      <c r="A800" s="21"/>
      <c r="B800"/>
      <c r="F800" s="87"/>
      <c r="H800" s="87"/>
      <c r="I800" s="89"/>
    </row>
    <row r="801" spans="1:9">
      <c r="A801" s="21"/>
      <c r="B801"/>
      <c r="F801" s="87"/>
      <c r="H801" s="87"/>
      <c r="I801" s="89"/>
    </row>
    <row r="802" spans="1:9">
      <c r="A802" s="21"/>
      <c r="B802"/>
      <c r="F802" s="87"/>
      <c r="H802" s="87"/>
      <c r="I802" s="89"/>
    </row>
    <row r="803" spans="1:9">
      <c r="A803" s="21"/>
      <c r="B803"/>
      <c r="F803" s="87"/>
      <c r="H803" s="87"/>
      <c r="I803" s="89"/>
    </row>
    <row r="804" spans="1:9">
      <c r="A804" s="21"/>
      <c r="B804"/>
      <c r="F804" s="87"/>
      <c r="H804" s="87"/>
      <c r="I804" s="89"/>
    </row>
    <row r="805" spans="1:9">
      <c r="A805" s="21"/>
      <c r="B805"/>
      <c r="F805" s="87"/>
      <c r="H805" s="87"/>
      <c r="I805" s="89"/>
    </row>
    <row r="806" spans="1:9">
      <c r="A806" s="21"/>
      <c r="B806"/>
      <c r="F806" s="87"/>
      <c r="H806" s="87"/>
      <c r="I806" s="89"/>
    </row>
    <row r="807" spans="1:9">
      <c r="A807" s="21"/>
      <c r="B807"/>
      <c r="F807" s="87"/>
      <c r="H807" s="87"/>
      <c r="I807" s="89"/>
    </row>
    <row r="808" spans="1:9">
      <c r="A808" s="21"/>
      <c r="B808"/>
      <c r="F808" s="87"/>
      <c r="H808" s="87"/>
      <c r="I808" s="89"/>
    </row>
    <row r="809" spans="1:9">
      <c r="A809" s="21"/>
      <c r="B809"/>
      <c r="F809" s="87"/>
      <c r="H809" s="87"/>
      <c r="I809" s="89"/>
    </row>
    <row r="810" spans="1:9">
      <c r="A810" s="21"/>
      <c r="B810"/>
      <c r="F810" s="87"/>
      <c r="H810" s="87"/>
      <c r="I810" s="89"/>
    </row>
    <row r="811" spans="1:9">
      <c r="A811" s="21"/>
      <c r="B811"/>
      <c r="F811" s="87"/>
      <c r="H811" s="87"/>
      <c r="I811" s="89"/>
    </row>
    <row r="812" spans="1:9">
      <c r="A812" s="21"/>
      <c r="B812"/>
      <c r="F812" s="87"/>
      <c r="H812" s="87"/>
      <c r="I812" s="89"/>
    </row>
    <row r="813" spans="1:9">
      <c r="A813" s="21"/>
      <c r="B813"/>
      <c r="F813" s="87"/>
      <c r="H813" s="87"/>
      <c r="I813" s="89"/>
    </row>
    <row r="814" spans="1:9">
      <c r="A814" s="21"/>
      <c r="B814"/>
      <c r="F814" s="87"/>
      <c r="H814" s="87"/>
      <c r="I814" s="89"/>
    </row>
    <row r="815" spans="1:9">
      <c r="A815" s="21"/>
      <c r="B815"/>
      <c r="F815" s="87"/>
      <c r="H815" s="87"/>
      <c r="I815" s="89"/>
    </row>
    <row r="816" spans="1:9">
      <c r="A816" s="21"/>
      <c r="B816"/>
      <c r="F816" s="87"/>
      <c r="H816" s="87"/>
      <c r="I816" s="89"/>
    </row>
    <row r="817" spans="1:9">
      <c r="A817" s="21"/>
      <c r="B817"/>
      <c r="F817" s="87"/>
      <c r="H817" s="87"/>
      <c r="I817" s="89"/>
    </row>
    <row r="818" spans="1:9">
      <c r="A818" s="21"/>
      <c r="B818"/>
      <c r="F818" s="87"/>
      <c r="H818" s="87"/>
      <c r="I818" s="89"/>
    </row>
    <row r="819" spans="1:9">
      <c r="A819" s="21"/>
      <c r="B819"/>
      <c r="F819" s="87"/>
      <c r="H819" s="87"/>
      <c r="I819" s="89"/>
    </row>
    <row r="820" spans="1:9">
      <c r="A820" s="21"/>
      <c r="B820"/>
      <c r="F820" s="87"/>
      <c r="H820" s="87"/>
      <c r="I820" s="89"/>
    </row>
    <row r="821" spans="1:9">
      <c r="A821" s="21"/>
      <c r="B821"/>
      <c r="F821" s="87"/>
      <c r="H821" s="87"/>
      <c r="I821" s="89"/>
    </row>
    <row r="822" spans="1:9">
      <c r="A822" s="21"/>
      <c r="B822"/>
      <c r="F822" s="87"/>
      <c r="H822" s="87"/>
      <c r="I822" s="89"/>
    </row>
    <row r="823" spans="1:9">
      <c r="A823" s="21"/>
      <c r="B823"/>
      <c r="F823" s="87"/>
      <c r="H823" s="87"/>
      <c r="I823" s="89"/>
    </row>
    <row r="824" spans="1:9">
      <c r="A824" s="21"/>
      <c r="B824"/>
      <c r="F824" s="87"/>
      <c r="H824" s="87"/>
      <c r="I824" s="89"/>
    </row>
    <row r="825" spans="1:9">
      <c r="A825" s="21"/>
      <c r="B825"/>
      <c r="F825" s="87"/>
      <c r="H825" s="87"/>
      <c r="I825" s="89"/>
    </row>
    <row r="826" spans="1:9">
      <c r="A826" s="21"/>
      <c r="B826"/>
      <c r="F826" s="87"/>
      <c r="H826" s="87"/>
      <c r="I826" s="89"/>
    </row>
    <row r="827" spans="1:9">
      <c r="A827" s="21"/>
      <c r="B827"/>
      <c r="F827" s="87"/>
      <c r="H827" s="87"/>
      <c r="I827" s="89"/>
    </row>
    <row r="828" spans="1:9">
      <c r="A828" s="21"/>
      <c r="B828"/>
      <c r="F828" s="87"/>
      <c r="H828" s="87"/>
      <c r="I828" s="89"/>
    </row>
    <row r="829" spans="1:9">
      <c r="A829" s="21"/>
      <c r="B829"/>
      <c r="F829" s="87"/>
      <c r="H829" s="87"/>
      <c r="I829" s="89"/>
    </row>
    <row r="830" spans="1:9">
      <c r="A830" s="21"/>
      <c r="B830"/>
      <c r="F830" s="87"/>
      <c r="H830" s="87"/>
      <c r="I830" s="89"/>
    </row>
    <row r="831" spans="1:9">
      <c r="A831" s="21"/>
      <c r="B831"/>
      <c r="F831" s="87"/>
      <c r="H831" s="87"/>
      <c r="I831" s="89"/>
    </row>
    <row r="832" spans="1:9">
      <c r="A832" s="21"/>
      <c r="B832"/>
      <c r="F832" s="87"/>
      <c r="H832" s="87"/>
      <c r="I832" s="89"/>
    </row>
    <row r="833" spans="1:9">
      <c r="A833" s="21"/>
      <c r="B833"/>
      <c r="F833" s="87"/>
      <c r="H833" s="87"/>
      <c r="I833" s="89"/>
    </row>
    <row r="834" spans="1:9">
      <c r="A834" s="21"/>
      <c r="B834"/>
      <c r="F834" s="87"/>
      <c r="H834" s="87"/>
      <c r="I834" s="89"/>
    </row>
    <row r="835" spans="1:9">
      <c r="A835" s="21"/>
      <c r="B835"/>
      <c r="F835" s="87"/>
      <c r="H835" s="87"/>
      <c r="I835" s="89"/>
    </row>
    <row r="836" spans="1:9">
      <c r="A836" s="21"/>
      <c r="B836"/>
      <c r="F836" s="87"/>
      <c r="H836" s="87"/>
      <c r="I836" s="89"/>
    </row>
    <row r="837" spans="1:9">
      <c r="A837" s="21"/>
      <c r="B837"/>
      <c r="F837" s="87"/>
      <c r="H837" s="87"/>
      <c r="I837" s="89"/>
    </row>
    <row r="838" spans="1:9">
      <c r="A838" s="21"/>
      <c r="B838"/>
      <c r="F838" s="87"/>
      <c r="H838" s="87"/>
      <c r="I838" s="89"/>
    </row>
    <row r="839" spans="1:9">
      <c r="A839" s="21"/>
      <c r="B839"/>
      <c r="F839" s="87"/>
      <c r="H839" s="87"/>
      <c r="I839" s="89"/>
    </row>
    <row r="840" spans="1:9">
      <c r="A840" s="21"/>
      <c r="B840"/>
      <c r="F840" s="87"/>
      <c r="H840" s="87"/>
      <c r="I840" s="89"/>
    </row>
    <row r="841" spans="1:9">
      <c r="A841" s="21"/>
      <c r="B841"/>
      <c r="F841" s="87"/>
      <c r="H841" s="87"/>
      <c r="I841" s="89"/>
    </row>
    <row r="842" spans="1:9">
      <c r="A842" s="21"/>
      <c r="B842"/>
      <c r="F842" s="87"/>
      <c r="H842" s="87"/>
      <c r="I842" s="89"/>
    </row>
    <row r="843" spans="1:9">
      <c r="A843" s="21"/>
      <c r="B843"/>
      <c r="F843" s="87"/>
      <c r="H843" s="87"/>
      <c r="I843" s="89"/>
    </row>
    <row r="844" spans="1:9">
      <c r="A844" s="21"/>
      <c r="B844"/>
      <c r="F844" s="87"/>
      <c r="H844" s="87"/>
      <c r="I844" s="89"/>
    </row>
    <row r="845" spans="1:9">
      <c r="A845" s="21"/>
      <c r="B845"/>
      <c r="F845" s="87"/>
      <c r="H845" s="87"/>
      <c r="I845" s="89"/>
    </row>
    <row r="846" spans="1:9">
      <c r="A846" s="21"/>
      <c r="B846"/>
      <c r="F846" s="87"/>
      <c r="H846" s="87"/>
      <c r="I846" s="89"/>
    </row>
    <row r="847" spans="1:9">
      <c r="A847" s="21"/>
      <c r="B847"/>
      <c r="F847" s="87"/>
      <c r="H847" s="87"/>
      <c r="I847" s="89"/>
    </row>
    <row r="848" spans="1:9">
      <c r="A848" s="21"/>
      <c r="B848"/>
      <c r="F848" s="87"/>
      <c r="H848" s="87"/>
      <c r="I848" s="89"/>
    </row>
    <row r="849" spans="1:9">
      <c r="A849" s="21"/>
      <c r="B849"/>
      <c r="F849" s="87"/>
      <c r="H849" s="87"/>
      <c r="I849" s="89"/>
    </row>
    <row r="850" spans="1:9">
      <c r="A850" s="21"/>
      <c r="B850"/>
      <c r="F850" s="87"/>
      <c r="H850" s="87"/>
      <c r="I850" s="89"/>
    </row>
    <row r="851" spans="1:9">
      <c r="A851" s="21"/>
      <c r="B851"/>
      <c r="F851" s="87"/>
      <c r="H851" s="87"/>
      <c r="I851" s="89"/>
    </row>
    <row r="852" spans="1:9">
      <c r="A852" s="21"/>
      <c r="B852"/>
      <c r="F852" s="87"/>
      <c r="H852" s="87"/>
      <c r="I852" s="89"/>
    </row>
    <row r="853" spans="1:9">
      <c r="A853" s="21"/>
      <c r="B853"/>
      <c r="F853" s="87"/>
      <c r="H853" s="87"/>
      <c r="I853" s="89"/>
    </row>
    <row r="854" spans="1:9">
      <c r="A854" s="21"/>
      <c r="B854"/>
      <c r="F854" s="87"/>
      <c r="H854" s="87"/>
      <c r="I854" s="89"/>
    </row>
    <row r="855" spans="1:9">
      <c r="A855" s="21"/>
      <c r="B855"/>
      <c r="F855" s="87"/>
      <c r="H855" s="87"/>
      <c r="I855" s="89"/>
    </row>
    <row r="856" spans="1:9">
      <c r="A856" s="21"/>
      <c r="B856"/>
      <c r="F856" s="87"/>
      <c r="H856" s="87"/>
      <c r="I856" s="89"/>
    </row>
    <row r="857" spans="1:9">
      <c r="A857" s="21"/>
      <c r="B857"/>
      <c r="F857" s="87"/>
      <c r="H857" s="87"/>
      <c r="I857" s="89"/>
    </row>
    <row r="858" spans="1:9">
      <c r="A858" s="21"/>
      <c r="B858"/>
      <c r="F858" s="87"/>
      <c r="H858" s="87"/>
      <c r="I858" s="89"/>
    </row>
    <row r="859" spans="1:9">
      <c r="A859" s="21"/>
      <c r="B859"/>
      <c r="F859" s="87"/>
      <c r="H859" s="87"/>
      <c r="I859" s="89"/>
    </row>
    <row r="860" spans="1:9">
      <c r="A860" s="21"/>
      <c r="B860"/>
      <c r="F860" s="87"/>
      <c r="H860" s="87"/>
      <c r="I860" s="89"/>
    </row>
    <row r="861" spans="1:9">
      <c r="A861" s="21"/>
      <c r="B861"/>
      <c r="F861" s="87"/>
      <c r="H861" s="87"/>
      <c r="I861" s="89"/>
    </row>
    <row r="862" spans="1:9">
      <c r="A862" s="21"/>
      <c r="B862"/>
      <c r="F862" s="87"/>
      <c r="H862" s="87"/>
      <c r="I862" s="89"/>
    </row>
    <row r="863" spans="1:9">
      <c r="A863" s="21"/>
      <c r="B863"/>
      <c r="F863" s="87"/>
      <c r="H863" s="87"/>
      <c r="I863" s="89"/>
    </row>
    <row r="864" spans="1:9">
      <c r="A864" s="21"/>
      <c r="B864"/>
      <c r="F864" s="87"/>
      <c r="H864" s="87"/>
      <c r="I864" s="89"/>
    </row>
    <row r="865" spans="1:9">
      <c r="A865" s="21"/>
      <c r="B865"/>
      <c r="F865" s="87"/>
      <c r="H865" s="87"/>
      <c r="I865" s="89"/>
    </row>
    <row r="866" spans="1:9">
      <c r="A866" s="21"/>
      <c r="B866"/>
      <c r="F866" s="87"/>
      <c r="H866" s="87"/>
      <c r="I866" s="89"/>
    </row>
    <row r="867" spans="1:9">
      <c r="A867" s="21"/>
      <c r="B867"/>
      <c r="F867" s="87"/>
      <c r="H867" s="87"/>
      <c r="I867" s="89"/>
    </row>
    <row r="868" spans="1:9">
      <c r="A868" s="21"/>
      <c r="B868"/>
      <c r="F868" s="87"/>
      <c r="H868" s="87"/>
      <c r="I868" s="89"/>
    </row>
    <row r="869" spans="1:9">
      <c r="A869" s="21"/>
      <c r="B869"/>
      <c r="F869" s="87"/>
      <c r="H869" s="87"/>
      <c r="I869" s="89"/>
    </row>
    <row r="870" spans="1:9">
      <c r="A870" s="21"/>
      <c r="B870"/>
      <c r="F870" s="87"/>
      <c r="H870" s="87"/>
      <c r="I870" s="89"/>
    </row>
    <row r="871" spans="1:9">
      <c r="A871" s="21"/>
      <c r="B871"/>
      <c r="F871" s="87"/>
      <c r="H871" s="87"/>
      <c r="I871" s="89"/>
    </row>
    <row r="872" spans="1:9">
      <c r="A872" s="21"/>
      <c r="B872"/>
      <c r="F872" s="87"/>
      <c r="H872" s="87"/>
      <c r="I872" s="89"/>
    </row>
    <row r="873" spans="1:9">
      <c r="A873" s="21"/>
      <c r="B873"/>
      <c r="F873" s="87"/>
      <c r="H873" s="87"/>
      <c r="I873" s="89"/>
    </row>
    <row r="874" spans="1:9">
      <c r="A874" s="21"/>
      <c r="B874"/>
      <c r="F874" s="87"/>
      <c r="H874" s="87"/>
      <c r="I874" s="89"/>
    </row>
    <row r="875" spans="1:9">
      <c r="A875" s="21"/>
      <c r="B875"/>
      <c r="F875" s="87"/>
      <c r="H875" s="87"/>
      <c r="I875" s="89"/>
    </row>
    <row r="876" spans="1:9">
      <c r="A876" s="21"/>
      <c r="B876"/>
      <c r="F876" s="87"/>
      <c r="H876" s="87"/>
      <c r="I876" s="89"/>
    </row>
    <row r="877" spans="1:9">
      <c r="A877" s="21"/>
      <c r="B877"/>
      <c r="F877" s="87"/>
      <c r="H877" s="87"/>
      <c r="I877" s="89"/>
    </row>
    <row r="878" spans="1:9">
      <c r="A878" s="21"/>
      <c r="B878"/>
      <c r="F878" s="87"/>
      <c r="H878" s="87"/>
      <c r="I878" s="89"/>
    </row>
    <row r="879" spans="1:9">
      <c r="A879" s="21"/>
      <c r="B879"/>
      <c r="F879" s="87"/>
      <c r="H879" s="87"/>
      <c r="I879" s="89"/>
    </row>
    <row r="880" spans="1:9">
      <c r="A880" s="21"/>
      <c r="B880"/>
      <c r="F880" s="87"/>
      <c r="H880" s="87"/>
      <c r="I880" s="89"/>
    </row>
    <row r="881" spans="1:9">
      <c r="A881" s="21"/>
      <c r="B881"/>
      <c r="F881" s="87"/>
      <c r="H881" s="87"/>
      <c r="I881" s="89"/>
    </row>
    <row r="882" spans="1:9">
      <c r="A882" s="21"/>
      <c r="B882"/>
      <c r="F882" s="87"/>
      <c r="H882" s="87"/>
      <c r="I882" s="89"/>
    </row>
    <row r="883" spans="1:9">
      <c r="A883" s="21"/>
      <c r="B883"/>
      <c r="F883" s="87"/>
      <c r="H883" s="87"/>
      <c r="I883" s="89"/>
    </row>
    <row r="884" spans="1:9">
      <c r="A884" s="21"/>
      <c r="B884"/>
      <c r="F884" s="87"/>
      <c r="H884" s="87"/>
      <c r="I884" s="89"/>
    </row>
    <row r="885" spans="1:9">
      <c r="A885" s="21"/>
      <c r="B885"/>
      <c r="F885" s="87"/>
      <c r="H885" s="87"/>
      <c r="I885" s="89"/>
    </row>
    <row r="886" spans="1:9">
      <c r="A886" s="21"/>
      <c r="B886"/>
      <c r="F886" s="87"/>
      <c r="H886" s="87"/>
      <c r="I886" s="89"/>
    </row>
    <row r="887" spans="1:9">
      <c r="A887" s="21"/>
      <c r="B887"/>
      <c r="F887" s="87"/>
      <c r="H887" s="87"/>
      <c r="I887" s="89"/>
    </row>
    <row r="888" spans="1:9">
      <c r="A888" s="21"/>
      <c r="B888"/>
      <c r="F888" s="87"/>
      <c r="H888" s="87"/>
      <c r="I888" s="89"/>
    </row>
    <row r="889" spans="1:9">
      <c r="A889" s="21"/>
      <c r="B889"/>
      <c r="F889" s="87"/>
      <c r="H889" s="87"/>
      <c r="I889" s="89"/>
    </row>
    <row r="890" spans="1:9">
      <c r="A890" s="21"/>
      <c r="B890"/>
      <c r="F890" s="87"/>
      <c r="H890" s="87"/>
      <c r="I890" s="89"/>
    </row>
    <row r="891" spans="1:9">
      <c r="A891" s="21"/>
      <c r="B891"/>
      <c r="F891" s="87"/>
      <c r="H891" s="87"/>
      <c r="I891" s="89"/>
    </row>
    <row r="892" spans="1:9">
      <c r="A892" s="21"/>
      <c r="B892"/>
      <c r="F892" s="87"/>
      <c r="H892" s="87"/>
      <c r="I892" s="89"/>
    </row>
    <row r="893" spans="1:9">
      <c r="A893" s="21"/>
      <c r="B893"/>
      <c r="F893" s="87"/>
      <c r="H893" s="87"/>
      <c r="I893" s="89"/>
    </row>
    <row r="894" spans="1:9">
      <c r="A894" s="21"/>
      <c r="B894"/>
      <c r="F894" s="87"/>
      <c r="H894" s="87"/>
      <c r="I894" s="89"/>
    </row>
    <row r="895" spans="1:9">
      <c r="A895" s="21"/>
      <c r="B895"/>
      <c r="F895" s="87"/>
      <c r="H895" s="87"/>
      <c r="I895" s="89"/>
    </row>
    <row r="896" spans="1:9">
      <c r="A896" s="21"/>
      <c r="B896"/>
      <c r="F896" s="87"/>
      <c r="H896" s="87"/>
      <c r="I896" s="89"/>
    </row>
    <row r="897" spans="1:9">
      <c r="A897" s="21"/>
      <c r="B897"/>
      <c r="F897" s="87"/>
      <c r="H897" s="87"/>
      <c r="I897" s="89"/>
    </row>
    <row r="898" spans="1:9">
      <c r="A898" s="21"/>
      <c r="B898"/>
      <c r="F898" s="87"/>
      <c r="H898" s="87"/>
      <c r="I898" s="89"/>
    </row>
    <row r="899" spans="1:9" ht="15" customHeight="1">
      <c r="A899" s="21"/>
      <c r="B899"/>
      <c r="F899" s="87"/>
      <c r="H899" s="87"/>
      <c r="I899" s="89"/>
    </row>
    <row r="900" spans="1:9">
      <c r="A900" s="21"/>
      <c r="B900"/>
      <c r="F900" s="87"/>
      <c r="H900" s="87"/>
      <c r="I900" s="89"/>
    </row>
    <row r="901" spans="1:9">
      <c r="A901" s="21"/>
      <c r="B901"/>
      <c r="F901" s="87"/>
      <c r="H901" s="87"/>
      <c r="I901" s="89"/>
    </row>
    <row r="902" spans="1:9">
      <c r="A902" s="21"/>
      <c r="B902"/>
      <c r="F902" s="87"/>
      <c r="H902" s="87"/>
      <c r="I902" s="89"/>
    </row>
    <row r="903" spans="1:9">
      <c r="A903" s="21"/>
      <c r="B903"/>
      <c r="F903" s="87"/>
      <c r="H903" s="87"/>
      <c r="I903" s="89"/>
    </row>
    <row r="904" spans="1:9">
      <c r="A904" s="21"/>
      <c r="B904"/>
      <c r="F904" s="87"/>
      <c r="H904" s="87"/>
      <c r="I904" s="89"/>
    </row>
    <row r="905" spans="1:9">
      <c r="A905" s="21"/>
      <c r="B905"/>
      <c r="F905" s="87"/>
      <c r="H905" s="87"/>
      <c r="I905" s="89"/>
    </row>
    <row r="906" spans="1:9">
      <c r="A906" s="21"/>
      <c r="B906"/>
      <c r="F906" s="87"/>
      <c r="H906" s="87"/>
      <c r="I906" s="89"/>
    </row>
    <row r="907" spans="1:9">
      <c r="A907" s="21"/>
      <c r="B907"/>
      <c r="F907" s="87"/>
      <c r="H907" s="87"/>
      <c r="I907" s="89"/>
    </row>
    <row r="908" spans="1:9">
      <c r="A908" s="21"/>
      <c r="B908"/>
      <c r="F908" s="87"/>
      <c r="H908" s="87"/>
      <c r="I908" s="89"/>
    </row>
    <row r="909" spans="1:9">
      <c r="A909" s="21"/>
      <c r="B909"/>
      <c r="F909" s="87"/>
      <c r="H909" s="87"/>
      <c r="I909" s="89"/>
    </row>
    <row r="910" spans="1:9">
      <c r="A910" s="21"/>
      <c r="B910"/>
      <c r="F910" s="87"/>
      <c r="H910" s="87"/>
      <c r="I910" s="89"/>
    </row>
    <row r="911" spans="1:9">
      <c r="A911" s="21"/>
      <c r="B911"/>
      <c r="F911" s="87"/>
      <c r="H911" s="87"/>
      <c r="I911" s="89"/>
    </row>
    <row r="912" spans="1:9">
      <c r="A912" s="21"/>
      <c r="B912"/>
      <c r="F912" s="87"/>
      <c r="H912" s="87"/>
      <c r="I912" s="89"/>
    </row>
    <row r="913" spans="1:9">
      <c r="A913" s="21"/>
      <c r="B913"/>
      <c r="F913" s="87"/>
      <c r="H913" s="87"/>
      <c r="I913" s="89"/>
    </row>
    <row r="914" spans="1:9">
      <c r="A914" s="21"/>
      <c r="B914"/>
      <c r="F914" s="87"/>
      <c r="H914" s="87"/>
      <c r="I914" s="89"/>
    </row>
    <row r="915" spans="1:9">
      <c r="A915" s="21"/>
      <c r="B915"/>
      <c r="F915" s="87"/>
      <c r="H915" s="87"/>
      <c r="I915" s="89"/>
    </row>
    <row r="916" spans="1:9">
      <c r="A916" s="21"/>
      <c r="B916"/>
      <c r="F916" s="87"/>
      <c r="H916" s="87"/>
      <c r="I916" s="89"/>
    </row>
    <row r="917" spans="1:9">
      <c r="A917" s="21"/>
      <c r="B917"/>
      <c r="F917" s="87"/>
      <c r="H917" s="87"/>
      <c r="I917" s="89"/>
    </row>
    <row r="918" spans="1:9">
      <c r="A918" s="21"/>
      <c r="B918"/>
      <c r="F918" s="87"/>
      <c r="H918" s="87"/>
      <c r="I918" s="89"/>
    </row>
    <row r="919" spans="1:9">
      <c r="A919" s="21"/>
      <c r="B919"/>
      <c r="F919" s="87"/>
      <c r="H919" s="87"/>
      <c r="I919" s="89"/>
    </row>
    <row r="920" spans="1:9">
      <c r="A920" s="21"/>
      <c r="B920"/>
      <c r="F920" s="87"/>
      <c r="H920" s="87"/>
      <c r="I920" s="89"/>
    </row>
    <row r="921" spans="1:9">
      <c r="A921" s="21"/>
      <c r="B921"/>
      <c r="F921" s="87"/>
      <c r="H921" s="87"/>
      <c r="I921" s="89"/>
    </row>
    <row r="922" spans="1:9">
      <c r="A922" s="21"/>
      <c r="B922"/>
      <c r="F922" s="87"/>
      <c r="H922" s="87"/>
      <c r="I922" s="89"/>
    </row>
    <row r="923" spans="1:9">
      <c r="A923" s="21"/>
      <c r="B923"/>
      <c r="F923" s="87"/>
      <c r="H923" s="87"/>
      <c r="I923" s="89"/>
    </row>
    <row r="924" spans="1:9">
      <c r="A924" s="21"/>
      <c r="B924"/>
      <c r="F924" s="87"/>
      <c r="H924" s="87"/>
      <c r="I924" s="89"/>
    </row>
    <row r="925" spans="1:9">
      <c r="A925" s="21"/>
      <c r="B925"/>
      <c r="F925" s="87"/>
      <c r="H925" s="87"/>
      <c r="I925" s="89"/>
    </row>
    <row r="926" spans="1:9">
      <c r="A926" s="21"/>
      <c r="B926"/>
      <c r="F926" s="87"/>
      <c r="H926" s="87"/>
      <c r="I926" s="89"/>
    </row>
    <row r="927" spans="1:9">
      <c r="A927" s="21"/>
      <c r="B927"/>
      <c r="F927" s="87"/>
      <c r="H927" s="87"/>
      <c r="I927" s="89"/>
    </row>
    <row r="928" spans="1:9">
      <c r="A928" s="21"/>
      <c r="B928"/>
      <c r="F928" s="87"/>
      <c r="H928" s="87"/>
      <c r="I928" s="89"/>
    </row>
    <row r="929" spans="1:9">
      <c r="A929" s="21"/>
      <c r="B929"/>
      <c r="F929" s="87"/>
      <c r="H929" s="87"/>
      <c r="I929" s="89"/>
    </row>
    <row r="930" spans="1:9">
      <c r="A930" s="21"/>
      <c r="B930"/>
      <c r="F930" s="87"/>
      <c r="H930" s="87"/>
      <c r="I930" s="89"/>
    </row>
    <row r="931" spans="1:9">
      <c r="A931" s="21"/>
      <c r="B931"/>
      <c r="F931" s="87"/>
      <c r="H931" s="87"/>
      <c r="I931" s="89"/>
    </row>
    <row r="932" spans="1:9">
      <c r="A932" s="21"/>
      <c r="B932"/>
      <c r="F932" s="87"/>
      <c r="H932" s="87"/>
      <c r="I932" s="89"/>
    </row>
    <row r="933" spans="1:9">
      <c r="A933" s="21"/>
      <c r="B933"/>
      <c r="F933" s="87"/>
      <c r="H933" s="87"/>
      <c r="I933" s="89"/>
    </row>
    <row r="934" spans="1:9">
      <c r="A934" s="21"/>
      <c r="B934"/>
      <c r="F934" s="87"/>
      <c r="H934" s="87"/>
      <c r="I934" s="89"/>
    </row>
    <row r="935" spans="1:9">
      <c r="A935" s="21"/>
      <c r="B935"/>
      <c r="F935" s="87"/>
      <c r="H935" s="87"/>
      <c r="I935" s="89"/>
    </row>
    <row r="936" spans="1:9">
      <c r="A936" s="21"/>
      <c r="B936"/>
      <c r="F936" s="87"/>
      <c r="H936" s="87"/>
      <c r="I936" s="89"/>
    </row>
    <row r="937" spans="1:9">
      <c r="A937" s="21"/>
      <c r="B937"/>
      <c r="F937" s="87"/>
      <c r="H937" s="87"/>
      <c r="I937" s="89"/>
    </row>
    <row r="938" spans="1:9">
      <c r="A938" s="21"/>
      <c r="B938"/>
      <c r="F938" s="87"/>
      <c r="H938" s="87"/>
      <c r="I938" s="89"/>
    </row>
    <row r="939" spans="1:9">
      <c r="A939" s="21"/>
      <c r="B939"/>
      <c r="F939" s="87"/>
      <c r="H939" s="87"/>
      <c r="I939" s="89"/>
    </row>
    <row r="940" spans="1:9">
      <c r="A940" s="21"/>
      <c r="B940"/>
      <c r="F940" s="87"/>
      <c r="H940" s="87"/>
      <c r="I940" s="89"/>
    </row>
    <row r="941" spans="1:9">
      <c r="A941" s="21"/>
      <c r="B941"/>
      <c r="F941" s="87"/>
      <c r="H941" s="87"/>
      <c r="I941" s="89"/>
    </row>
    <row r="942" spans="1:9">
      <c r="A942" s="21"/>
      <c r="B942"/>
      <c r="F942" s="87"/>
      <c r="H942" s="87"/>
      <c r="I942" s="89"/>
    </row>
    <row r="943" spans="1:9">
      <c r="A943" s="21"/>
      <c r="B943"/>
      <c r="F943" s="87"/>
      <c r="H943" s="87"/>
      <c r="I943" s="89"/>
    </row>
    <row r="944" spans="1:9">
      <c r="A944" s="21"/>
      <c r="B944"/>
      <c r="F944" s="87"/>
      <c r="H944" s="87"/>
      <c r="I944" s="89"/>
    </row>
    <row r="945" spans="1:9">
      <c r="A945" s="21"/>
      <c r="B945"/>
      <c r="F945" s="87"/>
      <c r="H945" s="87"/>
      <c r="I945" s="89"/>
    </row>
    <row r="946" spans="1:9">
      <c r="A946" s="21"/>
      <c r="B946"/>
      <c r="F946" s="87"/>
      <c r="H946" s="87"/>
      <c r="I946" s="89"/>
    </row>
    <row r="947" spans="1:9">
      <c r="A947" s="21"/>
      <c r="B947"/>
      <c r="F947" s="87"/>
      <c r="H947" s="87"/>
      <c r="I947" s="89"/>
    </row>
    <row r="948" spans="1:9">
      <c r="A948" s="21"/>
      <c r="B948"/>
      <c r="F948" s="87"/>
      <c r="H948" s="87"/>
      <c r="I948" s="89"/>
    </row>
    <row r="949" spans="1:9">
      <c r="A949" s="21"/>
      <c r="B949"/>
      <c r="F949" s="87"/>
      <c r="H949" s="87"/>
      <c r="I949" s="89"/>
    </row>
    <row r="950" spans="1:9">
      <c r="A950" s="21"/>
      <c r="B950"/>
      <c r="F950" s="87"/>
      <c r="H950" s="87"/>
      <c r="I950" s="89"/>
    </row>
    <row r="951" spans="1:9">
      <c r="A951" s="21"/>
      <c r="B951"/>
      <c r="F951" s="87"/>
      <c r="H951" s="87"/>
      <c r="I951" s="89"/>
    </row>
    <row r="952" spans="1:9">
      <c r="A952" s="21"/>
      <c r="B952"/>
      <c r="F952" s="87"/>
      <c r="H952" s="87"/>
      <c r="I952" s="89"/>
    </row>
    <row r="953" spans="1:9">
      <c r="A953" s="21"/>
      <c r="B953"/>
      <c r="F953" s="87"/>
      <c r="H953" s="87"/>
      <c r="I953" s="89"/>
    </row>
    <row r="954" spans="1:9">
      <c r="A954" s="21"/>
      <c r="B954"/>
      <c r="F954" s="87"/>
      <c r="H954" s="87"/>
      <c r="I954" s="89"/>
    </row>
    <row r="955" spans="1:9">
      <c r="A955" s="21"/>
      <c r="B955"/>
      <c r="F955" s="87"/>
      <c r="H955" s="87"/>
      <c r="I955" s="89"/>
    </row>
    <row r="956" spans="1:9">
      <c r="A956" s="21"/>
      <c r="B956"/>
      <c r="F956" s="87"/>
      <c r="H956" s="87"/>
      <c r="I956" s="89"/>
    </row>
    <row r="957" spans="1:9">
      <c r="A957" s="21"/>
      <c r="B957"/>
      <c r="F957" s="87"/>
      <c r="H957" s="87"/>
      <c r="I957" s="89"/>
    </row>
    <row r="958" spans="1:9">
      <c r="A958" s="21"/>
      <c r="B958"/>
      <c r="F958" s="87"/>
      <c r="H958" s="87"/>
      <c r="I958" s="89"/>
    </row>
    <row r="959" spans="1:9">
      <c r="A959" s="21"/>
      <c r="B959"/>
      <c r="F959" s="87"/>
      <c r="H959" s="87"/>
      <c r="I959" s="89"/>
    </row>
    <row r="960" spans="1:9">
      <c r="A960" s="21"/>
      <c r="B960"/>
      <c r="F960" s="87"/>
      <c r="H960" s="87"/>
      <c r="I960" s="89"/>
    </row>
    <row r="961" spans="1:9">
      <c r="A961" s="21"/>
      <c r="B961"/>
      <c r="F961" s="87"/>
      <c r="H961" s="87"/>
      <c r="I961" s="89"/>
    </row>
    <row r="962" spans="1:9">
      <c r="A962" s="21"/>
      <c r="B962"/>
      <c r="F962" s="87"/>
      <c r="H962" s="87"/>
      <c r="I962" s="89"/>
    </row>
    <row r="963" spans="1:9">
      <c r="A963" s="21"/>
      <c r="B963"/>
      <c r="F963" s="87"/>
      <c r="H963" s="87"/>
      <c r="I963" s="89"/>
    </row>
    <row r="964" spans="1:9">
      <c r="A964" s="21"/>
      <c r="B964"/>
      <c r="F964" s="87"/>
      <c r="H964" s="87"/>
      <c r="I964" s="89"/>
    </row>
    <row r="965" spans="1:9">
      <c r="A965" s="21"/>
      <c r="B965"/>
      <c r="F965" s="87"/>
      <c r="H965" s="87"/>
      <c r="I965" s="89"/>
    </row>
    <row r="966" spans="1:9">
      <c r="A966" s="21"/>
      <c r="B966"/>
      <c r="F966" s="87"/>
      <c r="H966" s="87"/>
      <c r="I966" s="89"/>
    </row>
    <row r="967" spans="1:9">
      <c r="A967" s="21"/>
      <c r="B967"/>
      <c r="F967" s="87"/>
      <c r="H967" s="87"/>
      <c r="I967" s="89"/>
    </row>
    <row r="968" spans="1:9">
      <c r="A968" s="21"/>
      <c r="B968"/>
      <c r="F968" s="87"/>
      <c r="H968" s="87"/>
      <c r="I968" s="89"/>
    </row>
    <row r="969" spans="1:9">
      <c r="A969" s="21"/>
      <c r="B969"/>
      <c r="F969" s="87"/>
      <c r="H969" s="87"/>
      <c r="I969" s="89"/>
    </row>
    <row r="970" spans="1:9">
      <c r="A970" s="21"/>
      <c r="B970"/>
      <c r="F970" s="87"/>
      <c r="H970" s="87"/>
      <c r="I970" s="89"/>
    </row>
    <row r="971" spans="1:9">
      <c r="A971" s="21"/>
      <c r="B971"/>
      <c r="F971" s="87"/>
      <c r="H971" s="87"/>
      <c r="I971" s="89"/>
    </row>
    <row r="972" spans="1:9">
      <c r="A972" s="21"/>
      <c r="B972"/>
      <c r="F972" s="87"/>
      <c r="H972" s="87"/>
      <c r="I972" s="89"/>
    </row>
    <row r="973" spans="1:9">
      <c r="A973" s="21"/>
      <c r="B973"/>
      <c r="F973" s="87"/>
      <c r="H973" s="87"/>
      <c r="I973" s="89"/>
    </row>
    <row r="974" spans="1:9">
      <c r="A974" s="21"/>
      <c r="B974"/>
      <c r="F974" s="87"/>
      <c r="H974" s="87"/>
      <c r="I974" s="89"/>
    </row>
    <row r="975" spans="1:9">
      <c r="A975" s="21"/>
      <c r="B975"/>
      <c r="F975" s="87"/>
      <c r="H975" s="87"/>
      <c r="I975" s="89"/>
    </row>
    <row r="976" spans="1:9">
      <c r="A976" s="21"/>
      <c r="B976"/>
      <c r="F976" s="87"/>
      <c r="H976" s="87"/>
      <c r="I976" s="89"/>
    </row>
    <row r="977" spans="1:9">
      <c r="A977" s="21"/>
      <c r="B977"/>
      <c r="F977" s="87"/>
      <c r="H977" s="87"/>
      <c r="I977" s="89"/>
    </row>
    <row r="978" spans="1:9">
      <c r="A978" s="21"/>
      <c r="B978"/>
      <c r="F978" s="87"/>
      <c r="H978" s="87"/>
      <c r="I978" s="89"/>
    </row>
    <row r="979" spans="1:9">
      <c r="A979" s="21"/>
      <c r="B979"/>
      <c r="F979" s="87"/>
      <c r="H979" s="87"/>
      <c r="I979" s="89"/>
    </row>
    <row r="980" spans="1:9">
      <c r="A980" s="21"/>
      <c r="B980"/>
      <c r="F980" s="87"/>
      <c r="H980" s="87"/>
      <c r="I980" s="89"/>
    </row>
    <row r="981" spans="1:9">
      <c r="A981" s="21"/>
      <c r="B981"/>
      <c r="F981" s="87"/>
      <c r="H981" s="87"/>
      <c r="I981" s="89"/>
    </row>
    <row r="982" spans="1:9">
      <c r="A982" s="21"/>
      <c r="B982"/>
      <c r="F982" s="87"/>
      <c r="H982" s="87"/>
      <c r="I982" s="89"/>
    </row>
    <row r="983" spans="1:9">
      <c r="A983" s="21"/>
      <c r="B983"/>
      <c r="F983" s="87"/>
      <c r="H983" s="87"/>
      <c r="I983" s="89"/>
    </row>
    <row r="984" spans="1:9">
      <c r="A984" s="21"/>
      <c r="B984"/>
      <c r="F984" s="87"/>
      <c r="H984" s="87"/>
      <c r="I984" s="89"/>
    </row>
    <row r="985" spans="1:9">
      <c r="A985" s="21"/>
      <c r="B985"/>
      <c r="F985" s="87"/>
      <c r="H985" s="87"/>
      <c r="I985" s="89"/>
    </row>
    <row r="986" spans="1:9">
      <c r="A986" s="21"/>
      <c r="B986"/>
      <c r="F986" s="87"/>
      <c r="H986" s="87"/>
      <c r="I986" s="89"/>
    </row>
    <row r="987" spans="1:9">
      <c r="A987" s="21"/>
      <c r="B987"/>
      <c r="F987" s="87"/>
      <c r="H987" s="87"/>
      <c r="I987" s="89"/>
    </row>
    <row r="988" spans="1:9">
      <c r="A988" s="21"/>
      <c r="B988"/>
      <c r="F988" s="87"/>
      <c r="H988" s="87"/>
      <c r="I988" s="89"/>
    </row>
    <row r="989" spans="1:9">
      <c r="A989" s="21"/>
      <c r="B989"/>
      <c r="F989" s="87"/>
      <c r="H989" s="87"/>
      <c r="I989" s="89"/>
    </row>
    <row r="990" spans="1:9">
      <c r="A990" s="21"/>
      <c r="B990"/>
      <c r="F990" s="87"/>
      <c r="H990" s="87"/>
      <c r="I990" s="89"/>
    </row>
    <row r="991" spans="1:9">
      <c r="A991" s="21"/>
      <c r="B991"/>
      <c r="F991" s="87"/>
      <c r="H991" s="87"/>
      <c r="I991" s="89"/>
    </row>
    <row r="992" spans="1:9">
      <c r="A992" s="21"/>
      <c r="B992"/>
      <c r="F992" s="87"/>
      <c r="H992" s="87"/>
      <c r="I992" s="89"/>
    </row>
    <row r="993" spans="1:9">
      <c r="A993" s="21"/>
      <c r="B993"/>
      <c r="F993" s="87"/>
      <c r="H993" s="87"/>
      <c r="I993" s="89"/>
    </row>
    <row r="994" spans="1:9">
      <c r="A994" s="21"/>
      <c r="B994"/>
      <c r="F994" s="87"/>
      <c r="H994" s="87"/>
      <c r="I994" s="89"/>
    </row>
    <row r="995" spans="1:9">
      <c r="A995" s="21"/>
      <c r="B995"/>
      <c r="F995" s="87"/>
      <c r="H995" s="87"/>
      <c r="I995" s="89"/>
    </row>
    <row r="996" spans="1:9">
      <c r="A996" s="21"/>
      <c r="B996"/>
      <c r="F996" s="87"/>
      <c r="H996" s="87"/>
      <c r="I996" s="89"/>
    </row>
    <row r="997" spans="1:9">
      <c r="A997" s="21"/>
      <c r="B997"/>
      <c r="F997" s="87"/>
      <c r="H997" s="87"/>
      <c r="I997" s="89"/>
    </row>
    <row r="998" spans="1:9">
      <c r="A998" s="21"/>
      <c r="B998"/>
      <c r="F998" s="87"/>
      <c r="H998" s="87"/>
      <c r="I998" s="89"/>
    </row>
    <row r="999" spans="1:9">
      <c r="A999" s="21"/>
      <c r="B999"/>
      <c r="F999" s="87"/>
      <c r="H999" s="87"/>
      <c r="I999" s="89"/>
    </row>
    <row r="1000" spans="1:9">
      <c r="A1000" s="21"/>
      <c r="B1000"/>
      <c r="F1000" s="87"/>
      <c r="H1000" s="87"/>
      <c r="I1000" s="89"/>
    </row>
    <row r="1001" spans="1:9">
      <c r="A1001" s="21"/>
      <c r="B1001"/>
      <c r="F1001" s="87"/>
      <c r="H1001" s="87"/>
      <c r="I1001" s="89"/>
    </row>
    <row r="1002" spans="1:9">
      <c r="A1002" s="21"/>
      <c r="B1002"/>
      <c r="F1002" s="87"/>
      <c r="H1002" s="87"/>
      <c r="I1002" s="89"/>
    </row>
    <row r="1003" spans="1:9">
      <c r="A1003" s="21"/>
      <c r="B1003"/>
      <c r="F1003" s="87"/>
      <c r="H1003" s="87"/>
      <c r="I1003" s="89"/>
    </row>
    <row r="1004" spans="1:9">
      <c r="A1004" s="21"/>
      <c r="B1004"/>
      <c r="F1004" s="87"/>
      <c r="H1004" s="87"/>
      <c r="I1004" s="89"/>
    </row>
    <row r="1005" spans="1:9">
      <c r="A1005" s="21"/>
      <c r="B1005"/>
      <c r="F1005" s="87"/>
      <c r="H1005" s="87"/>
      <c r="I1005" s="89"/>
    </row>
    <row r="1006" spans="1:9">
      <c r="A1006" s="21"/>
      <c r="B1006"/>
      <c r="F1006" s="87"/>
      <c r="H1006" s="87"/>
      <c r="I1006" s="89"/>
    </row>
    <row r="1007" spans="1:9">
      <c r="A1007" s="21"/>
      <c r="B1007"/>
      <c r="F1007" s="87"/>
      <c r="H1007" s="87"/>
      <c r="I1007" s="89"/>
    </row>
    <row r="1008" spans="1:9">
      <c r="A1008" s="21"/>
      <c r="B1008"/>
      <c r="F1008" s="87"/>
      <c r="H1008" s="87"/>
      <c r="I1008" s="89"/>
    </row>
    <row r="1009" spans="1:9">
      <c r="A1009" s="21"/>
      <c r="B1009"/>
      <c r="F1009" s="87"/>
      <c r="H1009" s="87"/>
      <c r="I1009" s="89"/>
    </row>
    <row r="1010" spans="1:9">
      <c r="A1010" s="21"/>
      <c r="B1010"/>
      <c r="F1010" s="87"/>
      <c r="H1010" s="87"/>
      <c r="I1010" s="89"/>
    </row>
    <row r="1011" spans="1:9">
      <c r="A1011" s="21"/>
      <c r="B1011"/>
      <c r="F1011" s="87"/>
      <c r="H1011" s="87"/>
      <c r="I1011" s="89"/>
    </row>
    <row r="1012" spans="1:9">
      <c r="A1012" s="21"/>
      <c r="B1012"/>
      <c r="F1012" s="87"/>
      <c r="H1012" s="87"/>
      <c r="I1012" s="89"/>
    </row>
    <row r="1013" spans="1:9">
      <c r="A1013" s="21"/>
      <c r="B1013"/>
      <c r="F1013" s="87"/>
      <c r="H1013" s="87"/>
      <c r="I1013" s="89"/>
    </row>
    <row r="1014" spans="1:9">
      <c r="A1014" s="21"/>
      <c r="B1014"/>
      <c r="F1014" s="87"/>
      <c r="H1014" s="87"/>
      <c r="I1014" s="89"/>
    </row>
    <row r="1015" spans="1:9">
      <c r="A1015" s="21"/>
      <c r="B1015"/>
      <c r="F1015" s="87"/>
      <c r="H1015" s="87"/>
      <c r="I1015" s="89"/>
    </row>
    <row r="1016" spans="1:9">
      <c r="A1016" s="21"/>
      <c r="B1016"/>
      <c r="F1016" s="87"/>
      <c r="H1016" s="87"/>
      <c r="I1016" s="89"/>
    </row>
    <row r="1017" spans="1:9">
      <c r="A1017" s="21"/>
      <c r="B1017"/>
      <c r="F1017" s="87"/>
      <c r="H1017" s="87"/>
      <c r="I1017" s="89"/>
    </row>
    <row r="1018" spans="1:9">
      <c r="A1018" s="21"/>
      <c r="B1018"/>
      <c r="F1018" s="87"/>
      <c r="H1018" s="87"/>
      <c r="I1018" s="89"/>
    </row>
    <row r="1019" spans="1:9">
      <c r="A1019" s="21"/>
      <c r="B1019"/>
      <c r="F1019" s="87"/>
      <c r="H1019" s="87"/>
      <c r="I1019" s="89"/>
    </row>
    <row r="1020" spans="1:9">
      <c r="A1020" s="21"/>
      <c r="B1020"/>
      <c r="F1020" s="87"/>
      <c r="H1020" s="87"/>
      <c r="I1020" s="89"/>
    </row>
    <row r="1021" spans="1:9">
      <c r="A1021" s="21"/>
      <c r="B1021"/>
      <c r="F1021" s="87"/>
      <c r="H1021" s="87"/>
      <c r="I1021" s="89"/>
    </row>
    <row r="1022" spans="1:9">
      <c r="A1022" s="21"/>
      <c r="B1022"/>
      <c r="F1022" s="87"/>
      <c r="H1022" s="87"/>
      <c r="I1022" s="89"/>
    </row>
    <row r="1023" spans="1:9">
      <c r="A1023" s="21"/>
      <c r="B1023"/>
      <c r="F1023" s="87"/>
      <c r="H1023" s="87"/>
      <c r="I1023" s="89"/>
    </row>
    <row r="1024" spans="1:9">
      <c r="A1024" s="21"/>
      <c r="B1024"/>
      <c r="F1024" s="87"/>
      <c r="H1024" s="87"/>
      <c r="I1024" s="89"/>
    </row>
    <row r="1025" spans="1:9">
      <c r="A1025" s="21"/>
      <c r="B1025"/>
      <c r="F1025" s="87"/>
      <c r="H1025" s="87"/>
      <c r="I1025" s="89"/>
    </row>
    <row r="1026" spans="1:9">
      <c r="A1026" s="21"/>
      <c r="B1026"/>
      <c r="F1026" s="87"/>
      <c r="H1026" s="87"/>
      <c r="I1026" s="89"/>
    </row>
    <row r="1027" spans="1:9">
      <c r="A1027" s="21"/>
      <c r="B1027"/>
      <c r="F1027" s="87"/>
      <c r="H1027" s="87"/>
      <c r="I1027" s="89"/>
    </row>
    <row r="1028" spans="1:9">
      <c r="A1028" s="21"/>
      <c r="B1028"/>
      <c r="F1028" s="87"/>
      <c r="H1028" s="87"/>
      <c r="I1028" s="89"/>
    </row>
    <row r="1029" spans="1:9">
      <c r="A1029" s="21"/>
      <c r="B1029"/>
      <c r="F1029" s="87"/>
      <c r="H1029" s="87"/>
      <c r="I1029" s="89"/>
    </row>
    <row r="1030" spans="1:9">
      <c r="A1030" s="21"/>
      <c r="B1030"/>
      <c r="F1030" s="87"/>
      <c r="H1030" s="87"/>
      <c r="I1030" s="89"/>
    </row>
    <row r="1031" spans="1:9">
      <c r="A1031" s="21"/>
      <c r="B1031"/>
      <c r="F1031" s="87"/>
      <c r="H1031" s="87"/>
      <c r="I1031" s="89"/>
    </row>
    <row r="1032" spans="1:9">
      <c r="A1032" s="21"/>
      <c r="B1032"/>
      <c r="F1032" s="87"/>
      <c r="H1032" s="87"/>
      <c r="I1032" s="89"/>
    </row>
    <row r="1033" spans="1:9">
      <c r="A1033" s="21"/>
      <c r="B1033"/>
      <c r="F1033" s="87"/>
      <c r="H1033" s="87"/>
      <c r="I1033" s="89"/>
    </row>
    <row r="1034" spans="1:9">
      <c r="A1034" s="21"/>
      <c r="B1034"/>
      <c r="F1034" s="87"/>
      <c r="H1034" s="87"/>
      <c r="I1034" s="89"/>
    </row>
    <row r="1035" spans="1:9">
      <c r="A1035" s="21"/>
      <c r="B1035"/>
      <c r="F1035" s="87"/>
      <c r="H1035" s="87"/>
      <c r="I1035" s="89"/>
    </row>
    <row r="1036" spans="1:9">
      <c r="A1036" s="21"/>
      <c r="B1036"/>
      <c r="F1036" s="87"/>
      <c r="H1036" s="87"/>
      <c r="I1036" s="89"/>
    </row>
    <row r="1037" spans="1:9">
      <c r="A1037" s="21"/>
      <c r="B1037"/>
      <c r="F1037" s="87"/>
      <c r="H1037" s="87"/>
      <c r="I1037" s="89"/>
    </row>
    <row r="1038" spans="1:9">
      <c r="A1038" s="21"/>
      <c r="B1038"/>
      <c r="F1038" s="87"/>
      <c r="H1038" s="87"/>
      <c r="I1038" s="89"/>
    </row>
    <row r="1039" spans="1:9">
      <c r="A1039" s="21"/>
      <c r="B1039"/>
      <c r="F1039" s="87"/>
      <c r="H1039" s="87"/>
      <c r="I1039" s="89"/>
    </row>
    <row r="1040" spans="1:9">
      <c r="A1040" s="21"/>
      <c r="B1040"/>
      <c r="F1040" s="87"/>
      <c r="H1040" s="87"/>
      <c r="I1040" s="89"/>
    </row>
    <row r="1041" spans="1:9">
      <c r="A1041" s="21"/>
      <c r="B1041"/>
      <c r="F1041" s="87"/>
      <c r="H1041" s="87"/>
      <c r="I1041" s="89"/>
    </row>
    <row r="1042" spans="1:9">
      <c r="A1042" s="21"/>
      <c r="B1042"/>
      <c r="F1042" s="87"/>
      <c r="H1042" s="87"/>
      <c r="I1042" s="89"/>
    </row>
    <row r="1043" spans="1:9">
      <c r="A1043" s="21"/>
      <c r="B1043"/>
      <c r="F1043" s="87"/>
      <c r="H1043" s="87"/>
      <c r="I1043" s="89"/>
    </row>
    <row r="1044" spans="1:9">
      <c r="A1044" s="21"/>
      <c r="B1044"/>
      <c r="F1044" s="87"/>
      <c r="H1044" s="87"/>
      <c r="I1044" s="89"/>
    </row>
    <row r="1045" spans="1:9">
      <c r="A1045" s="21"/>
      <c r="B1045"/>
      <c r="F1045" s="87"/>
      <c r="H1045" s="87"/>
      <c r="I1045" s="89"/>
    </row>
    <row r="1046" spans="1:9">
      <c r="A1046" s="21"/>
      <c r="B1046"/>
      <c r="F1046" s="87"/>
      <c r="H1046" s="87"/>
      <c r="I1046" s="89"/>
    </row>
    <row r="1047" spans="1:9">
      <c r="A1047" s="21"/>
      <c r="B1047"/>
      <c r="F1047" s="87"/>
      <c r="H1047" s="87"/>
      <c r="I1047" s="89"/>
    </row>
    <row r="1048" spans="1:9">
      <c r="A1048" s="21"/>
      <c r="B1048"/>
      <c r="F1048" s="87"/>
      <c r="H1048" s="87"/>
      <c r="I1048" s="89"/>
    </row>
    <row r="1049" spans="1:9">
      <c r="A1049" s="21"/>
      <c r="B1049"/>
      <c r="F1049" s="87"/>
      <c r="H1049" s="87"/>
      <c r="I1049" s="89"/>
    </row>
    <row r="1050" spans="1:9">
      <c r="A1050" s="21"/>
      <c r="B1050"/>
      <c r="F1050" s="87"/>
      <c r="H1050" s="87"/>
      <c r="I1050" s="89"/>
    </row>
    <row r="1051" spans="1:9">
      <c r="A1051" s="21"/>
      <c r="B1051"/>
      <c r="F1051" s="87"/>
      <c r="H1051" s="87"/>
      <c r="I1051" s="89"/>
    </row>
    <row r="1052" spans="1:9">
      <c r="A1052" s="21"/>
      <c r="B1052"/>
      <c r="F1052" s="87"/>
      <c r="H1052" s="87"/>
      <c r="I1052" s="89"/>
    </row>
    <row r="1053" spans="1:9">
      <c r="A1053" s="21"/>
      <c r="B1053"/>
      <c r="F1053" s="87"/>
      <c r="H1053" s="87"/>
      <c r="I1053" s="89"/>
    </row>
    <row r="1054" spans="1:9">
      <c r="A1054" s="21"/>
      <c r="B1054"/>
      <c r="F1054" s="87"/>
      <c r="H1054" s="87"/>
      <c r="I1054" s="89"/>
    </row>
    <row r="1055" spans="1:9">
      <c r="A1055" s="21"/>
      <c r="B1055"/>
      <c r="F1055" s="87"/>
      <c r="H1055" s="87"/>
      <c r="I1055" s="89"/>
    </row>
    <row r="1056" spans="1:9">
      <c r="A1056" s="21"/>
      <c r="B1056"/>
      <c r="F1056" s="87"/>
      <c r="H1056" s="87"/>
      <c r="I1056" s="89"/>
    </row>
    <row r="1057" spans="1:9">
      <c r="A1057" s="21"/>
      <c r="B1057"/>
      <c r="F1057" s="87"/>
      <c r="H1057" s="87"/>
      <c r="I1057" s="89"/>
    </row>
    <row r="1058" spans="1:9">
      <c r="A1058" s="21"/>
      <c r="B1058"/>
      <c r="F1058" s="87"/>
      <c r="H1058" s="87"/>
      <c r="I1058" s="89"/>
    </row>
    <row r="1059" spans="1:9">
      <c r="A1059" s="21"/>
      <c r="B1059"/>
      <c r="F1059" s="87"/>
      <c r="H1059" s="87"/>
      <c r="I1059" s="89"/>
    </row>
    <row r="1060" spans="1:9">
      <c r="A1060" s="21"/>
      <c r="B1060"/>
      <c r="F1060" s="87"/>
      <c r="H1060" s="87"/>
      <c r="I1060" s="89"/>
    </row>
    <row r="1061" spans="1:9">
      <c r="A1061" s="21"/>
      <c r="B1061"/>
      <c r="F1061" s="87"/>
      <c r="H1061" s="87"/>
      <c r="I1061" s="89"/>
    </row>
    <row r="1062" spans="1:9">
      <c r="A1062" s="21"/>
      <c r="B1062"/>
      <c r="F1062" s="87"/>
      <c r="H1062" s="87"/>
      <c r="I1062" s="89"/>
    </row>
    <row r="1063" spans="1:9">
      <c r="A1063" s="21"/>
      <c r="B1063"/>
      <c r="F1063" s="87"/>
      <c r="H1063" s="87"/>
      <c r="I1063" s="89"/>
    </row>
    <row r="1064" spans="1:9">
      <c r="A1064" s="21"/>
      <c r="B1064"/>
      <c r="F1064" s="87"/>
      <c r="H1064" s="87"/>
      <c r="I1064" s="89"/>
    </row>
    <row r="1065" spans="1:9">
      <c r="A1065" s="21"/>
      <c r="B1065"/>
      <c r="F1065" s="87"/>
      <c r="H1065" s="87"/>
      <c r="I1065" s="89"/>
    </row>
    <row r="1066" spans="1:9">
      <c r="A1066" s="21"/>
      <c r="B1066"/>
      <c r="F1066" s="87"/>
      <c r="H1066" s="87"/>
      <c r="I1066" s="89"/>
    </row>
    <row r="1067" spans="1:9">
      <c r="A1067" s="21"/>
      <c r="B1067"/>
      <c r="F1067" s="87"/>
      <c r="H1067" s="87"/>
      <c r="I1067" s="89"/>
    </row>
    <row r="1068" spans="1:9">
      <c r="A1068" s="21"/>
      <c r="B1068"/>
      <c r="F1068" s="87"/>
      <c r="H1068" s="87"/>
      <c r="I1068" s="89"/>
    </row>
    <row r="1069" spans="1:9">
      <c r="A1069" s="21"/>
      <c r="B1069"/>
      <c r="F1069" s="87"/>
      <c r="H1069" s="87"/>
      <c r="I1069" s="89"/>
    </row>
    <row r="1070" spans="1:9">
      <c r="A1070" s="21"/>
      <c r="B1070"/>
      <c r="F1070" s="87"/>
      <c r="H1070" s="87"/>
      <c r="I1070" s="89"/>
    </row>
    <row r="1071" spans="1:9">
      <c r="A1071" s="21"/>
      <c r="B1071"/>
      <c r="F1071" s="87"/>
      <c r="H1071" s="87"/>
      <c r="I1071" s="89"/>
    </row>
    <row r="1072" spans="1:9">
      <c r="A1072" s="21"/>
      <c r="B1072"/>
      <c r="F1072" s="87"/>
      <c r="H1072" s="87"/>
      <c r="I1072" s="89"/>
    </row>
    <row r="1073" spans="1:9">
      <c r="A1073" s="21"/>
      <c r="B1073"/>
      <c r="F1073" s="87"/>
      <c r="H1073" s="87"/>
      <c r="I1073" s="89"/>
    </row>
    <row r="1074" spans="1:9">
      <c r="A1074" s="21"/>
      <c r="B1074"/>
      <c r="F1074" s="87"/>
      <c r="H1074" s="87"/>
      <c r="I1074" s="89"/>
    </row>
    <row r="1075" spans="1:9">
      <c r="A1075" s="21"/>
      <c r="B1075"/>
      <c r="F1075" s="87"/>
      <c r="H1075" s="87"/>
      <c r="I1075" s="89"/>
    </row>
    <row r="1076" spans="1:9">
      <c r="A1076" s="21"/>
      <c r="B1076"/>
      <c r="F1076" s="87"/>
      <c r="H1076" s="87"/>
      <c r="I1076" s="89"/>
    </row>
    <row r="1077" spans="1:9">
      <c r="A1077" s="21"/>
      <c r="B1077"/>
      <c r="F1077" s="87"/>
      <c r="H1077" s="87"/>
      <c r="I1077" s="89"/>
    </row>
    <row r="1078" spans="1:9">
      <c r="A1078" s="21"/>
      <c r="B1078"/>
      <c r="F1078" s="87"/>
      <c r="H1078" s="87"/>
      <c r="I1078" s="89"/>
    </row>
    <row r="1079" spans="1:9">
      <c r="A1079" s="21"/>
      <c r="B1079"/>
      <c r="F1079" s="87"/>
      <c r="H1079" s="87"/>
      <c r="I1079" s="89"/>
    </row>
    <row r="1080" spans="1:9">
      <c r="A1080" s="21"/>
      <c r="B1080"/>
      <c r="F1080" s="87"/>
      <c r="H1080" s="87"/>
      <c r="I1080" s="89"/>
    </row>
    <row r="1081" spans="1:9">
      <c r="A1081" s="21"/>
      <c r="B1081"/>
      <c r="F1081" s="87"/>
      <c r="H1081" s="87"/>
      <c r="I1081" s="89"/>
    </row>
    <row r="1082" spans="1:9">
      <c r="A1082" s="21"/>
      <c r="B1082"/>
      <c r="F1082" s="87"/>
      <c r="H1082" s="87"/>
      <c r="I1082" s="89"/>
    </row>
    <row r="1083" spans="1:9">
      <c r="A1083" s="21"/>
      <c r="B1083"/>
      <c r="F1083" s="87"/>
      <c r="H1083" s="87"/>
      <c r="I1083" s="89"/>
    </row>
    <row r="1084" spans="1:9">
      <c r="A1084" s="21"/>
      <c r="B1084"/>
      <c r="F1084" s="87"/>
      <c r="H1084" s="87"/>
      <c r="I1084" s="89"/>
    </row>
    <row r="1085" spans="1:9">
      <c r="A1085" s="21"/>
      <c r="B1085"/>
      <c r="F1085" s="87"/>
      <c r="H1085" s="87"/>
      <c r="I1085" s="89"/>
    </row>
    <row r="1086" spans="1:9">
      <c r="A1086" s="21"/>
      <c r="B1086"/>
      <c r="F1086" s="87"/>
      <c r="H1086" s="87"/>
      <c r="I1086" s="89"/>
    </row>
    <row r="1087" spans="1:9">
      <c r="A1087" s="21"/>
      <c r="B1087"/>
      <c r="F1087" s="87"/>
      <c r="H1087" s="87"/>
      <c r="I1087" s="89"/>
    </row>
    <row r="1088" spans="1:9">
      <c r="A1088" s="21"/>
      <c r="B1088"/>
      <c r="F1088" s="87"/>
      <c r="H1088" s="87"/>
      <c r="I1088" s="89"/>
    </row>
    <row r="1089" spans="1:9">
      <c r="A1089" s="21"/>
      <c r="B1089"/>
      <c r="F1089" s="87"/>
      <c r="H1089" s="87"/>
      <c r="I1089" s="89"/>
    </row>
    <row r="1090" spans="1:9">
      <c r="A1090" s="21"/>
      <c r="B1090"/>
      <c r="F1090" s="87"/>
      <c r="H1090" s="87"/>
      <c r="I1090" s="89"/>
    </row>
    <row r="1091" spans="1:9">
      <c r="A1091" s="21"/>
      <c r="B1091"/>
      <c r="F1091" s="87"/>
      <c r="H1091" s="87"/>
      <c r="I1091" s="89"/>
    </row>
    <row r="1092" spans="1:9">
      <c r="A1092" s="21"/>
      <c r="B1092"/>
      <c r="F1092" s="87"/>
      <c r="H1092" s="87"/>
      <c r="I1092" s="89"/>
    </row>
    <row r="1093" spans="1:9">
      <c r="A1093" s="21"/>
      <c r="B1093"/>
      <c r="F1093" s="87"/>
      <c r="H1093" s="87"/>
      <c r="I1093" s="89"/>
    </row>
    <row r="1094" spans="1:9">
      <c r="A1094" s="21"/>
      <c r="B1094"/>
      <c r="F1094" s="87"/>
      <c r="H1094" s="87"/>
      <c r="I1094" s="89"/>
    </row>
    <row r="1095" spans="1:9">
      <c r="A1095" s="21"/>
      <c r="B1095"/>
      <c r="F1095" s="87"/>
      <c r="H1095" s="87"/>
      <c r="I1095" s="89"/>
    </row>
    <row r="1096" spans="1:9">
      <c r="A1096" s="21"/>
      <c r="B1096"/>
      <c r="F1096" s="87"/>
      <c r="H1096" s="87"/>
      <c r="I1096" s="89"/>
    </row>
    <row r="1097" spans="1:9">
      <c r="A1097" s="21"/>
      <c r="B1097"/>
      <c r="F1097" s="87"/>
      <c r="H1097" s="87"/>
      <c r="I1097" s="89"/>
    </row>
    <row r="1098" spans="1:9">
      <c r="A1098" s="21"/>
      <c r="B1098"/>
      <c r="F1098" s="87"/>
      <c r="H1098" s="87"/>
      <c r="I1098" s="89"/>
    </row>
    <row r="1099" spans="1:9">
      <c r="A1099" s="21"/>
      <c r="B1099"/>
      <c r="F1099" s="87"/>
      <c r="H1099" s="87"/>
      <c r="I1099" s="89"/>
    </row>
    <row r="1100" spans="1:9">
      <c r="A1100" s="21"/>
      <c r="B1100"/>
      <c r="F1100" s="87"/>
      <c r="H1100" s="87"/>
      <c r="I1100" s="89"/>
    </row>
    <row r="1101" spans="1:9">
      <c r="A1101" s="21"/>
      <c r="B1101"/>
      <c r="F1101" s="87"/>
      <c r="H1101" s="87"/>
      <c r="I1101" s="89"/>
    </row>
    <row r="1102" spans="1:9">
      <c r="A1102" s="21"/>
      <c r="B1102"/>
      <c r="F1102" s="87"/>
      <c r="H1102" s="87"/>
      <c r="I1102" s="89"/>
    </row>
    <row r="1103" spans="1:9">
      <c r="A1103" s="21"/>
      <c r="B1103"/>
      <c r="F1103" s="87"/>
      <c r="H1103" s="87"/>
      <c r="I1103" s="89"/>
    </row>
    <row r="1104" spans="1:9">
      <c r="A1104" s="21"/>
      <c r="B1104"/>
      <c r="F1104" s="87"/>
      <c r="H1104" s="87"/>
      <c r="I1104" s="89"/>
    </row>
    <row r="1105" spans="1:9">
      <c r="A1105" s="21"/>
      <c r="B1105"/>
      <c r="F1105" s="87"/>
      <c r="H1105" s="87"/>
      <c r="I1105" s="89"/>
    </row>
    <row r="1106" spans="1:9">
      <c r="A1106" s="21"/>
      <c r="B1106"/>
      <c r="F1106" s="87"/>
      <c r="H1106" s="87"/>
      <c r="I1106" s="89"/>
    </row>
    <row r="1107" spans="1:9">
      <c r="A1107" s="21"/>
      <c r="B1107"/>
      <c r="F1107" s="87"/>
      <c r="H1107" s="87"/>
      <c r="I1107" s="89"/>
    </row>
    <row r="1108" spans="1:9">
      <c r="A1108" s="21"/>
      <c r="B1108"/>
      <c r="F1108" s="87"/>
      <c r="H1108" s="87"/>
      <c r="I1108" s="89"/>
    </row>
    <row r="1109" spans="1:9">
      <c r="A1109" s="21"/>
      <c r="B1109"/>
      <c r="F1109" s="87"/>
      <c r="H1109" s="87"/>
      <c r="I1109" s="89"/>
    </row>
    <row r="1110" spans="1:9">
      <c r="A1110" s="21"/>
      <c r="B1110"/>
      <c r="F1110" s="87"/>
      <c r="H1110" s="87"/>
      <c r="I1110" s="89"/>
    </row>
    <row r="1111" spans="1:9">
      <c r="A1111" s="21"/>
      <c r="B1111"/>
      <c r="F1111" s="87"/>
      <c r="H1111" s="87"/>
      <c r="I1111" s="89"/>
    </row>
    <row r="1112" spans="1:9">
      <c r="A1112" s="21"/>
      <c r="B1112"/>
      <c r="F1112" s="87"/>
      <c r="H1112" s="87"/>
      <c r="I1112" s="89"/>
    </row>
    <row r="1113" spans="1:9">
      <c r="A1113" s="21"/>
      <c r="B1113"/>
      <c r="F1113" s="87"/>
      <c r="H1113" s="87"/>
      <c r="I1113" s="89"/>
    </row>
    <row r="1114" spans="1:9">
      <c r="A1114" s="21"/>
      <c r="B1114"/>
      <c r="F1114" s="87"/>
      <c r="H1114" s="87"/>
      <c r="I1114" s="89"/>
    </row>
    <row r="1115" spans="1:9">
      <c r="A1115" s="21"/>
      <c r="B1115"/>
      <c r="F1115" s="87"/>
      <c r="H1115" s="87"/>
      <c r="I1115" s="89"/>
    </row>
    <row r="1116" spans="1:9">
      <c r="A1116" s="21"/>
      <c r="B1116"/>
      <c r="F1116" s="87"/>
      <c r="H1116" s="87"/>
      <c r="I1116" s="89"/>
    </row>
    <row r="1117" spans="1:9">
      <c r="A1117" s="21"/>
      <c r="B1117"/>
      <c r="F1117" s="87"/>
      <c r="H1117" s="87"/>
      <c r="I1117" s="89"/>
    </row>
    <row r="1118" spans="1:9">
      <c r="A1118" s="21"/>
      <c r="B1118"/>
      <c r="F1118" s="87"/>
      <c r="H1118" s="87"/>
      <c r="I1118" s="89"/>
    </row>
    <row r="1119" spans="1:9">
      <c r="A1119" s="21"/>
      <c r="B1119"/>
      <c r="F1119" s="87"/>
      <c r="H1119" s="87"/>
      <c r="I1119" s="89"/>
    </row>
    <row r="1120" spans="1:9">
      <c r="A1120" s="21"/>
      <c r="B1120"/>
      <c r="F1120" s="87"/>
      <c r="H1120" s="87"/>
      <c r="I1120" s="89"/>
    </row>
    <row r="1121" spans="1:9">
      <c r="A1121" s="21"/>
      <c r="B1121"/>
      <c r="F1121" s="87"/>
      <c r="H1121" s="87"/>
      <c r="I1121" s="89"/>
    </row>
    <row r="1122" spans="1:9">
      <c r="A1122" s="21"/>
      <c r="B1122"/>
      <c r="F1122" s="87"/>
      <c r="H1122" s="87"/>
      <c r="I1122" s="89"/>
    </row>
    <row r="1123" spans="1:9">
      <c r="A1123" s="21"/>
      <c r="B1123"/>
      <c r="F1123" s="87"/>
      <c r="H1123" s="87"/>
      <c r="I1123" s="89"/>
    </row>
    <row r="1124" spans="1:9">
      <c r="A1124" s="21"/>
      <c r="B1124"/>
      <c r="F1124" s="87"/>
      <c r="H1124" s="87"/>
      <c r="I1124" s="89"/>
    </row>
    <row r="1125" spans="1:9">
      <c r="A1125" s="21"/>
      <c r="B1125"/>
      <c r="F1125" s="87"/>
      <c r="H1125" s="87"/>
      <c r="I1125" s="89"/>
    </row>
    <row r="1126" spans="1:9">
      <c r="A1126" s="21"/>
      <c r="B1126"/>
      <c r="F1126" s="87"/>
      <c r="H1126" s="87"/>
      <c r="I1126" s="89"/>
    </row>
    <row r="1127" spans="1:9">
      <c r="A1127" s="21"/>
      <c r="B1127"/>
      <c r="F1127" s="87"/>
      <c r="H1127" s="87"/>
      <c r="I1127" s="89"/>
    </row>
    <row r="1128" spans="1:9">
      <c r="A1128" s="21"/>
      <c r="B1128"/>
      <c r="F1128" s="87"/>
      <c r="H1128" s="87"/>
      <c r="I1128" s="89"/>
    </row>
    <row r="1129" spans="1:9">
      <c r="A1129" s="21"/>
      <c r="B1129"/>
      <c r="F1129" s="87"/>
      <c r="H1129" s="87"/>
      <c r="I1129" s="89"/>
    </row>
    <row r="1130" spans="1:9">
      <c r="A1130" s="21"/>
      <c r="B1130"/>
      <c r="F1130" s="87"/>
      <c r="H1130" s="87"/>
      <c r="I1130" s="89"/>
    </row>
    <row r="1131" spans="1:9">
      <c r="A1131" s="21"/>
      <c r="B1131"/>
      <c r="F1131" s="87"/>
      <c r="H1131" s="87"/>
      <c r="I1131" s="89"/>
    </row>
    <row r="1132" spans="1:9">
      <c r="A1132" s="21"/>
      <c r="B1132"/>
      <c r="F1132" s="87"/>
      <c r="H1132" s="87"/>
      <c r="I1132" s="89"/>
    </row>
    <row r="1133" spans="1:9">
      <c r="A1133" s="21"/>
      <c r="B1133"/>
      <c r="F1133" s="87"/>
      <c r="H1133" s="87"/>
      <c r="I1133" s="89"/>
    </row>
    <row r="1134" spans="1:9">
      <c r="A1134" s="21"/>
      <c r="B1134"/>
      <c r="F1134" s="87"/>
      <c r="H1134" s="87"/>
      <c r="I1134" s="89"/>
    </row>
    <row r="1135" spans="1:9">
      <c r="A1135" s="21"/>
      <c r="B1135"/>
      <c r="F1135" s="87"/>
      <c r="H1135" s="87"/>
      <c r="I1135" s="89"/>
    </row>
    <row r="1136" spans="1:9">
      <c r="A1136" s="21"/>
      <c r="B1136"/>
      <c r="F1136" s="87"/>
      <c r="H1136" s="87"/>
      <c r="I1136" s="89"/>
    </row>
    <row r="1137" spans="1:9">
      <c r="A1137" s="21"/>
      <c r="B1137"/>
      <c r="F1137" s="87"/>
      <c r="H1137" s="87"/>
      <c r="I1137" s="89"/>
    </row>
    <row r="1138" spans="1:9">
      <c r="A1138" s="21"/>
      <c r="B1138"/>
      <c r="F1138" s="87"/>
      <c r="H1138" s="87"/>
      <c r="I1138" s="89"/>
    </row>
    <row r="1139" spans="1:9">
      <c r="A1139" s="21"/>
      <c r="B1139"/>
      <c r="F1139" s="87"/>
      <c r="H1139" s="87"/>
      <c r="I1139" s="89"/>
    </row>
    <row r="1140" spans="1:9">
      <c r="A1140" s="21"/>
      <c r="B1140"/>
      <c r="F1140" s="87"/>
      <c r="H1140" s="87"/>
      <c r="I1140" s="89"/>
    </row>
    <row r="1141" spans="1:9">
      <c r="A1141" s="21"/>
      <c r="B1141"/>
      <c r="F1141" s="87"/>
      <c r="H1141" s="87"/>
      <c r="I1141" s="89"/>
    </row>
    <row r="1142" spans="1:9">
      <c r="A1142" s="21"/>
      <c r="B1142"/>
      <c r="F1142" s="87"/>
      <c r="H1142" s="87"/>
      <c r="I1142" s="89"/>
    </row>
    <row r="1143" spans="1:9">
      <c r="A1143" s="21"/>
      <c r="B1143"/>
      <c r="F1143" s="87"/>
      <c r="H1143" s="87"/>
      <c r="I1143" s="89"/>
    </row>
    <row r="1144" spans="1:9">
      <c r="A1144" s="21"/>
      <c r="B1144"/>
      <c r="F1144" s="87"/>
      <c r="H1144" s="87"/>
      <c r="I1144" s="89"/>
    </row>
    <row r="1145" spans="1:9">
      <c r="A1145" s="21"/>
      <c r="B1145"/>
      <c r="F1145" s="87"/>
      <c r="H1145" s="87"/>
      <c r="I1145" s="89"/>
    </row>
    <row r="1146" spans="1:9">
      <c r="A1146" s="21"/>
      <c r="B1146"/>
      <c r="F1146" s="87"/>
      <c r="H1146" s="87"/>
      <c r="I1146" s="89"/>
    </row>
    <row r="1147" spans="1:9">
      <c r="A1147" s="21"/>
      <c r="B1147"/>
      <c r="F1147" s="87"/>
      <c r="H1147" s="87"/>
      <c r="I1147" s="89"/>
    </row>
    <row r="1148" spans="1:9">
      <c r="A1148" s="21"/>
      <c r="B1148"/>
      <c r="F1148" s="87"/>
      <c r="H1148" s="87"/>
      <c r="I1148" s="89"/>
    </row>
    <row r="1149" spans="1:9">
      <c r="A1149" s="21"/>
      <c r="B1149"/>
      <c r="F1149" s="87"/>
      <c r="H1149" s="87"/>
      <c r="I1149" s="89"/>
    </row>
    <row r="1150" spans="1:9">
      <c r="A1150" s="21"/>
      <c r="B1150"/>
      <c r="F1150" s="87"/>
      <c r="H1150" s="87"/>
      <c r="I1150" s="89"/>
    </row>
    <row r="1151" spans="1:9">
      <c r="A1151" s="21"/>
      <c r="B1151"/>
      <c r="F1151" s="87"/>
      <c r="H1151" s="87"/>
      <c r="I1151" s="89"/>
    </row>
    <row r="1152" spans="1:9">
      <c r="A1152" s="21"/>
      <c r="B1152"/>
      <c r="F1152" s="87"/>
      <c r="H1152" s="87"/>
      <c r="I1152" s="89"/>
    </row>
    <row r="1153" spans="1:9">
      <c r="A1153" s="21"/>
      <c r="B1153"/>
      <c r="F1153" s="87"/>
      <c r="H1153" s="87"/>
      <c r="I1153" s="89"/>
    </row>
    <row r="1154" spans="1:9">
      <c r="A1154" s="21"/>
      <c r="B1154"/>
      <c r="F1154" s="87"/>
      <c r="H1154" s="87"/>
      <c r="I1154" s="89"/>
    </row>
    <row r="1155" spans="1:9">
      <c r="A1155" s="21"/>
      <c r="B1155"/>
      <c r="F1155" s="87"/>
      <c r="H1155" s="87"/>
      <c r="I1155" s="89"/>
    </row>
    <row r="1156" spans="1:9">
      <c r="A1156" s="21"/>
      <c r="B1156"/>
      <c r="F1156" s="87"/>
      <c r="H1156" s="87"/>
      <c r="I1156" s="89"/>
    </row>
    <row r="1157" spans="1:9">
      <c r="A1157" s="21"/>
      <c r="B1157"/>
      <c r="F1157" s="87"/>
      <c r="H1157" s="87"/>
      <c r="I1157" s="89"/>
    </row>
    <row r="1158" spans="1:9">
      <c r="A1158" s="21"/>
      <c r="B1158"/>
      <c r="F1158" s="87"/>
      <c r="H1158" s="87"/>
      <c r="I1158" s="89"/>
    </row>
    <row r="1159" spans="1:9">
      <c r="A1159" s="21"/>
      <c r="B1159"/>
      <c r="F1159" s="87"/>
      <c r="H1159" s="87"/>
      <c r="I1159" s="89"/>
    </row>
    <row r="1160" spans="1:9">
      <c r="A1160" s="21"/>
      <c r="B1160"/>
      <c r="F1160" s="87"/>
      <c r="H1160" s="87"/>
      <c r="I1160" s="89"/>
    </row>
    <row r="1161" spans="1:9">
      <c r="A1161" s="21"/>
      <c r="B1161"/>
      <c r="F1161" s="87"/>
      <c r="H1161" s="87"/>
      <c r="I1161" s="89"/>
    </row>
    <row r="1162" spans="1:9">
      <c r="A1162" s="21"/>
      <c r="B1162"/>
      <c r="F1162" s="87"/>
      <c r="H1162" s="87"/>
      <c r="I1162" s="89"/>
    </row>
    <row r="1163" spans="1:9">
      <c r="A1163" s="21"/>
      <c r="B1163"/>
      <c r="F1163" s="87"/>
      <c r="H1163" s="87"/>
      <c r="I1163" s="89"/>
    </row>
    <row r="1164" spans="1:9">
      <c r="A1164" s="21"/>
      <c r="B1164"/>
      <c r="F1164" s="87"/>
      <c r="H1164" s="87"/>
      <c r="I1164" s="89"/>
    </row>
    <row r="1165" spans="1:9">
      <c r="A1165" s="21"/>
      <c r="B1165"/>
      <c r="F1165" s="87"/>
      <c r="H1165" s="87"/>
      <c r="I1165" s="89"/>
    </row>
    <row r="1166" spans="1:9">
      <c r="A1166" s="21"/>
      <c r="B1166"/>
      <c r="F1166" s="87"/>
      <c r="H1166" s="87"/>
      <c r="I1166" s="89"/>
    </row>
    <row r="1167" spans="1:9">
      <c r="A1167" s="21"/>
      <c r="B1167"/>
      <c r="F1167" s="87"/>
      <c r="H1167" s="87"/>
      <c r="I1167" s="89"/>
    </row>
    <row r="1168" spans="1:9">
      <c r="A1168" s="21"/>
      <c r="B1168"/>
      <c r="F1168" s="87"/>
      <c r="H1168" s="87"/>
      <c r="I1168" s="89"/>
    </row>
    <row r="1169" spans="1:9">
      <c r="A1169" s="21"/>
      <c r="B1169"/>
      <c r="F1169" s="87"/>
      <c r="H1169" s="87"/>
      <c r="I1169" s="89"/>
    </row>
    <row r="1170" spans="1:9">
      <c r="A1170" s="21"/>
      <c r="B1170"/>
      <c r="F1170" s="87"/>
      <c r="H1170" s="87"/>
      <c r="I1170" s="89"/>
    </row>
    <row r="1171" spans="1:9">
      <c r="A1171" s="21"/>
      <c r="B1171"/>
      <c r="F1171" s="87"/>
      <c r="H1171" s="87"/>
      <c r="I1171" s="89"/>
    </row>
    <row r="1172" spans="1:9">
      <c r="A1172" s="21"/>
      <c r="B1172"/>
      <c r="F1172" s="87"/>
      <c r="H1172" s="87"/>
      <c r="I1172" s="89"/>
    </row>
    <row r="1173" spans="1:9">
      <c r="A1173" s="21"/>
      <c r="B1173"/>
      <c r="F1173" s="87"/>
      <c r="H1173" s="87"/>
      <c r="I1173" s="89"/>
    </row>
    <row r="1174" spans="1:9">
      <c r="A1174" s="21"/>
      <c r="B1174"/>
      <c r="F1174" s="87"/>
      <c r="H1174" s="87"/>
      <c r="I1174" s="89"/>
    </row>
    <row r="1175" spans="1:9">
      <c r="A1175" s="21"/>
      <c r="B1175"/>
      <c r="F1175" s="87"/>
      <c r="H1175" s="87"/>
      <c r="I1175" s="89"/>
    </row>
    <row r="1176" spans="1:9">
      <c r="A1176" s="21"/>
      <c r="B1176"/>
      <c r="F1176" s="87"/>
      <c r="H1176" s="87"/>
      <c r="I1176" s="89"/>
    </row>
    <row r="1177" spans="1:9">
      <c r="A1177" s="21"/>
      <c r="B1177"/>
      <c r="F1177" s="87"/>
      <c r="H1177" s="87"/>
      <c r="I1177" s="89"/>
    </row>
    <row r="1178" spans="1:9">
      <c r="A1178" s="21"/>
      <c r="B1178"/>
      <c r="F1178" s="87"/>
      <c r="H1178" s="87"/>
      <c r="I1178" s="89"/>
    </row>
    <row r="1179" spans="1:9">
      <c r="A1179" s="21"/>
      <c r="B1179"/>
      <c r="F1179" s="87"/>
      <c r="H1179" s="87"/>
      <c r="I1179" s="89"/>
    </row>
    <row r="1180" spans="1:9">
      <c r="A1180" s="21"/>
      <c r="B1180"/>
      <c r="F1180" s="87"/>
      <c r="H1180" s="87"/>
      <c r="I1180" s="89"/>
    </row>
    <row r="1181" spans="1:9">
      <c r="A1181" s="21"/>
      <c r="B1181"/>
      <c r="F1181" s="87"/>
      <c r="H1181" s="87"/>
      <c r="I1181" s="89"/>
    </row>
    <row r="1182" spans="1:9">
      <c r="A1182" s="21"/>
      <c r="B1182"/>
      <c r="F1182" s="87"/>
      <c r="H1182" s="87"/>
      <c r="I1182" s="89"/>
    </row>
    <row r="1183" spans="1:9">
      <c r="A1183" s="21"/>
      <c r="B1183"/>
      <c r="F1183" s="87"/>
      <c r="H1183" s="87"/>
      <c r="I1183" s="89"/>
    </row>
    <row r="1184" spans="1:9">
      <c r="A1184" s="21"/>
      <c r="B1184"/>
      <c r="F1184" s="87"/>
      <c r="H1184" s="87"/>
      <c r="I1184" s="89"/>
    </row>
    <row r="1185" spans="1:9">
      <c r="A1185" s="21"/>
      <c r="B1185"/>
      <c r="F1185" s="87"/>
      <c r="H1185" s="87"/>
      <c r="I1185" s="89"/>
    </row>
    <row r="1186" spans="1:9">
      <c r="A1186" s="21"/>
      <c r="B1186"/>
      <c r="F1186" s="87"/>
      <c r="H1186" s="87"/>
      <c r="I1186" s="89"/>
    </row>
    <row r="1187" spans="1:9">
      <c r="A1187" s="21"/>
      <c r="B1187"/>
      <c r="F1187" s="87"/>
      <c r="H1187" s="87"/>
      <c r="I1187" s="89"/>
    </row>
    <row r="1188" spans="1:9">
      <c r="A1188" s="21"/>
      <c r="B1188"/>
      <c r="F1188" s="87"/>
      <c r="H1188" s="87"/>
      <c r="I1188" s="89"/>
    </row>
    <row r="1189" spans="1:9">
      <c r="A1189" s="21"/>
      <c r="B1189"/>
      <c r="F1189" s="87"/>
      <c r="H1189" s="87"/>
      <c r="I1189" s="89"/>
    </row>
    <row r="1190" spans="1:9">
      <c r="A1190" s="21"/>
      <c r="B1190"/>
      <c r="F1190" s="87"/>
      <c r="H1190" s="87"/>
      <c r="I1190" s="89"/>
    </row>
    <row r="1191" spans="1:9">
      <c r="A1191" s="21"/>
      <c r="B1191"/>
      <c r="F1191" s="87"/>
      <c r="H1191" s="87"/>
      <c r="I1191" s="89"/>
    </row>
    <row r="1192" spans="1:9">
      <c r="A1192" s="21"/>
      <c r="B1192"/>
      <c r="F1192" s="87"/>
      <c r="H1192" s="87"/>
      <c r="I1192" s="89"/>
    </row>
    <row r="1193" spans="1:9">
      <c r="A1193" s="21"/>
      <c r="B1193"/>
      <c r="F1193" s="87"/>
      <c r="H1193" s="87"/>
      <c r="I1193" s="89"/>
    </row>
    <row r="1194" spans="1:9">
      <c r="A1194" s="21"/>
      <c r="B1194"/>
      <c r="F1194" s="87"/>
      <c r="H1194" s="87"/>
      <c r="I1194" s="89"/>
    </row>
    <row r="1195" spans="1:9">
      <c r="A1195" s="21"/>
      <c r="B1195"/>
      <c r="F1195" s="87"/>
      <c r="H1195" s="87"/>
      <c r="I1195" s="89"/>
    </row>
    <row r="1196" spans="1:9">
      <c r="A1196" s="21"/>
      <c r="B1196"/>
      <c r="F1196" s="87"/>
      <c r="H1196" s="87"/>
      <c r="I1196" s="89"/>
    </row>
    <row r="1197" spans="1:9">
      <c r="A1197" s="21"/>
      <c r="B1197"/>
      <c r="F1197" s="87"/>
      <c r="H1197" s="87"/>
      <c r="I1197" s="89"/>
    </row>
    <row r="1198" spans="1:9">
      <c r="A1198" s="21"/>
      <c r="B1198"/>
      <c r="F1198" s="87"/>
      <c r="H1198" s="87"/>
      <c r="I1198" s="89"/>
    </row>
    <row r="1199" spans="1:9">
      <c r="A1199" s="21"/>
      <c r="B1199"/>
      <c r="F1199" s="87"/>
      <c r="H1199" s="87"/>
      <c r="I1199" s="89"/>
    </row>
    <row r="1200" spans="1:9">
      <c r="A1200" s="21"/>
      <c r="B1200"/>
      <c r="F1200" s="87"/>
      <c r="H1200" s="87"/>
      <c r="I1200" s="89"/>
    </row>
    <row r="1201" spans="1:9">
      <c r="A1201" s="21"/>
      <c r="B1201"/>
      <c r="F1201" s="87"/>
      <c r="H1201" s="87"/>
      <c r="I1201" s="89"/>
    </row>
    <row r="1202" spans="1:9">
      <c r="A1202" s="21"/>
      <c r="B1202"/>
      <c r="F1202" s="87"/>
      <c r="H1202" s="87"/>
      <c r="I1202" s="89"/>
    </row>
    <row r="1203" spans="1:9">
      <c r="A1203" s="21"/>
      <c r="B1203"/>
      <c r="F1203" s="87"/>
      <c r="H1203" s="87"/>
      <c r="I1203" s="89"/>
    </row>
    <row r="1204" spans="1:9">
      <c r="A1204" s="21"/>
      <c r="B1204"/>
      <c r="F1204" s="87"/>
      <c r="H1204" s="87"/>
      <c r="I1204" s="89"/>
    </row>
    <row r="1205" spans="1:9">
      <c r="A1205" s="21"/>
      <c r="B1205"/>
      <c r="F1205" s="87"/>
      <c r="H1205" s="87"/>
      <c r="I1205" s="89"/>
    </row>
    <row r="1206" spans="1:9">
      <c r="A1206" s="21"/>
      <c r="B1206"/>
      <c r="F1206" s="87"/>
      <c r="H1206" s="87"/>
      <c r="I1206" s="89"/>
    </row>
    <row r="1207" spans="1:9">
      <c r="A1207" s="21"/>
      <c r="B1207"/>
      <c r="F1207" s="87"/>
      <c r="H1207" s="87"/>
      <c r="I1207" s="89"/>
    </row>
    <row r="1208" spans="1:9">
      <c r="A1208" s="21"/>
      <c r="B1208"/>
      <c r="F1208" s="87"/>
      <c r="H1208" s="87"/>
      <c r="I1208" s="89"/>
    </row>
    <row r="1209" spans="1:9">
      <c r="A1209" s="21"/>
      <c r="B1209"/>
      <c r="F1209" s="87"/>
      <c r="H1209" s="87"/>
      <c r="I1209" s="89"/>
    </row>
    <row r="1210" spans="1:9">
      <c r="A1210" s="21"/>
      <c r="B1210"/>
      <c r="F1210" s="87"/>
      <c r="H1210" s="87"/>
      <c r="I1210" s="89"/>
    </row>
    <row r="1211" spans="1:9">
      <c r="A1211" s="21"/>
      <c r="B1211"/>
      <c r="F1211" s="87"/>
      <c r="H1211" s="87"/>
      <c r="I1211" s="89"/>
    </row>
    <row r="1212" spans="1:9">
      <c r="A1212" s="21"/>
      <c r="B1212"/>
      <c r="F1212" s="87"/>
      <c r="H1212" s="87"/>
      <c r="I1212" s="89"/>
    </row>
    <row r="1213" spans="1:9">
      <c r="A1213" s="21"/>
      <c r="B1213"/>
      <c r="F1213" s="87"/>
      <c r="H1213" s="87"/>
      <c r="I1213" s="89"/>
    </row>
    <row r="1214" spans="1:9">
      <c r="A1214" s="21"/>
      <c r="B1214"/>
      <c r="F1214" s="87"/>
      <c r="H1214" s="87"/>
      <c r="I1214" s="89"/>
    </row>
    <row r="1215" spans="1:9">
      <c r="A1215" s="21"/>
      <c r="B1215"/>
      <c r="F1215" s="87"/>
      <c r="H1215" s="87"/>
      <c r="I1215" s="89"/>
    </row>
    <row r="1216" spans="1:9">
      <c r="A1216" s="21"/>
      <c r="B1216"/>
      <c r="F1216" s="87"/>
      <c r="H1216" s="87"/>
      <c r="I1216" s="89"/>
    </row>
    <row r="1217" spans="1:9">
      <c r="A1217" s="21"/>
      <c r="B1217"/>
      <c r="F1217" s="87"/>
      <c r="H1217" s="87"/>
      <c r="I1217" s="89"/>
    </row>
    <row r="1218" spans="1:9">
      <c r="A1218" s="21"/>
      <c r="B1218"/>
      <c r="F1218" s="87"/>
      <c r="H1218" s="87"/>
      <c r="I1218" s="89"/>
    </row>
    <row r="1219" spans="1:9">
      <c r="A1219" s="21"/>
      <c r="B1219"/>
      <c r="F1219" s="87"/>
      <c r="H1219" s="87"/>
      <c r="I1219" s="89"/>
    </row>
    <row r="1220" spans="1:9">
      <c r="A1220" s="21"/>
      <c r="B1220"/>
      <c r="F1220" s="87"/>
      <c r="H1220" s="87"/>
      <c r="I1220" s="89"/>
    </row>
    <row r="1221" spans="1:9">
      <c r="A1221" s="21"/>
      <c r="B1221"/>
      <c r="F1221" s="87"/>
      <c r="H1221" s="87"/>
      <c r="I1221" s="89"/>
    </row>
    <row r="1222" spans="1:9">
      <c r="A1222" s="21"/>
      <c r="B1222"/>
      <c r="F1222" s="87"/>
      <c r="H1222" s="87"/>
      <c r="I1222" s="89"/>
    </row>
    <row r="1223" spans="1:9">
      <c r="A1223" s="21"/>
      <c r="B1223"/>
      <c r="F1223" s="87"/>
      <c r="H1223" s="87"/>
      <c r="I1223" s="89"/>
    </row>
    <row r="1224" spans="1:9">
      <c r="A1224" s="21"/>
      <c r="B1224"/>
      <c r="F1224" s="87"/>
      <c r="H1224" s="87"/>
      <c r="I1224" s="89"/>
    </row>
    <row r="1225" spans="1:9">
      <c r="A1225" s="21"/>
      <c r="B1225"/>
      <c r="F1225" s="87"/>
      <c r="H1225" s="87"/>
      <c r="I1225" s="89"/>
    </row>
    <row r="1226" spans="1:9">
      <c r="A1226" s="21"/>
      <c r="B1226"/>
      <c r="F1226" s="87"/>
      <c r="H1226" s="87"/>
      <c r="I1226" s="89"/>
    </row>
    <row r="1227" spans="1:9">
      <c r="A1227" s="21"/>
      <c r="B1227"/>
      <c r="F1227" s="87"/>
      <c r="H1227" s="87"/>
      <c r="I1227" s="89"/>
    </row>
    <row r="1228" spans="1:9">
      <c r="A1228" s="21"/>
      <c r="B1228"/>
      <c r="F1228" s="87"/>
      <c r="H1228" s="87"/>
      <c r="I1228" s="89"/>
    </row>
    <row r="1229" spans="1:9">
      <c r="A1229" s="21"/>
      <c r="B1229"/>
      <c r="F1229" s="87"/>
      <c r="H1229" s="87"/>
      <c r="I1229" s="89"/>
    </row>
    <row r="1230" spans="1:9">
      <c r="A1230" s="21"/>
      <c r="B1230"/>
      <c r="F1230" s="87"/>
      <c r="H1230" s="87"/>
      <c r="I1230" s="89"/>
    </row>
    <row r="1231" spans="1:9">
      <c r="A1231" s="21"/>
      <c r="B1231"/>
      <c r="F1231" s="87"/>
      <c r="H1231" s="87"/>
      <c r="I1231" s="89"/>
    </row>
    <row r="1232" spans="1:9">
      <c r="A1232" s="21"/>
      <c r="B1232"/>
      <c r="F1232" s="87"/>
      <c r="H1232" s="87"/>
      <c r="I1232" s="89"/>
    </row>
    <row r="1233" spans="1:9">
      <c r="A1233" s="21"/>
      <c r="B1233"/>
      <c r="F1233" s="87"/>
      <c r="H1233" s="87"/>
      <c r="I1233" s="89"/>
    </row>
    <row r="1234" spans="1:9">
      <c r="A1234" s="21"/>
      <c r="B1234"/>
      <c r="F1234" s="87"/>
      <c r="H1234" s="87"/>
      <c r="I1234" s="89"/>
    </row>
    <row r="1235" spans="1:9">
      <c r="A1235" s="21"/>
      <c r="B1235"/>
      <c r="F1235" s="87"/>
      <c r="H1235" s="87"/>
      <c r="I1235" s="89"/>
    </row>
    <row r="1236" spans="1:9">
      <c r="A1236" s="21"/>
      <c r="B1236"/>
      <c r="F1236" s="87"/>
      <c r="H1236" s="87"/>
      <c r="I1236" s="89"/>
    </row>
    <row r="1237" spans="1:9">
      <c r="A1237" s="21"/>
      <c r="B1237"/>
      <c r="F1237" s="87"/>
      <c r="H1237" s="87"/>
      <c r="I1237" s="89"/>
    </row>
    <row r="1238" spans="1:9">
      <c r="A1238" s="21"/>
      <c r="B1238"/>
      <c r="F1238" s="87"/>
      <c r="H1238" s="87"/>
      <c r="I1238" s="89"/>
    </row>
    <row r="1239" spans="1:9">
      <c r="A1239" s="21"/>
      <c r="B1239"/>
      <c r="F1239" s="87"/>
      <c r="H1239" s="87"/>
      <c r="I1239" s="89"/>
    </row>
    <row r="1240" spans="1:9">
      <c r="A1240" s="21"/>
      <c r="B1240"/>
      <c r="F1240" s="87"/>
      <c r="H1240" s="87"/>
      <c r="I1240" s="89"/>
    </row>
    <row r="1241" spans="1:9">
      <c r="A1241" s="21"/>
      <c r="B1241"/>
      <c r="F1241" s="87"/>
      <c r="H1241" s="87"/>
      <c r="I1241" s="89"/>
    </row>
    <row r="1242" spans="1:9">
      <c r="A1242" s="21"/>
      <c r="B1242"/>
      <c r="F1242" s="87"/>
      <c r="H1242" s="87"/>
      <c r="I1242" s="89"/>
    </row>
    <row r="1243" spans="1:9">
      <c r="A1243" s="21"/>
      <c r="B1243"/>
      <c r="F1243" s="87"/>
      <c r="H1243" s="87"/>
      <c r="I1243" s="89"/>
    </row>
    <row r="1244" spans="1:9">
      <c r="A1244" s="21"/>
      <c r="B1244"/>
      <c r="F1244" s="87"/>
      <c r="H1244" s="87"/>
      <c r="I1244" s="89"/>
    </row>
    <row r="1245" spans="1:9">
      <c r="A1245" s="21"/>
      <c r="B1245"/>
      <c r="F1245" s="87"/>
      <c r="H1245" s="87"/>
      <c r="I1245" s="89"/>
    </row>
    <row r="1246" spans="1:9">
      <c r="A1246" s="21"/>
      <c r="B1246"/>
      <c r="F1246" s="87"/>
      <c r="H1246" s="87"/>
      <c r="I1246" s="89"/>
    </row>
    <row r="1247" spans="1:9">
      <c r="A1247" s="21"/>
      <c r="B1247"/>
      <c r="F1247" s="87"/>
      <c r="H1247" s="87"/>
      <c r="I1247" s="89"/>
    </row>
    <row r="1248" spans="1:9">
      <c r="A1248" s="21"/>
      <c r="B1248"/>
      <c r="F1248" s="87"/>
      <c r="H1248" s="87"/>
      <c r="I1248" s="89"/>
    </row>
    <row r="1249" spans="1:9">
      <c r="A1249" s="21"/>
      <c r="B1249"/>
      <c r="F1249" s="87"/>
      <c r="H1249" s="87"/>
      <c r="I1249" s="89"/>
    </row>
    <row r="1250" spans="1:9">
      <c r="A1250" s="21"/>
      <c r="B1250"/>
      <c r="F1250" s="87"/>
      <c r="H1250" s="87"/>
      <c r="I1250" s="89"/>
    </row>
    <row r="1251" spans="1:9">
      <c r="A1251" s="21"/>
      <c r="B1251"/>
      <c r="F1251" s="87"/>
      <c r="H1251" s="87"/>
      <c r="I1251" s="89"/>
    </row>
    <row r="1252" spans="1:9">
      <c r="A1252" s="21"/>
      <c r="B1252"/>
      <c r="F1252" s="87"/>
      <c r="H1252" s="87"/>
      <c r="I1252" s="89"/>
    </row>
    <row r="1253" spans="1:9">
      <c r="A1253" s="21"/>
      <c r="B1253"/>
      <c r="F1253" s="87"/>
      <c r="H1253" s="87"/>
      <c r="I1253" s="89"/>
    </row>
    <row r="1254" spans="1:9">
      <c r="A1254" s="21"/>
      <c r="B1254"/>
      <c r="F1254" s="87"/>
      <c r="H1254" s="87"/>
      <c r="I1254" s="89"/>
    </row>
    <row r="1255" spans="1:9">
      <c r="A1255" s="21"/>
      <c r="B1255"/>
      <c r="F1255" s="87"/>
      <c r="H1255" s="87"/>
      <c r="I1255" s="89"/>
    </row>
    <row r="1256" spans="1:9">
      <c r="A1256" s="21"/>
      <c r="B1256"/>
      <c r="F1256" s="87"/>
      <c r="H1256" s="87"/>
      <c r="I1256" s="89"/>
    </row>
    <row r="1257" spans="1:9">
      <c r="A1257" s="21"/>
      <c r="B1257"/>
      <c r="F1257" s="87"/>
      <c r="H1257" s="87"/>
      <c r="I1257" s="89"/>
    </row>
    <row r="1258" spans="1:9">
      <c r="A1258" s="21"/>
      <c r="B1258"/>
      <c r="F1258" s="87"/>
      <c r="H1258" s="87"/>
      <c r="I1258" s="89"/>
    </row>
    <row r="1259" spans="1:9">
      <c r="A1259" s="21"/>
      <c r="B1259"/>
      <c r="F1259" s="87"/>
      <c r="H1259" s="87"/>
      <c r="I1259" s="89"/>
    </row>
    <row r="1260" spans="1:9">
      <c r="A1260" s="21"/>
      <c r="B1260"/>
      <c r="F1260" s="87"/>
      <c r="H1260" s="87"/>
      <c r="I1260" s="89"/>
    </row>
    <row r="1261" spans="1:9">
      <c r="A1261" s="21"/>
      <c r="B1261"/>
      <c r="F1261" s="87"/>
      <c r="H1261" s="87"/>
      <c r="I1261" s="89"/>
    </row>
    <row r="1262" spans="1:9">
      <c r="A1262" s="21"/>
      <c r="B1262"/>
      <c r="F1262" s="87"/>
      <c r="H1262" s="87"/>
      <c r="I1262" s="89"/>
    </row>
    <row r="1263" spans="1:9">
      <c r="A1263" s="21"/>
      <c r="B1263"/>
      <c r="F1263" s="87"/>
      <c r="H1263" s="87"/>
      <c r="I1263" s="89"/>
    </row>
    <row r="1264" spans="1:9">
      <c r="A1264" s="21"/>
      <c r="B1264"/>
      <c r="F1264" s="87"/>
      <c r="H1264" s="87"/>
      <c r="I1264" s="89"/>
    </row>
    <row r="1265" spans="1:9">
      <c r="A1265" s="21"/>
      <c r="B1265"/>
      <c r="F1265" s="87"/>
      <c r="H1265" s="87"/>
      <c r="I1265" s="89"/>
    </row>
    <row r="1266" spans="1:9">
      <c r="A1266" s="21"/>
      <c r="B1266"/>
      <c r="F1266" s="87"/>
      <c r="H1266" s="87"/>
      <c r="I1266" s="89"/>
    </row>
    <row r="1267" spans="1:9">
      <c r="A1267" s="21"/>
      <c r="B1267"/>
      <c r="F1267" s="87"/>
      <c r="H1267" s="87"/>
      <c r="I1267" s="89"/>
    </row>
    <row r="1268" spans="1:9">
      <c r="A1268" s="21"/>
      <c r="B1268"/>
      <c r="F1268" s="87"/>
      <c r="H1268" s="87"/>
      <c r="I1268" s="89"/>
    </row>
    <row r="1269" spans="1:9">
      <c r="A1269" s="21"/>
      <c r="B1269"/>
      <c r="F1269" s="87"/>
      <c r="H1269" s="87"/>
      <c r="I1269" s="89"/>
    </row>
    <row r="1270" spans="1:9">
      <c r="A1270" s="21"/>
      <c r="B1270"/>
      <c r="F1270" s="87"/>
      <c r="H1270" s="87"/>
      <c r="I1270" s="89"/>
    </row>
    <row r="1271" spans="1:9">
      <c r="A1271" s="21"/>
      <c r="B1271"/>
      <c r="F1271" s="87"/>
      <c r="H1271" s="87"/>
      <c r="I1271" s="89"/>
    </row>
    <row r="1272" spans="1:9">
      <c r="A1272" s="21"/>
      <c r="B1272"/>
      <c r="F1272" s="87"/>
      <c r="H1272" s="87"/>
      <c r="I1272" s="89"/>
    </row>
    <row r="1273" spans="1:9">
      <c r="A1273" s="21"/>
      <c r="B1273"/>
      <c r="F1273" s="87"/>
      <c r="H1273" s="87"/>
      <c r="I1273" s="89"/>
    </row>
    <row r="1274" spans="1:9">
      <c r="A1274" s="21"/>
      <c r="B1274"/>
      <c r="F1274" s="87"/>
      <c r="H1274" s="87"/>
      <c r="I1274" s="89"/>
    </row>
    <row r="1275" spans="1:9">
      <c r="A1275" s="21"/>
      <c r="B1275"/>
      <c r="F1275" s="87"/>
      <c r="H1275" s="87"/>
      <c r="I1275" s="89"/>
    </row>
    <row r="1276" spans="1:9">
      <c r="A1276" s="21"/>
      <c r="B1276"/>
      <c r="F1276" s="87"/>
      <c r="H1276" s="87"/>
      <c r="I1276" s="89"/>
    </row>
    <row r="1277" spans="1:9">
      <c r="A1277" s="21"/>
      <c r="B1277"/>
      <c r="F1277" s="87"/>
      <c r="H1277" s="87"/>
      <c r="I1277" s="89"/>
    </row>
    <row r="1278" spans="1:9">
      <c r="A1278" s="21"/>
      <c r="B1278"/>
      <c r="F1278" s="87"/>
      <c r="H1278" s="87"/>
      <c r="I1278" s="89"/>
    </row>
    <row r="1279" spans="1:9">
      <c r="A1279" s="21"/>
      <c r="B1279"/>
      <c r="F1279" s="87"/>
      <c r="H1279" s="87"/>
      <c r="I1279" s="89"/>
    </row>
    <row r="1280" spans="1:9">
      <c r="A1280" s="21"/>
      <c r="B1280"/>
      <c r="F1280" s="87"/>
      <c r="H1280" s="87"/>
      <c r="I1280" s="89"/>
    </row>
    <row r="1281" spans="1:9">
      <c r="A1281" s="21"/>
      <c r="B1281"/>
      <c r="F1281" s="87"/>
      <c r="H1281" s="87"/>
      <c r="I1281" s="89"/>
    </row>
    <row r="1282" spans="1:9">
      <c r="A1282" s="21"/>
      <c r="B1282"/>
      <c r="F1282" s="87"/>
      <c r="H1282" s="87"/>
      <c r="I1282" s="89"/>
    </row>
    <row r="1283" spans="1:9">
      <c r="A1283" s="21"/>
      <c r="B1283"/>
      <c r="F1283" s="87"/>
      <c r="H1283" s="87"/>
      <c r="I1283" s="89"/>
    </row>
    <row r="1284" spans="1:9">
      <c r="A1284" s="21"/>
      <c r="B1284"/>
      <c r="F1284" s="87"/>
      <c r="H1284" s="87"/>
      <c r="I1284" s="89"/>
    </row>
    <row r="1285" spans="1:9">
      <c r="A1285" s="21"/>
      <c r="B1285"/>
      <c r="F1285" s="87"/>
      <c r="H1285" s="87"/>
      <c r="I1285" s="89"/>
    </row>
    <row r="1286" spans="1:9">
      <c r="A1286" s="21"/>
      <c r="B1286"/>
      <c r="F1286" s="87"/>
      <c r="H1286" s="87"/>
      <c r="I1286" s="89"/>
    </row>
    <row r="1287" spans="1:9">
      <c r="A1287" s="21"/>
      <c r="B1287"/>
      <c r="F1287" s="87"/>
      <c r="H1287" s="87"/>
      <c r="I1287" s="89"/>
    </row>
    <row r="1288" spans="1:9">
      <c r="A1288" s="21"/>
      <c r="B1288"/>
      <c r="F1288" s="87"/>
      <c r="H1288" s="87"/>
      <c r="I1288" s="89"/>
    </row>
    <row r="1289" spans="1:9">
      <c r="A1289" s="21"/>
      <c r="B1289"/>
      <c r="F1289" s="87"/>
      <c r="H1289" s="87"/>
      <c r="I1289" s="89"/>
    </row>
    <row r="1290" spans="1:9">
      <c r="A1290" s="21"/>
      <c r="B1290"/>
      <c r="F1290" s="87"/>
      <c r="H1290" s="87"/>
      <c r="I1290" s="89"/>
    </row>
    <row r="1291" spans="1:9">
      <c r="A1291" s="21"/>
      <c r="B1291"/>
      <c r="F1291" s="87"/>
      <c r="H1291" s="87"/>
      <c r="I1291" s="89"/>
    </row>
    <row r="1292" spans="1:9">
      <c r="A1292" s="21"/>
      <c r="B1292"/>
      <c r="F1292" s="87"/>
      <c r="H1292" s="87"/>
      <c r="I1292" s="89"/>
    </row>
    <row r="1293" spans="1:9">
      <c r="A1293" s="21"/>
      <c r="B1293"/>
      <c r="F1293" s="87"/>
      <c r="H1293" s="87"/>
      <c r="I1293" s="89"/>
    </row>
    <row r="1294" spans="1:9">
      <c r="A1294" s="21"/>
      <c r="B1294"/>
      <c r="F1294" s="87"/>
      <c r="H1294" s="87"/>
      <c r="I1294" s="89"/>
    </row>
    <row r="1295" spans="1:9">
      <c r="A1295" s="21"/>
      <c r="B1295"/>
      <c r="F1295" s="87"/>
      <c r="H1295" s="87"/>
      <c r="I1295" s="89"/>
    </row>
    <row r="1296" spans="1:9">
      <c r="A1296" s="21"/>
      <c r="B1296"/>
      <c r="F1296" s="87"/>
      <c r="H1296" s="87"/>
      <c r="I1296" s="89"/>
    </row>
    <row r="1297" spans="1:9">
      <c r="A1297" s="21"/>
      <c r="B1297"/>
      <c r="F1297" s="87"/>
      <c r="H1297" s="87"/>
      <c r="I1297" s="89"/>
    </row>
    <row r="1298" spans="1:9">
      <c r="A1298" s="21"/>
      <c r="B1298"/>
      <c r="F1298" s="87"/>
      <c r="H1298" s="87"/>
      <c r="I1298" s="89"/>
    </row>
    <row r="1299" spans="1:9">
      <c r="A1299" s="21"/>
      <c r="B1299"/>
      <c r="F1299" s="87"/>
      <c r="H1299" s="87"/>
      <c r="I1299" s="89"/>
    </row>
    <row r="1300" spans="1:9">
      <c r="A1300" s="21"/>
      <c r="B1300"/>
      <c r="F1300" s="87"/>
      <c r="H1300" s="87"/>
      <c r="I1300" s="89"/>
    </row>
    <row r="1301" spans="1:9">
      <c r="A1301" s="21"/>
      <c r="B1301"/>
      <c r="F1301" s="87"/>
      <c r="H1301" s="87"/>
      <c r="I1301" s="89"/>
    </row>
    <row r="1302" spans="1:9">
      <c r="A1302" s="21"/>
      <c r="B1302"/>
      <c r="F1302" s="87"/>
      <c r="H1302" s="87"/>
      <c r="I1302" s="89"/>
    </row>
    <row r="1303" spans="1:9">
      <c r="A1303" s="21"/>
      <c r="B1303"/>
      <c r="F1303" s="87"/>
      <c r="H1303" s="87"/>
      <c r="I1303" s="89"/>
    </row>
    <row r="1304" spans="1:9">
      <c r="A1304" s="21"/>
      <c r="B1304"/>
      <c r="F1304" s="87"/>
      <c r="H1304" s="87"/>
      <c r="I1304" s="89"/>
    </row>
    <row r="1305" spans="1:9">
      <c r="A1305" s="21"/>
      <c r="B1305"/>
      <c r="F1305" s="87"/>
      <c r="H1305" s="87"/>
      <c r="I1305" s="89"/>
    </row>
    <row r="1306" spans="1:9">
      <c r="A1306" s="21"/>
      <c r="B1306"/>
      <c r="F1306" s="87"/>
      <c r="H1306" s="87"/>
      <c r="I1306" s="89"/>
    </row>
    <row r="1307" spans="1:9">
      <c r="A1307" s="21"/>
      <c r="B1307"/>
      <c r="F1307" s="87"/>
      <c r="H1307" s="87"/>
      <c r="I1307" s="89"/>
    </row>
    <row r="1308" spans="1:9">
      <c r="A1308" s="21"/>
      <c r="B1308"/>
      <c r="F1308" s="87"/>
      <c r="H1308" s="87"/>
      <c r="I1308" s="89"/>
    </row>
    <row r="1309" spans="1:9">
      <c r="A1309" s="21"/>
      <c r="B1309"/>
      <c r="F1309" s="87"/>
      <c r="H1309" s="87"/>
      <c r="I1309" s="89"/>
    </row>
    <row r="1310" spans="1:9">
      <c r="A1310" s="21"/>
      <c r="B1310"/>
      <c r="F1310" s="87"/>
      <c r="H1310" s="87"/>
      <c r="I1310" s="89"/>
    </row>
    <row r="1311" spans="1:9">
      <c r="A1311" s="21"/>
      <c r="B1311"/>
      <c r="F1311" s="87"/>
      <c r="H1311" s="87"/>
      <c r="I1311" s="89"/>
    </row>
    <row r="1312" spans="1:9">
      <c r="A1312" s="21"/>
      <c r="B1312"/>
      <c r="F1312" s="87"/>
      <c r="H1312" s="87"/>
      <c r="I1312" s="89"/>
    </row>
    <row r="1313" spans="1:9">
      <c r="A1313" s="21"/>
      <c r="B1313"/>
      <c r="F1313" s="87"/>
      <c r="H1313" s="87"/>
      <c r="I1313" s="89"/>
    </row>
    <row r="1314" spans="1:9">
      <c r="A1314" s="21"/>
      <c r="B1314"/>
      <c r="F1314" s="87"/>
      <c r="H1314" s="87"/>
      <c r="I1314" s="89"/>
    </row>
    <row r="1315" spans="1:9">
      <c r="A1315" s="21"/>
      <c r="B1315"/>
      <c r="F1315" s="87"/>
      <c r="H1315" s="87"/>
      <c r="I1315" s="89"/>
    </row>
    <row r="1316" spans="1:9">
      <c r="A1316" s="21"/>
      <c r="B1316"/>
      <c r="F1316" s="87"/>
      <c r="H1316" s="87"/>
      <c r="I1316" s="89"/>
    </row>
    <row r="1317" spans="1:9">
      <c r="A1317" s="21"/>
      <c r="B1317"/>
      <c r="F1317" s="87"/>
      <c r="H1317" s="87"/>
      <c r="I1317" s="89"/>
    </row>
    <row r="1318" spans="1:9">
      <c r="A1318" s="21"/>
      <c r="B1318"/>
      <c r="F1318" s="87"/>
      <c r="H1318" s="87"/>
      <c r="I1318" s="89"/>
    </row>
    <row r="1319" spans="1:9">
      <c r="A1319" s="21"/>
      <c r="B1319"/>
      <c r="F1319" s="87"/>
      <c r="H1319" s="87"/>
      <c r="I1319" s="89"/>
    </row>
    <row r="1320" spans="1:9">
      <c r="A1320" s="21"/>
      <c r="B1320"/>
      <c r="F1320" s="87"/>
      <c r="H1320" s="87"/>
      <c r="I1320" s="89"/>
    </row>
    <row r="1321" spans="1:9">
      <c r="A1321" s="21"/>
      <c r="B1321"/>
      <c r="F1321" s="87"/>
      <c r="H1321" s="87"/>
      <c r="I1321" s="89"/>
    </row>
    <row r="1322" spans="1:9">
      <c r="A1322" s="21"/>
      <c r="B1322"/>
      <c r="F1322" s="87"/>
      <c r="H1322" s="87"/>
      <c r="I1322" s="89"/>
    </row>
    <row r="1323" spans="1:9">
      <c r="A1323" s="21"/>
      <c r="B1323"/>
      <c r="F1323" s="87"/>
      <c r="H1323" s="87"/>
      <c r="I1323" s="89"/>
    </row>
    <row r="1324" spans="1:9">
      <c r="A1324" s="21"/>
      <c r="B1324"/>
      <c r="F1324" s="87"/>
      <c r="H1324" s="87"/>
      <c r="I1324" s="89"/>
    </row>
    <row r="1325" spans="1:9">
      <c r="A1325" s="21"/>
      <c r="B1325"/>
      <c r="F1325" s="87"/>
      <c r="H1325" s="87"/>
      <c r="I1325" s="89"/>
    </row>
    <row r="1326" spans="1:9">
      <c r="A1326" s="21"/>
      <c r="B1326"/>
      <c r="F1326" s="87"/>
      <c r="H1326" s="87"/>
      <c r="I1326" s="89"/>
    </row>
    <row r="1327" spans="1:9">
      <c r="A1327" s="21"/>
      <c r="B1327"/>
      <c r="F1327" s="87"/>
      <c r="H1327" s="87"/>
      <c r="I1327" s="89"/>
    </row>
    <row r="1328" spans="1:9">
      <c r="A1328" s="21"/>
      <c r="B1328"/>
      <c r="F1328" s="87"/>
      <c r="H1328" s="87"/>
      <c r="I1328" s="89"/>
    </row>
    <row r="1329" spans="1:9">
      <c r="A1329" s="21"/>
      <c r="B1329"/>
      <c r="F1329" s="87"/>
      <c r="H1329" s="87"/>
      <c r="I1329" s="89"/>
    </row>
    <row r="1330" spans="1:9">
      <c r="A1330" s="21"/>
      <c r="B1330"/>
      <c r="F1330" s="87"/>
      <c r="H1330" s="87"/>
      <c r="I1330" s="89"/>
    </row>
    <row r="1331" spans="1:9">
      <c r="A1331" s="21"/>
      <c r="B1331"/>
      <c r="F1331" s="87"/>
      <c r="H1331" s="87"/>
      <c r="I1331" s="89"/>
    </row>
    <row r="1332" spans="1:9">
      <c r="A1332" s="21"/>
      <c r="B1332"/>
      <c r="F1332" s="87"/>
      <c r="H1332" s="87"/>
      <c r="I1332" s="89"/>
    </row>
    <row r="1333" spans="1:9">
      <c r="A1333" s="21"/>
      <c r="B1333"/>
      <c r="F1333" s="87"/>
      <c r="H1333" s="87"/>
      <c r="I1333" s="89"/>
    </row>
    <row r="1334" spans="1:9">
      <c r="A1334" s="21"/>
      <c r="B1334"/>
      <c r="F1334" s="87"/>
      <c r="H1334" s="87"/>
      <c r="I1334" s="89"/>
    </row>
    <row r="1335" spans="1:9">
      <c r="A1335" s="21"/>
      <c r="B1335"/>
      <c r="F1335" s="87"/>
      <c r="H1335" s="87"/>
      <c r="I1335" s="89"/>
    </row>
    <row r="1336" spans="1:9">
      <c r="A1336" s="21"/>
      <c r="B1336"/>
      <c r="F1336" s="87"/>
      <c r="H1336" s="87"/>
      <c r="I1336" s="89"/>
    </row>
    <row r="1337" spans="1:9">
      <c r="A1337" s="21"/>
      <c r="B1337"/>
      <c r="F1337" s="87"/>
      <c r="H1337" s="87"/>
      <c r="I1337" s="89"/>
    </row>
    <row r="1338" spans="1:9">
      <c r="A1338" s="21"/>
      <c r="B1338"/>
      <c r="F1338" s="87"/>
      <c r="H1338" s="87"/>
      <c r="I1338" s="89"/>
    </row>
    <row r="1339" spans="1:9">
      <c r="A1339" s="21"/>
      <c r="B1339"/>
      <c r="F1339" s="87"/>
      <c r="H1339" s="87"/>
      <c r="I1339" s="89"/>
    </row>
    <row r="1340" spans="1:9">
      <c r="A1340" s="21"/>
      <c r="B1340"/>
      <c r="F1340" s="87"/>
      <c r="H1340" s="87"/>
      <c r="I1340" s="89"/>
    </row>
    <row r="1341" spans="1:9">
      <c r="A1341" s="21"/>
      <c r="B1341"/>
      <c r="F1341" s="87"/>
      <c r="H1341" s="87"/>
      <c r="I1341" s="89"/>
    </row>
    <row r="1342" spans="1:9">
      <c r="A1342" s="21"/>
      <c r="B1342"/>
      <c r="F1342" s="87"/>
      <c r="H1342" s="87"/>
      <c r="I1342" s="89"/>
    </row>
    <row r="1343" spans="1:9">
      <c r="A1343" s="21"/>
      <c r="B1343"/>
      <c r="F1343" s="87"/>
      <c r="H1343" s="87"/>
      <c r="I1343" s="89"/>
    </row>
    <row r="1344" spans="1:9">
      <c r="A1344" s="21"/>
      <c r="B1344"/>
      <c r="F1344" s="87"/>
      <c r="H1344" s="87"/>
      <c r="I1344" s="89"/>
    </row>
    <row r="1345" spans="1:9">
      <c r="A1345" s="21"/>
      <c r="B1345"/>
      <c r="F1345" s="87"/>
      <c r="H1345" s="87"/>
      <c r="I1345" s="89"/>
    </row>
    <row r="1346" spans="1:9">
      <c r="A1346" s="21"/>
      <c r="B1346"/>
      <c r="F1346" s="87"/>
      <c r="H1346" s="87"/>
      <c r="I1346" s="89"/>
    </row>
    <row r="1347" spans="1:9">
      <c r="A1347" s="21"/>
      <c r="B1347"/>
      <c r="F1347" s="87"/>
      <c r="H1347" s="87"/>
      <c r="I1347" s="89"/>
    </row>
    <row r="1348" spans="1:9">
      <c r="A1348" s="21"/>
      <c r="B1348"/>
      <c r="F1348" s="87"/>
      <c r="H1348" s="87"/>
      <c r="I1348" s="89"/>
    </row>
    <row r="1349" spans="1:9">
      <c r="A1349" s="21"/>
      <c r="B1349"/>
      <c r="F1349" s="87"/>
      <c r="H1349" s="87"/>
      <c r="I1349" s="89"/>
    </row>
    <row r="1350" spans="1:9">
      <c r="A1350" s="21"/>
      <c r="B1350"/>
      <c r="F1350" s="87"/>
      <c r="H1350" s="87"/>
      <c r="I1350" s="89"/>
    </row>
    <row r="1351" spans="1:9">
      <c r="A1351" s="21"/>
      <c r="B1351"/>
      <c r="F1351" s="87"/>
      <c r="H1351" s="87"/>
      <c r="I1351" s="89"/>
    </row>
    <row r="1352" spans="1:9">
      <c r="A1352" s="21"/>
      <c r="B1352"/>
      <c r="F1352" s="87"/>
      <c r="H1352" s="87"/>
      <c r="I1352" s="89"/>
    </row>
    <row r="1353" spans="1:9">
      <c r="A1353" s="21"/>
      <c r="B1353"/>
      <c r="F1353" s="87"/>
      <c r="H1353" s="87"/>
      <c r="I1353" s="89"/>
    </row>
    <row r="1354" spans="1:9">
      <c r="A1354" s="21"/>
      <c r="B1354"/>
      <c r="F1354" s="87"/>
      <c r="H1354" s="87"/>
      <c r="I1354" s="89"/>
    </row>
    <row r="1355" spans="1:9">
      <c r="A1355" s="21"/>
      <c r="B1355"/>
      <c r="F1355" s="87"/>
      <c r="H1355" s="87"/>
      <c r="I1355" s="89"/>
    </row>
    <row r="1356" spans="1:9">
      <c r="A1356" s="21"/>
      <c r="B1356"/>
      <c r="F1356" s="87"/>
      <c r="H1356" s="87"/>
      <c r="I1356" s="89"/>
    </row>
    <row r="1357" spans="1:9">
      <c r="A1357" s="21"/>
      <c r="B1357"/>
      <c r="F1357" s="87"/>
      <c r="H1357" s="87"/>
      <c r="I1357" s="89"/>
    </row>
    <row r="1358" spans="1:9">
      <c r="A1358" s="21"/>
      <c r="B1358"/>
      <c r="F1358" s="87"/>
      <c r="H1358" s="87"/>
      <c r="I1358" s="89"/>
    </row>
    <row r="1359" spans="1:9">
      <c r="A1359" s="21"/>
      <c r="B1359"/>
      <c r="F1359" s="87"/>
      <c r="H1359" s="87"/>
      <c r="I1359" s="89"/>
    </row>
    <row r="1360" spans="1:9">
      <c r="A1360" s="21"/>
      <c r="B1360"/>
      <c r="F1360" s="87"/>
      <c r="H1360" s="87"/>
      <c r="I1360" s="89"/>
    </row>
    <row r="1361" spans="1:9">
      <c r="A1361" s="21"/>
      <c r="B1361"/>
      <c r="F1361" s="87"/>
      <c r="H1361" s="87"/>
      <c r="I1361" s="89"/>
    </row>
    <row r="1362" spans="1:9">
      <c r="A1362" s="21"/>
      <c r="B1362"/>
      <c r="F1362" s="87"/>
      <c r="H1362" s="87"/>
      <c r="I1362" s="89"/>
    </row>
    <row r="1363" spans="1:9">
      <c r="A1363" s="21"/>
      <c r="B1363"/>
      <c r="F1363" s="87"/>
      <c r="H1363" s="87"/>
      <c r="I1363" s="89"/>
    </row>
    <row r="1364" spans="1:9">
      <c r="A1364" s="21"/>
      <c r="B1364"/>
      <c r="F1364" s="87"/>
      <c r="H1364" s="87"/>
      <c r="I1364" s="89"/>
    </row>
    <row r="1365" spans="1:9">
      <c r="A1365" s="21"/>
      <c r="B1365"/>
      <c r="F1365" s="87"/>
      <c r="H1365" s="87"/>
      <c r="I1365" s="89"/>
    </row>
    <row r="1366" spans="1:9">
      <c r="A1366" s="21"/>
      <c r="B1366"/>
      <c r="F1366" s="87"/>
      <c r="H1366" s="87"/>
      <c r="I1366" s="89"/>
    </row>
    <row r="1367" spans="1:9">
      <c r="A1367" s="21"/>
      <c r="B1367"/>
      <c r="F1367" s="87"/>
      <c r="H1367" s="87"/>
      <c r="I1367" s="89"/>
    </row>
    <row r="1368" spans="1:9">
      <c r="A1368" s="21"/>
      <c r="B1368"/>
      <c r="F1368" s="87"/>
      <c r="H1368" s="87"/>
      <c r="I1368" s="89"/>
    </row>
    <row r="1369" spans="1:9">
      <c r="A1369" s="21"/>
      <c r="B1369"/>
      <c r="F1369" s="87"/>
      <c r="H1369" s="87"/>
      <c r="I1369" s="89"/>
    </row>
    <row r="1370" spans="1:9">
      <c r="A1370" s="21"/>
      <c r="B1370"/>
      <c r="F1370" s="87"/>
      <c r="H1370" s="87"/>
      <c r="I1370" s="89"/>
    </row>
    <row r="1371" spans="1:9">
      <c r="A1371" s="21"/>
      <c r="B1371"/>
      <c r="F1371" s="87"/>
      <c r="H1371" s="87"/>
      <c r="I1371" s="89"/>
    </row>
    <row r="1372" spans="1:9">
      <c r="A1372" s="21"/>
      <c r="B1372"/>
      <c r="F1372" s="87"/>
      <c r="H1372" s="87"/>
      <c r="I1372" s="89"/>
    </row>
    <row r="1373" spans="1:9">
      <c r="A1373" s="21"/>
      <c r="B1373"/>
      <c r="F1373" s="87"/>
      <c r="H1373" s="87"/>
      <c r="I1373" s="89"/>
    </row>
    <row r="1374" spans="1:9">
      <c r="A1374" s="21"/>
      <c r="B1374"/>
      <c r="F1374" s="87"/>
      <c r="H1374" s="87"/>
      <c r="I1374" s="89"/>
    </row>
    <row r="1375" spans="1:9">
      <c r="A1375" s="21"/>
      <c r="B1375"/>
      <c r="F1375" s="87"/>
      <c r="H1375" s="87"/>
      <c r="I1375" s="89"/>
    </row>
    <row r="1376" spans="1:9">
      <c r="A1376" s="21"/>
      <c r="B1376"/>
      <c r="F1376" s="87"/>
      <c r="H1376" s="87"/>
      <c r="I1376" s="89"/>
    </row>
    <row r="1377" spans="1:9">
      <c r="A1377" s="21"/>
      <c r="B1377"/>
      <c r="F1377" s="87"/>
      <c r="H1377" s="87"/>
      <c r="I1377" s="89"/>
    </row>
    <row r="1378" spans="1:9">
      <c r="A1378" s="21"/>
      <c r="B1378"/>
      <c r="F1378" s="87"/>
      <c r="H1378" s="87"/>
      <c r="I1378" s="89"/>
    </row>
    <row r="1379" spans="1:9">
      <c r="A1379" s="21"/>
      <c r="B1379"/>
      <c r="F1379" s="87"/>
      <c r="H1379" s="87"/>
      <c r="I1379" s="89"/>
    </row>
    <row r="1380" spans="1:9">
      <c r="A1380" s="21"/>
      <c r="B1380"/>
      <c r="F1380" s="87"/>
      <c r="H1380" s="87"/>
      <c r="I1380" s="89"/>
    </row>
    <row r="1381" spans="1:9">
      <c r="A1381" s="21"/>
      <c r="B1381"/>
      <c r="F1381" s="87"/>
      <c r="H1381" s="87"/>
      <c r="I1381" s="89"/>
    </row>
    <row r="1382" spans="1:9">
      <c r="A1382" s="21"/>
      <c r="B1382"/>
      <c r="F1382" s="87"/>
      <c r="H1382" s="87"/>
      <c r="I1382" s="89"/>
    </row>
    <row r="1383" spans="1:9">
      <c r="A1383" s="21"/>
      <c r="B1383"/>
      <c r="F1383" s="87"/>
      <c r="H1383" s="87"/>
      <c r="I1383" s="89"/>
    </row>
    <row r="1384" spans="1:9">
      <c r="A1384" s="21"/>
      <c r="B1384"/>
      <c r="F1384" s="87"/>
      <c r="H1384" s="87"/>
      <c r="I1384" s="89"/>
    </row>
    <row r="1385" spans="1:9">
      <c r="A1385" s="21"/>
      <c r="B1385"/>
      <c r="F1385" s="87"/>
      <c r="H1385" s="87"/>
      <c r="I1385" s="89"/>
    </row>
    <row r="1386" spans="1:9">
      <c r="A1386" s="21"/>
      <c r="B1386"/>
      <c r="F1386" s="87"/>
      <c r="H1386" s="87"/>
      <c r="I1386" s="89"/>
    </row>
    <row r="1387" spans="1:9">
      <c r="A1387" s="21"/>
      <c r="B1387"/>
      <c r="F1387" s="87"/>
      <c r="H1387" s="87"/>
      <c r="I1387" s="89"/>
    </row>
    <row r="1388" spans="1:9">
      <c r="A1388" s="21"/>
      <c r="B1388"/>
      <c r="F1388" s="87"/>
      <c r="H1388" s="87"/>
      <c r="I1388" s="89"/>
    </row>
    <row r="1389" spans="1:9">
      <c r="A1389" s="21"/>
      <c r="B1389"/>
      <c r="F1389" s="87"/>
      <c r="H1389" s="87"/>
      <c r="I1389" s="89"/>
    </row>
    <row r="1390" spans="1:9">
      <c r="A1390" s="21"/>
      <c r="B1390"/>
      <c r="F1390" s="87"/>
      <c r="H1390" s="87"/>
      <c r="I1390" s="89"/>
    </row>
    <row r="1391" spans="1:9">
      <c r="A1391" s="21"/>
      <c r="B1391"/>
      <c r="F1391" s="87"/>
      <c r="H1391" s="87"/>
      <c r="I1391" s="89"/>
    </row>
    <row r="1392" spans="1:9">
      <c r="A1392" s="21"/>
      <c r="B1392"/>
      <c r="F1392" s="87"/>
      <c r="H1392" s="87"/>
      <c r="I1392" s="89"/>
    </row>
    <row r="1393" spans="1:9">
      <c r="A1393" s="21"/>
      <c r="B1393"/>
      <c r="F1393" s="87"/>
      <c r="H1393" s="87"/>
      <c r="I1393" s="89"/>
    </row>
    <row r="1394" spans="1:9">
      <c r="A1394" s="21"/>
      <c r="B1394"/>
      <c r="F1394" s="87"/>
      <c r="H1394" s="87"/>
      <c r="I1394" s="89"/>
    </row>
    <row r="1395" spans="1:9">
      <c r="A1395" s="21"/>
      <c r="B1395"/>
      <c r="F1395" s="87"/>
      <c r="H1395" s="87"/>
      <c r="I1395" s="89"/>
    </row>
    <row r="1396" spans="1:9">
      <c r="A1396" s="21"/>
      <c r="B1396"/>
      <c r="F1396" s="87"/>
      <c r="H1396" s="87"/>
      <c r="I1396" s="89"/>
    </row>
    <row r="1397" spans="1:9">
      <c r="A1397" s="21"/>
      <c r="B1397"/>
      <c r="F1397" s="87"/>
      <c r="H1397" s="87"/>
      <c r="I1397" s="89"/>
    </row>
    <row r="1398" spans="1:9">
      <c r="A1398" s="21"/>
      <c r="B1398"/>
      <c r="F1398" s="87"/>
      <c r="H1398" s="87"/>
      <c r="I1398" s="89"/>
    </row>
    <row r="1399" spans="1:9">
      <c r="A1399" s="21"/>
      <c r="B1399"/>
      <c r="F1399" s="87"/>
      <c r="H1399" s="87"/>
      <c r="I1399" s="89"/>
    </row>
    <row r="1400" spans="1:9">
      <c r="A1400" s="21"/>
      <c r="B1400"/>
      <c r="F1400" s="87"/>
      <c r="H1400" s="87"/>
      <c r="I1400" s="89"/>
    </row>
    <row r="1401" spans="1:9">
      <c r="A1401" s="21"/>
      <c r="B1401"/>
      <c r="F1401" s="87"/>
      <c r="H1401" s="87"/>
      <c r="I1401" s="89"/>
    </row>
    <row r="1402" spans="1:9">
      <c r="A1402" s="21"/>
      <c r="B1402"/>
      <c r="F1402" s="87"/>
      <c r="H1402" s="87"/>
      <c r="I1402" s="89"/>
    </row>
    <row r="1403" spans="1:9">
      <c r="A1403" s="21"/>
      <c r="B1403"/>
      <c r="F1403" s="87"/>
      <c r="H1403" s="87"/>
      <c r="I1403" s="89"/>
    </row>
    <row r="1404" spans="1:9">
      <c r="A1404" s="21"/>
      <c r="B1404"/>
      <c r="F1404" s="87"/>
      <c r="H1404" s="87"/>
      <c r="I1404" s="89"/>
    </row>
    <row r="1405" spans="1:9">
      <c r="A1405" s="21"/>
      <c r="B1405"/>
      <c r="F1405" s="87"/>
      <c r="H1405" s="87"/>
      <c r="I1405" s="89"/>
    </row>
    <row r="1406" spans="1:9">
      <c r="A1406" s="21"/>
      <c r="B1406"/>
      <c r="F1406" s="87"/>
      <c r="H1406" s="87"/>
      <c r="I1406" s="89"/>
    </row>
    <row r="1407" spans="1:9">
      <c r="A1407" s="21"/>
      <c r="B1407"/>
      <c r="F1407" s="87"/>
      <c r="H1407" s="87"/>
      <c r="I1407" s="89"/>
    </row>
    <row r="1408" spans="1:9">
      <c r="A1408" s="21"/>
      <c r="B1408"/>
      <c r="F1408" s="87"/>
      <c r="H1408" s="87"/>
      <c r="I1408" s="89"/>
    </row>
    <row r="1409" spans="1:9">
      <c r="A1409" s="21"/>
      <c r="B1409"/>
      <c r="F1409" s="87"/>
      <c r="H1409" s="87"/>
      <c r="I1409" s="89"/>
    </row>
    <row r="1410" spans="1:9">
      <c r="A1410" s="21"/>
      <c r="B1410"/>
      <c r="F1410" s="87"/>
      <c r="H1410" s="87"/>
      <c r="I1410" s="89"/>
    </row>
    <row r="1411" spans="1:9">
      <c r="A1411" s="21"/>
      <c r="B1411"/>
      <c r="F1411" s="87"/>
      <c r="H1411" s="87"/>
      <c r="I1411" s="89"/>
    </row>
    <row r="1412" spans="1:9">
      <c r="A1412" s="21"/>
      <c r="B1412"/>
      <c r="F1412" s="87"/>
      <c r="H1412" s="87"/>
      <c r="I1412" s="89"/>
    </row>
    <row r="1413" spans="1:9">
      <c r="A1413" s="21"/>
      <c r="B1413"/>
      <c r="F1413" s="87"/>
      <c r="H1413" s="87"/>
      <c r="I1413" s="89"/>
    </row>
    <row r="1414" spans="1:9">
      <c r="A1414" s="21"/>
      <c r="B1414"/>
      <c r="F1414" s="87"/>
      <c r="H1414" s="87"/>
      <c r="I1414" s="89"/>
    </row>
    <row r="1415" spans="1:9">
      <c r="A1415" s="21"/>
      <c r="B1415"/>
      <c r="F1415" s="87"/>
      <c r="H1415" s="87"/>
      <c r="I1415" s="89"/>
    </row>
    <row r="1416" spans="1:9">
      <c r="A1416" s="21"/>
      <c r="B1416"/>
      <c r="F1416" s="87"/>
      <c r="H1416" s="87"/>
      <c r="I1416" s="89"/>
    </row>
    <row r="1417" spans="1:9">
      <c r="A1417" s="21"/>
      <c r="B1417"/>
      <c r="F1417" s="87"/>
      <c r="H1417" s="87"/>
      <c r="I1417" s="89"/>
    </row>
    <row r="1418" spans="1:9">
      <c r="A1418" s="21"/>
      <c r="B1418"/>
      <c r="F1418" s="87"/>
      <c r="H1418" s="87"/>
      <c r="I1418" s="89"/>
    </row>
    <row r="1419" spans="1:9">
      <c r="A1419" s="21"/>
      <c r="B1419"/>
      <c r="F1419" s="87"/>
      <c r="H1419" s="87"/>
      <c r="I1419" s="89"/>
    </row>
    <row r="1420" spans="1:9">
      <c r="A1420" s="21"/>
      <c r="B1420"/>
      <c r="F1420" s="87"/>
      <c r="H1420" s="87"/>
      <c r="I1420" s="89"/>
    </row>
    <row r="1421" spans="1:9">
      <c r="A1421" s="21"/>
      <c r="B1421"/>
      <c r="F1421" s="87"/>
      <c r="H1421" s="87"/>
      <c r="I1421" s="89"/>
    </row>
    <row r="1422" spans="1:9">
      <c r="A1422" s="21"/>
      <c r="B1422"/>
      <c r="F1422" s="87"/>
      <c r="H1422" s="87"/>
      <c r="I1422" s="89"/>
    </row>
    <row r="1423" spans="1:9">
      <c r="A1423" s="21"/>
      <c r="B1423"/>
      <c r="F1423" s="87"/>
      <c r="H1423" s="87"/>
      <c r="I1423" s="89"/>
    </row>
    <row r="1424" spans="1:9">
      <c r="A1424" s="21"/>
      <c r="B1424"/>
      <c r="F1424" s="87"/>
      <c r="H1424" s="87"/>
      <c r="I1424" s="89"/>
    </row>
    <row r="1425" spans="1:9">
      <c r="A1425" s="21"/>
      <c r="B1425"/>
      <c r="F1425" s="87"/>
      <c r="H1425" s="87"/>
      <c r="I1425" s="89"/>
    </row>
    <row r="1426" spans="1:9">
      <c r="A1426" s="21"/>
      <c r="B1426"/>
      <c r="F1426" s="87"/>
      <c r="H1426" s="87"/>
      <c r="I1426" s="89"/>
    </row>
    <row r="1427" spans="1:9">
      <c r="A1427" s="21"/>
      <c r="B1427"/>
      <c r="F1427" s="87"/>
      <c r="H1427" s="87"/>
      <c r="I1427" s="89"/>
    </row>
    <row r="1428" spans="1:9">
      <c r="A1428" s="21"/>
      <c r="B1428"/>
      <c r="F1428" s="87"/>
      <c r="H1428" s="87"/>
      <c r="I1428" s="89"/>
    </row>
    <row r="1429" spans="1:9">
      <c r="A1429" s="21"/>
      <c r="B1429"/>
      <c r="F1429" s="87"/>
      <c r="H1429" s="87"/>
      <c r="I1429" s="89"/>
    </row>
    <row r="1430" spans="1:9">
      <c r="A1430" s="21"/>
      <c r="B1430"/>
      <c r="F1430" s="87"/>
      <c r="H1430" s="87"/>
      <c r="I1430" s="89"/>
    </row>
    <row r="1431" spans="1:9">
      <c r="A1431" s="21"/>
      <c r="B1431"/>
      <c r="F1431" s="87"/>
      <c r="H1431" s="87"/>
      <c r="I1431" s="89"/>
    </row>
    <row r="1432" spans="1:9">
      <c r="A1432" s="21"/>
      <c r="B1432"/>
      <c r="F1432" s="87"/>
      <c r="H1432" s="87"/>
      <c r="I1432" s="89"/>
    </row>
    <row r="1433" spans="1:9">
      <c r="A1433" s="21"/>
      <c r="B1433"/>
      <c r="F1433" s="87"/>
      <c r="H1433" s="87"/>
      <c r="I1433" s="89"/>
    </row>
    <row r="1434" spans="1:9">
      <c r="A1434" s="21"/>
      <c r="B1434"/>
      <c r="F1434" s="87"/>
      <c r="H1434" s="87"/>
      <c r="I1434" s="89"/>
    </row>
    <row r="1435" spans="1:9">
      <c r="A1435" s="21"/>
      <c r="B1435"/>
      <c r="F1435" s="87"/>
      <c r="H1435" s="87"/>
      <c r="I1435" s="89"/>
    </row>
    <row r="1436" spans="1:9">
      <c r="A1436" s="21"/>
      <c r="B1436"/>
      <c r="F1436" s="87"/>
      <c r="H1436" s="87"/>
      <c r="I1436" s="89"/>
    </row>
    <row r="1437" spans="1:9">
      <c r="A1437" s="21"/>
      <c r="B1437"/>
      <c r="F1437" s="87"/>
      <c r="H1437" s="87"/>
      <c r="I1437" s="89"/>
    </row>
    <row r="1438" spans="1:9">
      <c r="A1438" s="21"/>
      <c r="B1438"/>
      <c r="F1438" s="87"/>
      <c r="H1438" s="87"/>
      <c r="I1438" s="89"/>
    </row>
    <row r="1439" spans="1:9">
      <c r="A1439" s="21"/>
      <c r="B1439"/>
      <c r="F1439" s="87"/>
      <c r="H1439" s="87"/>
      <c r="I1439" s="89"/>
    </row>
    <row r="1440" spans="1:9">
      <c r="A1440" s="21"/>
      <c r="B1440"/>
      <c r="F1440" s="87"/>
      <c r="H1440" s="87"/>
      <c r="I1440" s="89"/>
    </row>
    <row r="1441" spans="1:9">
      <c r="A1441" s="21"/>
      <c r="B1441"/>
      <c r="F1441" s="87"/>
      <c r="H1441" s="87"/>
      <c r="I1441" s="89"/>
    </row>
    <row r="1442" spans="1:9">
      <c r="A1442" s="21"/>
      <c r="B1442"/>
      <c r="F1442" s="87"/>
      <c r="H1442" s="87"/>
      <c r="I1442" s="89"/>
    </row>
    <row r="1443" spans="1:9">
      <c r="A1443" s="21"/>
      <c r="B1443"/>
      <c r="F1443" s="87"/>
      <c r="H1443" s="87"/>
      <c r="I1443" s="89"/>
    </row>
    <row r="1444" spans="1:9">
      <c r="A1444" s="21"/>
      <c r="B1444"/>
      <c r="F1444" s="87"/>
      <c r="H1444" s="87"/>
      <c r="I1444" s="89"/>
    </row>
    <row r="1445" spans="1:9">
      <c r="A1445" s="21"/>
      <c r="B1445"/>
      <c r="F1445" s="87"/>
      <c r="H1445" s="87"/>
      <c r="I1445" s="89"/>
    </row>
    <row r="1446" spans="1:9">
      <c r="A1446" s="21"/>
      <c r="B1446"/>
      <c r="F1446" s="87"/>
      <c r="H1446" s="87"/>
      <c r="I1446" s="89"/>
    </row>
    <row r="1447" spans="1:9">
      <c r="A1447" s="21"/>
      <c r="B1447"/>
      <c r="F1447" s="87"/>
      <c r="H1447" s="87"/>
      <c r="I1447" s="89"/>
    </row>
    <row r="1448" spans="1:9">
      <c r="A1448" s="21"/>
      <c r="B1448"/>
      <c r="F1448" s="87"/>
      <c r="H1448" s="87"/>
      <c r="I1448" s="89"/>
    </row>
    <row r="1449" spans="1:9">
      <c r="A1449" s="21"/>
      <c r="B1449"/>
      <c r="F1449" s="87"/>
      <c r="H1449" s="87"/>
      <c r="I1449" s="89"/>
    </row>
    <row r="1450" spans="1:9">
      <c r="A1450" s="21"/>
      <c r="B1450"/>
      <c r="F1450" s="87"/>
      <c r="H1450" s="87"/>
      <c r="I1450" s="89"/>
    </row>
    <row r="1451" spans="1:9">
      <c r="A1451" s="21"/>
      <c r="B1451"/>
      <c r="F1451" s="87"/>
      <c r="H1451" s="87"/>
      <c r="I1451" s="89"/>
    </row>
    <row r="1452" spans="1:9">
      <c r="A1452" s="21"/>
      <c r="B1452"/>
      <c r="F1452" s="87"/>
      <c r="H1452" s="87"/>
      <c r="I1452" s="89"/>
    </row>
    <row r="1453" spans="1:9">
      <c r="A1453" s="21"/>
      <c r="B1453"/>
      <c r="F1453" s="87"/>
      <c r="H1453" s="87"/>
      <c r="I1453" s="89"/>
    </row>
    <row r="1454" spans="1:9">
      <c r="A1454" s="21"/>
      <c r="B1454"/>
      <c r="F1454" s="87"/>
      <c r="H1454" s="87"/>
      <c r="I1454" s="89"/>
    </row>
    <row r="1455" spans="1:9">
      <c r="A1455" s="21"/>
      <c r="B1455"/>
      <c r="F1455" s="87"/>
      <c r="H1455" s="87"/>
      <c r="I1455" s="89"/>
    </row>
    <row r="1456" spans="1:9">
      <c r="A1456" s="21"/>
      <c r="B1456"/>
      <c r="F1456" s="87"/>
      <c r="H1456" s="87"/>
      <c r="I1456" s="89"/>
    </row>
    <row r="1457" spans="1:9">
      <c r="A1457" s="21"/>
      <c r="B1457"/>
      <c r="F1457" s="87"/>
      <c r="H1457" s="87"/>
      <c r="I1457" s="89"/>
    </row>
    <row r="1458" spans="1:9">
      <c r="A1458" s="21"/>
      <c r="B1458"/>
      <c r="F1458" s="87"/>
      <c r="H1458" s="87"/>
      <c r="I1458" s="89"/>
    </row>
    <row r="1459" spans="1:9">
      <c r="A1459" s="21"/>
      <c r="B1459"/>
      <c r="F1459" s="87"/>
      <c r="H1459" s="87"/>
      <c r="I1459" s="89"/>
    </row>
    <row r="1460" spans="1:9">
      <c r="A1460" s="21"/>
      <c r="B1460"/>
      <c r="F1460" s="87"/>
      <c r="H1460" s="87"/>
      <c r="I1460" s="89"/>
    </row>
    <row r="1461" spans="1:9">
      <c r="A1461" s="21"/>
      <c r="B1461"/>
      <c r="F1461" s="87"/>
      <c r="H1461" s="87"/>
      <c r="I1461" s="89"/>
    </row>
    <row r="1462" spans="1:9">
      <c r="A1462" s="21"/>
      <c r="B1462"/>
      <c r="F1462" s="87"/>
      <c r="H1462" s="87"/>
      <c r="I1462" s="89"/>
    </row>
    <row r="1463" spans="1:9">
      <c r="A1463" s="21"/>
      <c r="B1463"/>
      <c r="F1463" s="87"/>
      <c r="H1463" s="87"/>
      <c r="I1463" s="89"/>
    </row>
    <row r="1464" spans="1:9">
      <c r="A1464" s="21"/>
      <c r="B1464"/>
      <c r="F1464" s="87"/>
      <c r="H1464" s="87"/>
      <c r="I1464" s="89"/>
    </row>
    <row r="1465" spans="1:9">
      <c r="A1465" s="21"/>
      <c r="B1465"/>
      <c r="F1465" s="87"/>
      <c r="H1465" s="87"/>
      <c r="I1465" s="89"/>
    </row>
    <row r="1466" spans="1:9">
      <c r="A1466" s="21"/>
      <c r="B1466"/>
      <c r="F1466" s="87"/>
      <c r="H1466" s="87"/>
      <c r="I1466" s="89"/>
    </row>
    <row r="1467" spans="1:9">
      <c r="A1467" s="21"/>
      <c r="B1467"/>
      <c r="F1467" s="87"/>
      <c r="H1467" s="87"/>
      <c r="I1467" s="89"/>
    </row>
    <row r="1468" spans="1:9">
      <c r="A1468" s="21"/>
      <c r="B1468"/>
      <c r="F1468" s="87"/>
      <c r="H1468" s="87"/>
      <c r="I1468" s="89"/>
    </row>
    <row r="1469" spans="1:9">
      <c r="A1469" s="21"/>
      <c r="B1469"/>
      <c r="F1469" s="87"/>
      <c r="H1469" s="87"/>
      <c r="I1469" s="89"/>
    </row>
    <row r="1470" spans="1:9">
      <c r="A1470" s="21"/>
      <c r="B1470"/>
      <c r="F1470" s="87"/>
      <c r="H1470" s="87"/>
      <c r="I1470" s="89"/>
    </row>
    <row r="1471" spans="1:9">
      <c r="A1471" s="21"/>
      <c r="B1471"/>
      <c r="F1471" s="87"/>
      <c r="H1471" s="87"/>
      <c r="I1471" s="89"/>
    </row>
    <row r="1472" spans="1:9">
      <c r="A1472" s="21"/>
      <c r="B1472"/>
      <c r="F1472" s="87"/>
      <c r="H1472" s="87"/>
      <c r="I1472" s="89"/>
    </row>
    <row r="1473" spans="1:9">
      <c r="A1473" s="21"/>
      <c r="B1473"/>
      <c r="F1473" s="87"/>
      <c r="H1473" s="87"/>
      <c r="I1473" s="89"/>
    </row>
    <row r="1474" spans="1:9">
      <c r="A1474" s="21"/>
      <c r="B1474"/>
      <c r="F1474" s="87"/>
      <c r="H1474" s="87"/>
      <c r="I1474" s="89"/>
    </row>
    <row r="1475" spans="1:9">
      <c r="A1475" s="21"/>
      <c r="B1475"/>
      <c r="F1475" s="87"/>
      <c r="H1475" s="87"/>
      <c r="I1475" s="89"/>
    </row>
    <row r="1476" spans="1:9">
      <c r="A1476" s="21"/>
      <c r="B1476"/>
      <c r="F1476" s="87"/>
      <c r="H1476" s="87"/>
      <c r="I1476" s="89"/>
    </row>
    <row r="1477" spans="1:9">
      <c r="A1477" s="21"/>
      <c r="B1477"/>
      <c r="F1477" s="87"/>
      <c r="H1477" s="87"/>
      <c r="I1477" s="89"/>
    </row>
    <row r="1478" spans="1:9">
      <c r="A1478" s="21"/>
      <c r="B1478"/>
      <c r="F1478" s="87"/>
      <c r="H1478" s="87"/>
      <c r="I1478" s="89"/>
    </row>
    <row r="1479" spans="1:9">
      <c r="A1479" s="21"/>
      <c r="B1479"/>
      <c r="F1479" s="87"/>
      <c r="H1479" s="87"/>
      <c r="I1479" s="89"/>
    </row>
    <row r="1480" spans="1:9">
      <c r="A1480" s="21"/>
      <c r="B1480"/>
      <c r="F1480" s="87"/>
      <c r="H1480" s="87"/>
      <c r="I1480" s="89"/>
    </row>
    <row r="1481" spans="1:9">
      <c r="A1481" s="21"/>
      <c r="B1481"/>
      <c r="F1481" s="87"/>
      <c r="H1481" s="87"/>
      <c r="I1481" s="89"/>
    </row>
    <row r="1482" spans="1:9">
      <c r="A1482" s="21"/>
      <c r="B1482"/>
      <c r="F1482" s="87"/>
      <c r="H1482" s="87"/>
      <c r="I1482" s="89"/>
    </row>
    <row r="1483" spans="1:9">
      <c r="A1483" s="21"/>
      <c r="B1483"/>
      <c r="F1483" s="87"/>
      <c r="H1483" s="87"/>
      <c r="I1483" s="89"/>
    </row>
    <row r="1484" spans="1:9">
      <c r="A1484" s="21"/>
      <c r="B1484"/>
      <c r="F1484" s="87"/>
      <c r="H1484" s="87"/>
      <c r="I1484" s="89"/>
    </row>
    <row r="1485" spans="1:9">
      <c r="A1485" s="21"/>
      <c r="B1485"/>
      <c r="F1485" s="87"/>
      <c r="H1485" s="87"/>
      <c r="I1485" s="89"/>
    </row>
    <row r="1486" spans="1:9">
      <c r="A1486" s="21"/>
      <c r="B1486"/>
      <c r="F1486" s="87"/>
      <c r="H1486" s="87"/>
      <c r="I1486" s="89"/>
    </row>
    <row r="1487" spans="1:9">
      <c r="A1487" s="21"/>
      <c r="B1487"/>
      <c r="F1487" s="87"/>
      <c r="H1487" s="87"/>
      <c r="I1487" s="89"/>
    </row>
    <row r="1488" spans="1:9">
      <c r="A1488" s="21"/>
      <c r="B1488"/>
      <c r="F1488" s="87"/>
      <c r="H1488" s="87"/>
      <c r="I1488" s="89"/>
    </row>
    <row r="1489" spans="1:9">
      <c r="A1489" s="21"/>
      <c r="B1489"/>
      <c r="F1489" s="87"/>
      <c r="H1489" s="87"/>
      <c r="I1489" s="89"/>
    </row>
    <row r="1490" spans="1:9">
      <c r="A1490" s="21"/>
      <c r="B1490"/>
      <c r="F1490" s="87"/>
      <c r="H1490" s="87"/>
      <c r="I1490" s="89"/>
    </row>
    <row r="1491" spans="1:9">
      <c r="A1491" s="21"/>
      <c r="B1491"/>
      <c r="F1491" s="87"/>
      <c r="H1491" s="87"/>
      <c r="I1491" s="89"/>
    </row>
    <row r="1492" spans="1:9">
      <c r="A1492" s="21"/>
      <c r="B1492"/>
      <c r="F1492" s="87"/>
      <c r="H1492" s="87"/>
      <c r="I1492" s="89"/>
    </row>
    <row r="1493" spans="1:9">
      <c r="A1493" s="21"/>
      <c r="B1493"/>
      <c r="F1493" s="87"/>
      <c r="H1493" s="87"/>
      <c r="I1493" s="89"/>
    </row>
    <row r="1494" spans="1:9">
      <c r="A1494" s="21"/>
      <c r="B1494"/>
      <c r="F1494" s="87"/>
      <c r="H1494" s="87"/>
      <c r="I1494" s="89"/>
    </row>
    <row r="1495" spans="1:9">
      <c r="A1495" s="21"/>
      <c r="B1495"/>
      <c r="F1495" s="87"/>
      <c r="H1495" s="87"/>
      <c r="I1495" s="89"/>
    </row>
    <row r="1496" spans="1:9">
      <c r="A1496" s="21"/>
      <c r="B1496"/>
      <c r="F1496" s="87"/>
      <c r="H1496" s="87"/>
      <c r="I1496" s="89"/>
    </row>
    <row r="1497" spans="1:9">
      <c r="A1497" s="21"/>
      <c r="B1497"/>
      <c r="F1497" s="87"/>
      <c r="H1497" s="87"/>
      <c r="I1497" s="89"/>
    </row>
    <row r="1498" spans="1:9">
      <c r="A1498" s="21"/>
      <c r="B1498"/>
      <c r="F1498" s="87"/>
      <c r="H1498" s="87"/>
      <c r="I1498" s="89"/>
    </row>
    <row r="1499" spans="1:9">
      <c r="A1499" s="21"/>
      <c r="B1499"/>
      <c r="F1499" s="87"/>
      <c r="H1499" s="87"/>
      <c r="I1499" s="89"/>
    </row>
    <row r="1500" spans="1:9">
      <c r="A1500" s="21"/>
      <c r="B1500"/>
      <c r="F1500" s="87"/>
      <c r="H1500" s="87"/>
      <c r="I1500" s="89"/>
    </row>
    <row r="1501" spans="1:9">
      <c r="A1501" s="21"/>
      <c r="B1501"/>
      <c r="F1501" s="87"/>
      <c r="H1501" s="87"/>
      <c r="I1501" s="89"/>
    </row>
    <row r="1502" spans="1:9">
      <c r="A1502" s="21"/>
      <c r="B1502"/>
      <c r="F1502" s="87"/>
      <c r="H1502" s="87"/>
      <c r="I1502" s="89"/>
    </row>
    <row r="1503" spans="1:9">
      <c r="A1503" s="21"/>
      <c r="B1503"/>
      <c r="F1503" s="87"/>
      <c r="H1503" s="87"/>
      <c r="I1503" s="89"/>
    </row>
    <row r="1504" spans="1:9">
      <c r="A1504" s="21"/>
      <c r="B1504"/>
      <c r="F1504" s="87"/>
      <c r="H1504" s="87"/>
      <c r="I1504" s="89"/>
    </row>
    <row r="1505" spans="1:9">
      <c r="A1505" s="21"/>
      <c r="B1505"/>
      <c r="F1505" s="87"/>
      <c r="H1505" s="87"/>
      <c r="I1505" s="89"/>
    </row>
    <row r="1506" spans="1:9">
      <c r="A1506" s="21"/>
      <c r="B1506"/>
      <c r="F1506" s="87"/>
      <c r="H1506" s="87"/>
      <c r="I1506" s="89"/>
    </row>
    <row r="1507" spans="1:9">
      <c r="A1507" s="21"/>
      <c r="B1507"/>
      <c r="F1507" s="87"/>
      <c r="H1507" s="87"/>
      <c r="I1507" s="89"/>
    </row>
    <row r="1508" spans="1:9">
      <c r="A1508" s="21"/>
      <c r="B1508"/>
      <c r="F1508" s="87"/>
      <c r="H1508" s="87"/>
      <c r="I1508" s="89"/>
    </row>
    <row r="1509" spans="1:9">
      <c r="A1509" s="21"/>
      <c r="B1509"/>
      <c r="F1509" s="87"/>
      <c r="H1509" s="87"/>
      <c r="I1509" s="89"/>
    </row>
    <row r="1510" spans="1:9">
      <c r="A1510" s="21"/>
      <c r="B1510"/>
      <c r="F1510" s="87"/>
      <c r="H1510" s="87"/>
      <c r="I1510" s="89"/>
    </row>
    <row r="1511" spans="1:9">
      <c r="A1511" s="21"/>
      <c r="B1511"/>
      <c r="F1511" s="87"/>
      <c r="H1511" s="87"/>
      <c r="I1511" s="89"/>
    </row>
    <row r="1512" spans="1:9">
      <c r="A1512" s="21"/>
      <c r="B1512"/>
      <c r="F1512" s="87"/>
      <c r="H1512" s="87"/>
      <c r="I1512" s="89"/>
    </row>
    <row r="1513" spans="1:9">
      <c r="A1513" s="21"/>
      <c r="B1513"/>
      <c r="F1513" s="87"/>
      <c r="H1513" s="87"/>
      <c r="I1513" s="89"/>
    </row>
    <row r="1514" spans="1:9">
      <c r="A1514" s="21"/>
      <c r="B1514"/>
      <c r="F1514" s="87"/>
      <c r="H1514" s="87"/>
      <c r="I1514" s="89"/>
    </row>
    <row r="1515" spans="1:9">
      <c r="A1515" s="21"/>
      <c r="B1515"/>
      <c r="F1515" s="87"/>
      <c r="H1515" s="87"/>
      <c r="I1515" s="89"/>
    </row>
    <row r="1516" spans="1:9">
      <c r="A1516" s="21"/>
      <c r="B1516"/>
      <c r="F1516" s="87"/>
      <c r="H1516" s="87"/>
      <c r="I1516" s="89"/>
    </row>
    <row r="1517" spans="1:9">
      <c r="A1517" s="21"/>
      <c r="B1517"/>
      <c r="F1517" s="87"/>
      <c r="H1517" s="87"/>
      <c r="I1517" s="89"/>
    </row>
    <row r="1518" spans="1:9">
      <c r="A1518" s="21"/>
      <c r="B1518"/>
      <c r="F1518" s="87"/>
      <c r="H1518" s="87"/>
      <c r="I1518" s="89"/>
    </row>
    <row r="1519" spans="1:9">
      <c r="A1519" s="21"/>
      <c r="B1519"/>
      <c r="F1519" s="87"/>
      <c r="H1519" s="87"/>
      <c r="I1519" s="89"/>
    </row>
    <row r="1520" spans="1:9">
      <c r="A1520" s="21"/>
      <c r="B1520"/>
      <c r="F1520" s="87"/>
      <c r="H1520" s="87"/>
      <c r="I1520" s="89"/>
    </row>
    <row r="1521" spans="1:9">
      <c r="A1521" s="21"/>
      <c r="B1521"/>
      <c r="F1521" s="87"/>
      <c r="H1521" s="87"/>
      <c r="I1521" s="89"/>
    </row>
    <row r="1522" spans="1:9">
      <c r="A1522" s="21"/>
      <c r="B1522"/>
      <c r="F1522" s="87"/>
      <c r="H1522" s="87"/>
      <c r="I1522" s="89"/>
    </row>
    <row r="1523" spans="1:9">
      <c r="A1523" s="21"/>
      <c r="B1523"/>
      <c r="F1523" s="87"/>
      <c r="H1523" s="87"/>
      <c r="I1523" s="89"/>
    </row>
    <row r="1524" spans="1:9">
      <c r="A1524" s="21"/>
      <c r="B1524"/>
      <c r="F1524" s="87"/>
      <c r="H1524" s="87"/>
      <c r="I1524" s="89"/>
    </row>
    <row r="1525" spans="1:9">
      <c r="A1525" s="21"/>
      <c r="B1525"/>
      <c r="F1525" s="87"/>
      <c r="H1525" s="87"/>
      <c r="I1525" s="89"/>
    </row>
    <row r="1526" spans="1:9">
      <c r="A1526" s="21"/>
      <c r="B1526"/>
      <c r="F1526" s="87"/>
      <c r="H1526" s="87"/>
      <c r="I1526" s="89"/>
    </row>
    <row r="1527" spans="1:9">
      <c r="A1527" s="21"/>
      <c r="B1527"/>
      <c r="F1527" s="87"/>
      <c r="H1527" s="87"/>
      <c r="I1527" s="89"/>
    </row>
    <row r="1528" spans="1:9">
      <c r="A1528" s="21"/>
      <c r="B1528"/>
      <c r="F1528" s="87"/>
      <c r="H1528" s="87"/>
      <c r="I1528" s="89"/>
    </row>
    <row r="1529" spans="1:9">
      <c r="A1529" s="21"/>
      <c r="B1529"/>
      <c r="F1529" s="87"/>
      <c r="H1529" s="87"/>
      <c r="I1529" s="89"/>
    </row>
    <row r="1530" spans="1:9">
      <c r="A1530" s="21"/>
      <c r="B1530"/>
      <c r="F1530" s="87"/>
      <c r="H1530" s="87"/>
      <c r="I1530" s="89"/>
    </row>
    <row r="1531" spans="1:9">
      <c r="A1531" s="21"/>
      <c r="B1531"/>
      <c r="F1531" s="87"/>
      <c r="H1531" s="87"/>
      <c r="I1531" s="89"/>
    </row>
    <row r="1532" spans="1:9">
      <c r="A1532" s="21"/>
      <c r="B1532"/>
      <c r="F1532" s="87"/>
      <c r="H1532" s="87"/>
      <c r="I1532" s="89"/>
    </row>
    <row r="1533" spans="1:9">
      <c r="A1533" s="21"/>
      <c r="B1533"/>
      <c r="F1533" s="87"/>
      <c r="H1533" s="87"/>
      <c r="I1533" s="89"/>
    </row>
    <row r="1534" spans="1:9">
      <c r="A1534" s="21"/>
      <c r="B1534"/>
      <c r="F1534" s="87"/>
      <c r="H1534" s="87"/>
      <c r="I1534" s="89"/>
    </row>
    <row r="1535" spans="1:9">
      <c r="A1535" s="21"/>
      <c r="B1535"/>
      <c r="F1535" s="87"/>
      <c r="H1535" s="87"/>
      <c r="I1535" s="89"/>
    </row>
    <row r="1536" spans="1:9">
      <c r="A1536" s="21"/>
      <c r="B1536"/>
      <c r="F1536" s="87"/>
      <c r="H1536" s="87"/>
      <c r="I1536" s="89"/>
    </row>
    <row r="1537" spans="1:9">
      <c r="A1537" s="21"/>
      <c r="B1537"/>
      <c r="F1537" s="87"/>
      <c r="H1537" s="87"/>
      <c r="I1537" s="89"/>
    </row>
    <row r="1538" spans="1:9">
      <c r="A1538" s="21"/>
      <c r="B1538"/>
      <c r="F1538" s="87"/>
      <c r="H1538" s="87"/>
      <c r="I1538" s="89"/>
    </row>
    <row r="1539" spans="1:9">
      <c r="A1539" s="21"/>
      <c r="B1539"/>
      <c r="F1539" s="87"/>
      <c r="H1539" s="87"/>
      <c r="I1539" s="89"/>
    </row>
    <row r="1540" spans="1:9">
      <c r="A1540" s="21"/>
      <c r="B1540"/>
      <c r="F1540" s="87"/>
      <c r="H1540" s="87"/>
      <c r="I1540" s="89"/>
    </row>
    <row r="1541" spans="1:9">
      <c r="A1541" s="21"/>
      <c r="B1541"/>
      <c r="F1541" s="87"/>
      <c r="H1541" s="87"/>
      <c r="I1541" s="89"/>
    </row>
    <row r="1542" spans="1:9">
      <c r="A1542" s="21"/>
      <c r="B1542"/>
      <c r="F1542" s="87"/>
      <c r="H1542" s="87"/>
      <c r="I1542" s="89"/>
    </row>
    <row r="1543" spans="1:9">
      <c r="A1543" s="21"/>
      <c r="B1543"/>
      <c r="F1543" s="87"/>
      <c r="H1543" s="87"/>
      <c r="I1543" s="89"/>
    </row>
    <row r="1544" spans="1:9">
      <c r="A1544" s="21"/>
      <c r="B1544"/>
      <c r="F1544" s="87"/>
      <c r="H1544" s="87"/>
      <c r="I1544" s="89"/>
    </row>
    <row r="1545" spans="1:9">
      <c r="A1545" s="21"/>
      <c r="B1545"/>
      <c r="F1545" s="87"/>
      <c r="H1545" s="87"/>
      <c r="I1545" s="89"/>
    </row>
    <row r="1546" spans="1:9">
      <c r="A1546" s="21"/>
      <c r="B1546"/>
      <c r="F1546" s="87"/>
      <c r="H1546" s="87"/>
      <c r="I1546" s="89"/>
    </row>
    <row r="1547" spans="1:9">
      <c r="A1547" s="21"/>
      <c r="B1547"/>
      <c r="F1547" s="87"/>
      <c r="H1547" s="87"/>
      <c r="I1547" s="89"/>
    </row>
    <row r="1548" spans="1:9">
      <c r="A1548" s="21"/>
      <c r="B1548"/>
      <c r="F1548" s="87"/>
      <c r="H1548" s="87"/>
      <c r="I1548" s="89"/>
    </row>
    <row r="1549" spans="1:9">
      <c r="A1549" s="21"/>
      <c r="B1549"/>
      <c r="F1549" s="87"/>
      <c r="H1549" s="87"/>
      <c r="I1549" s="89"/>
    </row>
    <row r="1550" spans="1:9">
      <c r="A1550" s="21"/>
      <c r="B1550"/>
      <c r="F1550" s="87"/>
      <c r="H1550" s="87"/>
      <c r="I1550" s="89"/>
    </row>
    <row r="1551" spans="1:9">
      <c r="A1551" s="21"/>
      <c r="B1551"/>
      <c r="F1551" s="87"/>
      <c r="H1551" s="87"/>
      <c r="I1551" s="89"/>
    </row>
    <row r="1552" spans="1:9">
      <c r="A1552" s="21"/>
      <c r="B1552"/>
      <c r="F1552" s="87"/>
      <c r="H1552" s="87"/>
      <c r="I1552" s="89"/>
    </row>
    <row r="1553" spans="1:9">
      <c r="A1553" s="21"/>
      <c r="B1553"/>
      <c r="F1553" s="87"/>
      <c r="H1553" s="87"/>
      <c r="I1553" s="89"/>
    </row>
    <row r="1554" spans="1:9">
      <c r="A1554" s="21"/>
      <c r="B1554"/>
      <c r="F1554" s="87"/>
      <c r="H1554" s="87"/>
      <c r="I1554" s="89"/>
    </row>
    <row r="1555" spans="1:9">
      <c r="A1555" s="21"/>
      <c r="B1555"/>
      <c r="F1555" s="87"/>
      <c r="H1555" s="87"/>
      <c r="I1555" s="89"/>
    </row>
    <row r="1556" spans="1:9">
      <c r="A1556" s="21"/>
      <c r="B1556"/>
      <c r="F1556" s="87"/>
      <c r="H1556" s="87"/>
      <c r="I1556" s="89"/>
    </row>
    <row r="1557" spans="1:9">
      <c r="A1557" s="21"/>
      <c r="B1557"/>
      <c r="F1557" s="87"/>
      <c r="H1557" s="87"/>
      <c r="I1557" s="89"/>
    </row>
    <row r="1558" spans="1:9">
      <c r="A1558" s="21"/>
      <c r="B1558"/>
      <c r="F1558" s="87"/>
      <c r="H1558" s="87"/>
      <c r="I1558" s="89"/>
    </row>
    <row r="1559" spans="1:9">
      <c r="A1559" s="21"/>
      <c r="B1559"/>
      <c r="F1559" s="87"/>
      <c r="H1559" s="87"/>
      <c r="I1559" s="89"/>
    </row>
    <row r="1560" spans="1:9">
      <c r="A1560" s="21"/>
      <c r="B1560"/>
      <c r="F1560" s="87"/>
      <c r="H1560" s="87"/>
      <c r="I1560" s="89"/>
    </row>
    <row r="1561" spans="1:9">
      <c r="A1561" s="21"/>
      <c r="B1561"/>
      <c r="F1561" s="87"/>
      <c r="H1561" s="87"/>
      <c r="I1561" s="89"/>
    </row>
    <row r="1562" spans="1:9">
      <c r="A1562" s="21"/>
      <c r="B1562"/>
      <c r="F1562" s="87"/>
      <c r="H1562" s="87"/>
      <c r="I1562" s="89"/>
    </row>
    <row r="1563" spans="1:9">
      <c r="A1563" s="21"/>
      <c r="B1563"/>
      <c r="F1563" s="87"/>
      <c r="H1563" s="87"/>
      <c r="I1563" s="89"/>
    </row>
    <row r="1564" spans="1:9">
      <c r="A1564" s="21"/>
      <c r="B1564"/>
      <c r="F1564" s="87"/>
      <c r="H1564" s="87"/>
      <c r="I1564" s="89"/>
    </row>
    <row r="1565" spans="1:9">
      <c r="A1565" s="21"/>
      <c r="B1565"/>
      <c r="F1565" s="87"/>
      <c r="H1565" s="87"/>
      <c r="I1565" s="89"/>
    </row>
    <row r="1566" spans="1:9">
      <c r="A1566" s="21"/>
      <c r="B1566"/>
      <c r="F1566" s="87"/>
      <c r="H1566" s="87"/>
      <c r="I1566" s="89"/>
    </row>
    <row r="1567" spans="1:9">
      <c r="A1567" s="21"/>
      <c r="B1567"/>
      <c r="F1567" s="87"/>
      <c r="H1567" s="87"/>
      <c r="I1567" s="89"/>
    </row>
    <row r="1568" spans="1:9">
      <c r="A1568" s="21"/>
      <c r="B1568"/>
      <c r="F1568" s="87"/>
      <c r="H1568" s="87"/>
      <c r="I1568" s="89"/>
    </row>
    <row r="1569" spans="1:9">
      <c r="A1569" s="21"/>
      <c r="B1569"/>
      <c r="F1569" s="87"/>
      <c r="H1569" s="87"/>
      <c r="I1569" s="89"/>
    </row>
    <row r="1570" spans="1:9">
      <c r="A1570" s="21"/>
      <c r="B1570"/>
      <c r="F1570" s="87"/>
      <c r="H1570" s="87"/>
      <c r="I1570" s="89"/>
    </row>
    <row r="1571" spans="1:9">
      <c r="A1571" s="21"/>
      <c r="B1571"/>
      <c r="F1571" s="87"/>
      <c r="H1571" s="87"/>
      <c r="I1571" s="89"/>
    </row>
    <row r="1572" spans="1:9">
      <c r="A1572" s="21"/>
      <c r="B1572"/>
      <c r="F1572" s="87"/>
      <c r="H1572" s="87"/>
      <c r="I1572" s="89"/>
    </row>
    <row r="1573" spans="1:9">
      <c r="A1573" s="21"/>
      <c r="B1573"/>
      <c r="F1573" s="87"/>
      <c r="H1573" s="87"/>
      <c r="I1573" s="89"/>
    </row>
    <row r="1574" spans="1:9">
      <c r="A1574" s="21"/>
      <c r="B1574"/>
      <c r="F1574" s="87"/>
      <c r="H1574" s="87"/>
      <c r="I1574" s="89"/>
    </row>
    <row r="1575" spans="1:9">
      <c r="A1575" s="21"/>
      <c r="B1575"/>
      <c r="F1575" s="87"/>
      <c r="H1575" s="87"/>
      <c r="I1575" s="89"/>
    </row>
    <row r="1576" spans="1:9">
      <c r="A1576" s="21"/>
      <c r="B1576"/>
      <c r="F1576" s="87"/>
      <c r="H1576" s="87"/>
      <c r="I1576" s="89"/>
    </row>
    <row r="1577" spans="1:9">
      <c r="A1577" s="21"/>
      <c r="B1577"/>
      <c r="F1577" s="87"/>
      <c r="H1577" s="87"/>
      <c r="I1577" s="89"/>
    </row>
    <row r="1578" spans="1:9">
      <c r="A1578" s="21"/>
      <c r="B1578"/>
      <c r="F1578" s="87"/>
      <c r="H1578" s="87"/>
      <c r="I1578" s="89"/>
    </row>
    <row r="1579" spans="1:9">
      <c r="A1579" s="21"/>
      <c r="B1579"/>
      <c r="F1579" s="87"/>
      <c r="H1579" s="87"/>
      <c r="I1579" s="89"/>
    </row>
    <row r="1580" spans="1:9">
      <c r="A1580" s="21"/>
      <c r="B1580"/>
      <c r="F1580" s="87"/>
      <c r="H1580" s="87"/>
      <c r="I1580" s="89"/>
    </row>
    <row r="1581" spans="1:9">
      <c r="A1581" s="21"/>
      <c r="B1581"/>
      <c r="F1581" s="87"/>
      <c r="H1581" s="87"/>
      <c r="I1581" s="89"/>
    </row>
    <row r="1582" spans="1:9">
      <c r="A1582" s="21"/>
      <c r="B1582"/>
      <c r="F1582" s="87"/>
      <c r="H1582" s="87"/>
      <c r="I1582" s="89"/>
    </row>
    <row r="1583" spans="1:9">
      <c r="A1583" s="21"/>
      <c r="B1583"/>
      <c r="F1583" s="87"/>
      <c r="H1583" s="87"/>
      <c r="I1583" s="89"/>
    </row>
    <row r="1584" spans="1:9">
      <c r="A1584" s="21"/>
      <c r="B1584"/>
      <c r="F1584" s="87"/>
      <c r="H1584" s="87"/>
      <c r="I1584" s="89"/>
    </row>
    <row r="1585" spans="1:9">
      <c r="A1585" s="21"/>
      <c r="B1585"/>
      <c r="F1585" s="87"/>
      <c r="H1585" s="87"/>
      <c r="I1585" s="89"/>
    </row>
    <row r="1586" spans="1:9">
      <c r="A1586" s="21"/>
      <c r="B1586"/>
      <c r="F1586" s="87"/>
      <c r="H1586" s="87"/>
      <c r="I1586" s="89"/>
    </row>
    <row r="1587" spans="1:9">
      <c r="A1587" s="21"/>
      <c r="B1587"/>
      <c r="F1587" s="87"/>
      <c r="H1587" s="87"/>
      <c r="I1587" s="89"/>
    </row>
    <row r="1588" spans="1:9">
      <c r="A1588" s="21"/>
      <c r="B1588"/>
      <c r="F1588" s="87"/>
      <c r="H1588" s="87"/>
      <c r="I1588" s="89"/>
    </row>
    <row r="1589" spans="1:9">
      <c r="A1589" s="21"/>
      <c r="B1589"/>
      <c r="F1589" s="87"/>
      <c r="H1589" s="87"/>
      <c r="I1589" s="89"/>
    </row>
    <row r="1590" spans="1:9">
      <c r="A1590" s="21"/>
      <c r="B1590"/>
      <c r="F1590" s="87"/>
      <c r="H1590" s="87"/>
      <c r="I1590" s="89"/>
    </row>
    <row r="1591" spans="1:9">
      <c r="A1591" s="21"/>
      <c r="B1591"/>
      <c r="F1591" s="87"/>
      <c r="H1591" s="87"/>
      <c r="I1591" s="89"/>
    </row>
    <row r="1592" spans="1:9">
      <c r="A1592" s="21"/>
      <c r="B1592"/>
      <c r="F1592" s="87"/>
      <c r="H1592" s="87"/>
      <c r="I1592" s="89"/>
    </row>
    <row r="1593" spans="1:9">
      <c r="A1593" s="21"/>
      <c r="B1593"/>
      <c r="F1593" s="87"/>
      <c r="H1593" s="87"/>
      <c r="I1593" s="89"/>
    </row>
    <row r="1594" spans="1:9">
      <c r="A1594" s="21"/>
      <c r="B1594"/>
      <c r="F1594" s="87"/>
      <c r="H1594" s="87"/>
      <c r="I1594" s="89"/>
    </row>
    <row r="1595" spans="1:9">
      <c r="A1595" s="21"/>
      <c r="B1595"/>
      <c r="F1595" s="87"/>
      <c r="H1595" s="87"/>
      <c r="I1595" s="89"/>
    </row>
    <row r="1596" spans="1:9">
      <c r="A1596" s="21"/>
      <c r="B1596"/>
      <c r="F1596" s="87"/>
      <c r="H1596" s="87"/>
      <c r="I1596" s="89"/>
    </row>
    <row r="1597" spans="1:9">
      <c r="A1597" s="21"/>
      <c r="B1597"/>
      <c r="F1597" s="87"/>
      <c r="H1597" s="87"/>
      <c r="I1597" s="89"/>
    </row>
    <row r="1598" spans="1:9">
      <c r="A1598" s="21"/>
      <c r="B1598"/>
      <c r="F1598" s="87"/>
      <c r="H1598" s="87"/>
      <c r="I1598" s="89"/>
    </row>
    <row r="1599" spans="1:9">
      <c r="A1599" s="21"/>
      <c r="B1599"/>
      <c r="F1599" s="87"/>
      <c r="H1599" s="87"/>
      <c r="I1599" s="89"/>
    </row>
    <row r="1600" spans="1:9">
      <c r="A1600" s="21"/>
      <c r="B1600"/>
      <c r="F1600" s="87"/>
      <c r="H1600" s="87"/>
      <c r="I1600" s="89"/>
    </row>
    <row r="1601" spans="1:9">
      <c r="A1601" s="21"/>
      <c r="B1601"/>
      <c r="F1601" s="87"/>
      <c r="H1601" s="87"/>
      <c r="I1601" s="89"/>
    </row>
    <row r="1602" spans="1:9">
      <c r="A1602" s="21"/>
      <c r="B1602"/>
      <c r="F1602" s="87"/>
      <c r="H1602" s="87"/>
      <c r="I1602" s="89"/>
    </row>
    <row r="1603" spans="1:9">
      <c r="A1603" s="21"/>
      <c r="B1603"/>
      <c r="F1603" s="87"/>
      <c r="H1603" s="87"/>
      <c r="I1603" s="89"/>
    </row>
    <row r="1604" spans="1:9">
      <c r="A1604" s="21"/>
      <c r="B1604"/>
      <c r="F1604" s="87"/>
      <c r="H1604" s="87"/>
      <c r="I1604" s="89"/>
    </row>
    <row r="1605" spans="1:9">
      <c r="A1605" s="21"/>
      <c r="B1605"/>
      <c r="F1605" s="87"/>
      <c r="H1605" s="87"/>
      <c r="I1605" s="89"/>
    </row>
    <row r="1606" spans="1:9">
      <c r="A1606" s="21"/>
      <c r="B1606"/>
      <c r="F1606" s="87"/>
      <c r="H1606" s="87"/>
      <c r="I1606" s="89"/>
    </row>
    <row r="1607" spans="1:9">
      <c r="A1607" s="21"/>
      <c r="B1607"/>
      <c r="F1607" s="87"/>
      <c r="H1607" s="87"/>
      <c r="I1607" s="89"/>
    </row>
    <row r="1608" spans="1:9">
      <c r="A1608" s="21"/>
      <c r="B1608"/>
      <c r="F1608" s="87"/>
      <c r="H1608" s="87"/>
      <c r="I1608" s="89"/>
    </row>
    <row r="1609" spans="1:9">
      <c r="A1609" s="21"/>
      <c r="B1609"/>
      <c r="F1609" s="87"/>
      <c r="H1609" s="87"/>
      <c r="I1609" s="89"/>
    </row>
    <row r="1610" spans="1:9">
      <c r="A1610" s="21"/>
      <c r="B1610"/>
      <c r="F1610" s="87"/>
      <c r="H1610" s="87"/>
      <c r="I1610" s="89"/>
    </row>
    <row r="1611" spans="1:9">
      <c r="A1611" s="21"/>
      <c r="B1611"/>
      <c r="F1611" s="87"/>
      <c r="H1611" s="87"/>
      <c r="I1611" s="89"/>
    </row>
    <row r="1612" spans="1:9">
      <c r="A1612" s="21"/>
      <c r="B1612"/>
      <c r="F1612" s="87"/>
      <c r="H1612" s="87"/>
      <c r="I1612" s="89"/>
    </row>
    <row r="1613" spans="1:9">
      <c r="A1613" s="21"/>
      <c r="B1613"/>
      <c r="F1613" s="87"/>
      <c r="H1613" s="87"/>
      <c r="I1613" s="89"/>
    </row>
    <row r="1614" spans="1:9">
      <c r="A1614" s="21"/>
      <c r="B1614"/>
      <c r="F1614" s="87"/>
      <c r="H1614" s="87"/>
      <c r="I1614" s="89"/>
    </row>
    <row r="1615" spans="1:9">
      <c r="A1615" s="21"/>
      <c r="B1615"/>
      <c r="F1615" s="87"/>
      <c r="H1615" s="87"/>
      <c r="I1615" s="89"/>
    </row>
    <row r="1616" spans="1:9">
      <c r="A1616" s="21"/>
      <c r="B1616"/>
      <c r="F1616" s="87"/>
      <c r="H1616" s="87"/>
      <c r="I1616" s="89"/>
    </row>
    <row r="1617" spans="1:9">
      <c r="A1617" s="21"/>
      <c r="B1617"/>
      <c r="F1617" s="87"/>
      <c r="H1617" s="87"/>
      <c r="I1617" s="89"/>
    </row>
    <row r="1618" spans="1:9">
      <c r="A1618" s="21"/>
      <c r="B1618"/>
      <c r="F1618" s="87"/>
      <c r="H1618" s="87"/>
      <c r="I1618" s="89"/>
    </row>
    <row r="1619" spans="1:9">
      <c r="A1619" s="21"/>
      <c r="B1619"/>
      <c r="F1619" s="87"/>
      <c r="H1619" s="87"/>
      <c r="I1619" s="89"/>
    </row>
    <row r="1620" spans="1:9">
      <c r="A1620" s="21"/>
      <c r="B1620"/>
      <c r="F1620" s="87"/>
      <c r="H1620" s="87"/>
      <c r="I1620" s="89"/>
    </row>
    <row r="1621" spans="1:9">
      <c r="A1621" s="21"/>
      <c r="B1621"/>
      <c r="F1621" s="87"/>
      <c r="H1621" s="87"/>
      <c r="I1621" s="89"/>
    </row>
    <row r="1622" spans="1:9">
      <c r="A1622" s="21"/>
      <c r="B1622"/>
      <c r="F1622" s="87"/>
      <c r="H1622" s="87"/>
      <c r="I1622" s="89"/>
    </row>
    <row r="1623" spans="1:9">
      <c r="A1623" s="21"/>
      <c r="B1623"/>
      <c r="F1623" s="87"/>
      <c r="H1623" s="87"/>
      <c r="I1623" s="89"/>
    </row>
    <row r="1624" spans="1:9">
      <c r="A1624" s="21"/>
      <c r="B1624"/>
      <c r="F1624" s="87"/>
      <c r="H1624" s="87"/>
      <c r="I1624" s="89"/>
    </row>
    <row r="1625" spans="1:9">
      <c r="A1625" s="21"/>
      <c r="B1625"/>
      <c r="F1625" s="87"/>
      <c r="H1625" s="87"/>
      <c r="I1625" s="89"/>
    </row>
    <row r="1626" spans="1:9">
      <c r="A1626" s="21"/>
      <c r="B1626"/>
      <c r="F1626" s="87"/>
      <c r="H1626" s="87"/>
      <c r="I1626" s="89"/>
    </row>
    <row r="1627" spans="1:9">
      <c r="A1627" s="21"/>
      <c r="B1627"/>
      <c r="F1627" s="87"/>
      <c r="H1627" s="87"/>
      <c r="I1627" s="89"/>
    </row>
    <row r="1628" spans="1:9">
      <c r="A1628" s="21"/>
      <c r="B1628"/>
      <c r="F1628" s="87"/>
      <c r="H1628" s="87"/>
      <c r="I1628" s="89"/>
    </row>
    <row r="1629" spans="1:9">
      <c r="A1629" s="21"/>
      <c r="B1629"/>
      <c r="F1629" s="87"/>
      <c r="H1629" s="87"/>
      <c r="I1629" s="89"/>
    </row>
    <row r="1630" spans="1:9">
      <c r="A1630" s="21"/>
      <c r="B1630"/>
      <c r="F1630" s="87"/>
      <c r="H1630" s="87"/>
      <c r="I1630" s="89"/>
    </row>
    <row r="1631" spans="1:9">
      <c r="A1631" s="21"/>
      <c r="B1631"/>
      <c r="F1631" s="87"/>
      <c r="H1631" s="87"/>
      <c r="I1631" s="89"/>
    </row>
    <row r="1632" spans="1:9">
      <c r="A1632" s="21"/>
      <c r="B1632"/>
      <c r="F1632" s="87"/>
      <c r="H1632" s="87"/>
      <c r="I1632" s="89"/>
    </row>
    <row r="1633" spans="1:9">
      <c r="A1633" s="21"/>
      <c r="B1633"/>
      <c r="F1633" s="87"/>
      <c r="H1633" s="87"/>
      <c r="I1633" s="89"/>
    </row>
    <row r="1634" spans="1:9">
      <c r="A1634" s="21"/>
      <c r="B1634"/>
      <c r="F1634" s="87"/>
      <c r="H1634" s="87"/>
      <c r="I1634" s="89"/>
    </row>
    <row r="1635" spans="1:9">
      <c r="A1635" s="21"/>
      <c r="B1635"/>
      <c r="F1635" s="87"/>
      <c r="H1635" s="87"/>
      <c r="I1635" s="89"/>
    </row>
    <row r="1636" spans="1:9">
      <c r="A1636" s="21"/>
      <c r="B1636"/>
      <c r="F1636" s="87"/>
      <c r="H1636" s="87"/>
      <c r="I1636" s="89"/>
    </row>
    <row r="1637" spans="1:9">
      <c r="A1637" s="21"/>
      <c r="B1637"/>
      <c r="F1637" s="87"/>
      <c r="H1637" s="87"/>
      <c r="I1637" s="89"/>
    </row>
    <row r="1638" spans="1:9">
      <c r="A1638" s="21"/>
      <c r="B1638"/>
      <c r="F1638" s="87"/>
      <c r="H1638" s="87"/>
      <c r="I1638" s="89"/>
    </row>
    <row r="1639" spans="1:9">
      <c r="A1639" s="21"/>
      <c r="B1639"/>
      <c r="F1639" s="87"/>
      <c r="H1639" s="87"/>
      <c r="I1639" s="89"/>
    </row>
    <row r="1640" spans="1:9">
      <c r="A1640" s="21"/>
      <c r="B1640"/>
      <c r="F1640" s="87"/>
      <c r="H1640" s="87"/>
      <c r="I1640" s="89"/>
    </row>
    <row r="1641" spans="1:9">
      <c r="A1641" s="21"/>
      <c r="B1641"/>
      <c r="F1641" s="87"/>
      <c r="H1641" s="87"/>
      <c r="I1641" s="89"/>
    </row>
    <row r="1642" spans="1:9">
      <c r="A1642" s="21"/>
      <c r="B1642"/>
      <c r="F1642" s="87"/>
      <c r="H1642" s="87"/>
      <c r="I1642" s="89"/>
    </row>
    <row r="1643" spans="1:9">
      <c r="A1643" s="21"/>
      <c r="B1643"/>
      <c r="F1643" s="87"/>
      <c r="H1643" s="87"/>
      <c r="I1643" s="89"/>
    </row>
    <row r="1644" spans="1:9">
      <c r="A1644" s="21"/>
      <c r="B1644"/>
      <c r="F1644" s="87"/>
      <c r="H1644" s="87"/>
      <c r="I1644" s="89"/>
    </row>
    <row r="1645" spans="1:9">
      <c r="A1645" s="21"/>
      <c r="B1645"/>
      <c r="F1645" s="87"/>
      <c r="H1645" s="87"/>
      <c r="I1645" s="89"/>
    </row>
    <row r="1646" spans="1:9">
      <c r="A1646" s="21"/>
      <c r="B1646"/>
      <c r="F1646" s="87"/>
      <c r="H1646" s="87"/>
      <c r="I1646" s="89"/>
    </row>
    <row r="1647" spans="1:9">
      <c r="A1647" s="21"/>
      <c r="B1647"/>
      <c r="F1647" s="87"/>
      <c r="H1647" s="87"/>
      <c r="I1647" s="89"/>
    </row>
    <row r="1648" spans="1:9">
      <c r="A1648" s="21"/>
      <c r="B1648"/>
      <c r="F1648" s="87"/>
      <c r="H1648" s="87"/>
      <c r="I1648" s="89"/>
    </row>
    <row r="1649" spans="1:9">
      <c r="A1649" s="21"/>
      <c r="B1649"/>
      <c r="F1649" s="87"/>
      <c r="H1649" s="87"/>
      <c r="I1649" s="89"/>
    </row>
    <row r="1650" spans="1:9">
      <c r="A1650" s="21"/>
      <c r="B1650"/>
      <c r="F1650" s="87"/>
      <c r="H1650" s="87"/>
      <c r="I1650" s="89"/>
    </row>
    <row r="1651" spans="1:9">
      <c r="A1651" s="21"/>
      <c r="B1651"/>
      <c r="F1651" s="87"/>
      <c r="H1651" s="87"/>
      <c r="I1651" s="89"/>
    </row>
    <row r="1652" spans="1:9">
      <c r="A1652" s="21"/>
      <c r="B1652"/>
      <c r="F1652" s="87"/>
      <c r="H1652" s="87"/>
      <c r="I1652" s="89"/>
    </row>
    <row r="1653" spans="1:9">
      <c r="A1653" s="21"/>
      <c r="B1653"/>
      <c r="F1653" s="87"/>
      <c r="H1653" s="87"/>
      <c r="I1653" s="89"/>
    </row>
    <row r="1654" spans="1:9">
      <c r="A1654" s="21"/>
      <c r="B1654"/>
      <c r="F1654" s="87"/>
      <c r="H1654" s="87"/>
      <c r="I1654" s="89"/>
    </row>
    <row r="1655" spans="1:9">
      <c r="A1655" s="21"/>
      <c r="B1655"/>
      <c r="F1655" s="87"/>
      <c r="H1655" s="87"/>
      <c r="I1655" s="89"/>
    </row>
    <row r="1656" spans="1:9">
      <c r="A1656" s="21"/>
      <c r="B1656"/>
      <c r="F1656" s="87"/>
      <c r="H1656" s="87"/>
      <c r="I1656" s="89"/>
    </row>
    <row r="1657" spans="1:9">
      <c r="A1657" s="21"/>
      <c r="B1657"/>
      <c r="F1657" s="87"/>
      <c r="H1657" s="87"/>
      <c r="I1657" s="89"/>
    </row>
    <row r="1658" spans="1:9">
      <c r="A1658" s="21"/>
      <c r="B1658"/>
      <c r="F1658" s="87"/>
      <c r="H1658" s="87"/>
      <c r="I1658" s="89"/>
    </row>
    <row r="1659" spans="1:9">
      <c r="A1659" s="21"/>
      <c r="B1659"/>
      <c r="F1659" s="87"/>
      <c r="H1659" s="87"/>
      <c r="I1659" s="89"/>
    </row>
    <row r="1660" spans="1:9">
      <c r="A1660" s="21"/>
      <c r="B1660"/>
      <c r="F1660" s="87"/>
      <c r="H1660" s="87"/>
      <c r="I1660" s="89"/>
    </row>
    <row r="1661" spans="1:9">
      <c r="A1661" s="21"/>
      <c r="B1661"/>
      <c r="F1661" s="87"/>
      <c r="H1661" s="87"/>
      <c r="I1661" s="89"/>
    </row>
    <row r="1662" spans="1:9">
      <c r="A1662" s="21"/>
      <c r="B1662"/>
      <c r="F1662" s="87"/>
      <c r="H1662" s="87"/>
      <c r="I1662" s="89"/>
    </row>
    <row r="1663" spans="1:9">
      <c r="A1663" s="21"/>
      <c r="B1663"/>
      <c r="F1663" s="87"/>
      <c r="H1663" s="87"/>
      <c r="I1663" s="89"/>
    </row>
    <row r="1664" spans="1:9">
      <c r="A1664" s="21"/>
      <c r="B1664"/>
      <c r="F1664" s="87"/>
      <c r="H1664" s="87"/>
      <c r="I1664" s="89"/>
    </row>
    <row r="1665" spans="1:9">
      <c r="A1665" s="21"/>
      <c r="B1665"/>
      <c r="F1665" s="87"/>
      <c r="H1665" s="87"/>
      <c r="I1665" s="89"/>
    </row>
    <row r="1666" spans="1:9">
      <c r="A1666" s="21"/>
      <c r="B1666"/>
      <c r="F1666" s="87"/>
      <c r="H1666" s="87"/>
      <c r="I1666" s="89"/>
    </row>
    <row r="1667" spans="1:9">
      <c r="A1667" s="21"/>
      <c r="B1667"/>
      <c r="F1667" s="87"/>
      <c r="H1667" s="87"/>
      <c r="I1667" s="89"/>
    </row>
    <row r="1668" spans="1:9">
      <c r="A1668" s="21"/>
      <c r="B1668"/>
      <c r="F1668" s="87"/>
      <c r="H1668" s="87"/>
      <c r="I1668" s="89"/>
    </row>
    <row r="1669" spans="1:9">
      <c r="A1669" s="21"/>
      <c r="B1669"/>
      <c r="F1669" s="87"/>
      <c r="H1669" s="87"/>
      <c r="I1669" s="89"/>
    </row>
    <row r="1670" spans="1:9">
      <c r="A1670" s="21"/>
      <c r="B1670"/>
      <c r="F1670" s="87"/>
      <c r="H1670" s="87"/>
      <c r="I1670" s="89"/>
    </row>
    <row r="1671" spans="1:9">
      <c r="A1671" s="21"/>
      <c r="B1671"/>
      <c r="F1671" s="87"/>
      <c r="H1671" s="87"/>
      <c r="I1671" s="89"/>
    </row>
    <row r="1672" spans="1:9">
      <c r="A1672" s="21"/>
      <c r="B1672"/>
      <c r="F1672" s="87"/>
      <c r="H1672" s="87"/>
      <c r="I1672" s="89"/>
    </row>
    <row r="1673" spans="1:9">
      <c r="A1673" s="21"/>
      <c r="B1673"/>
      <c r="F1673" s="87"/>
      <c r="H1673" s="87"/>
      <c r="I1673" s="89"/>
    </row>
    <row r="1674" spans="1:9">
      <c r="A1674" s="21"/>
      <c r="B1674"/>
      <c r="F1674" s="87"/>
      <c r="H1674" s="87"/>
      <c r="I1674" s="89"/>
    </row>
    <row r="1675" spans="1:9">
      <c r="A1675" s="21"/>
      <c r="B1675"/>
      <c r="F1675" s="87"/>
      <c r="H1675" s="87"/>
      <c r="I1675" s="89"/>
    </row>
    <row r="1676" spans="1:9">
      <c r="A1676" s="21"/>
      <c r="B1676"/>
      <c r="F1676" s="87"/>
      <c r="H1676" s="87"/>
      <c r="I1676" s="89"/>
    </row>
    <row r="1677" spans="1:9">
      <c r="A1677" s="21"/>
      <c r="B1677"/>
      <c r="F1677" s="87"/>
      <c r="H1677" s="87"/>
      <c r="I1677" s="89"/>
    </row>
    <row r="1678" spans="1:9">
      <c r="A1678" s="21"/>
      <c r="B1678"/>
      <c r="F1678" s="87"/>
      <c r="H1678" s="87"/>
      <c r="I1678" s="89"/>
    </row>
    <row r="1679" spans="1:9">
      <c r="A1679" s="21"/>
      <c r="B1679"/>
      <c r="F1679" s="87"/>
      <c r="H1679" s="87"/>
      <c r="I1679" s="89"/>
    </row>
    <row r="1680" spans="1:9">
      <c r="A1680" s="21"/>
      <c r="B1680"/>
      <c r="F1680" s="87"/>
      <c r="H1680" s="87"/>
      <c r="I1680" s="89"/>
    </row>
    <row r="1681" spans="1:9">
      <c r="A1681" s="21"/>
      <c r="B1681"/>
      <c r="F1681" s="87"/>
      <c r="H1681" s="87"/>
      <c r="I1681" s="89"/>
    </row>
    <row r="1682" spans="1:9">
      <c r="A1682" s="21"/>
      <c r="B1682"/>
      <c r="F1682" s="87"/>
      <c r="H1682" s="87"/>
      <c r="I1682" s="89"/>
    </row>
    <row r="1683" spans="1:9">
      <c r="A1683" s="21"/>
      <c r="B1683"/>
      <c r="F1683" s="87"/>
      <c r="H1683" s="87"/>
      <c r="I1683" s="89"/>
    </row>
    <row r="1684" spans="1:9">
      <c r="A1684" s="21"/>
      <c r="B1684"/>
      <c r="F1684" s="87"/>
      <c r="H1684" s="87"/>
      <c r="I1684" s="89"/>
    </row>
    <row r="1685" spans="1:9">
      <c r="A1685" s="21"/>
      <c r="B1685"/>
      <c r="F1685" s="87"/>
      <c r="H1685" s="87"/>
      <c r="I1685" s="89"/>
    </row>
    <row r="1686" spans="1:9">
      <c r="A1686" s="21"/>
      <c r="B1686"/>
      <c r="F1686" s="87"/>
      <c r="H1686" s="87"/>
      <c r="I1686" s="89"/>
    </row>
    <row r="1687" spans="1:9">
      <c r="A1687" s="21"/>
      <c r="B1687"/>
      <c r="F1687" s="87"/>
      <c r="H1687" s="87"/>
      <c r="I1687" s="89"/>
    </row>
    <row r="1688" spans="1:9">
      <c r="A1688" s="21"/>
      <c r="B1688"/>
      <c r="F1688" s="87"/>
      <c r="H1688" s="87"/>
      <c r="I1688" s="89"/>
    </row>
    <row r="1689" spans="1:9">
      <c r="A1689" s="21"/>
      <c r="B1689"/>
      <c r="F1689" s="87"/>
      <c r="H1689" s="87"/>
      <c r="I1689" s="89"/>
    </row>
    <row r="1690" spans="1:9">
      <c r="A1690" s="21"/>
      <c r="B1690"/>
      <c r="F1690" s="87"/>
      <c r="H1690" s="87"/>
      <c r="I1690" s="89"/>
    </row>
    <row r="1691" spans="1:9">
      <c r="A1691" s="21"/>
      <c r="B1691"/>
      <c r="F1691" s="87"/>
      <c r="H1691" s="87"/>
      <c r="I1691" s="89"/>
    </row>
    <row r="1692" spans="1:9">
      <c r="A1692" s="21"/>
      <c r="B1692"/>
      <c r="F1692" s="87"/>
      <c r="H1692" s="87"/>
      <c r="I1692" s="89"/>
    </row>
    <row r="1693" spans="1:9">
      <c r="A1693" s="21"/>
      <c r="B1693"/>
      <c r="F1693" s="87"/>
      <c r="H1693" s="87"/>
      <c r="I1693" s="89"/>
    </row>
    <row r="1694" spans="1:9">
      <c r="A1694" s="21"/>
      <c r="B1694"/>
      <c r="F1694" s="87"/>
      <c r="H1694" s="87"/>
      <c r="I1694" s="89"/>
    </row>
    <row r="1695" spans="1:9">
      <c r="A1695" s="21"/>
      <c r="B1695"/>
      <c r="F1695" s="87"/>
      <c r="H1695" s="87"/>
      <c r="I1695" s="89"/>
    </row>
    <row r="1696" spans="1:9">
      <c r="A1696" s="21"/>
      <c r="B1696"/>
      <c r="F1696" s="87"/>
      <c r="H1696" s="87"/>
      <c r="I1696" s="89"/>
    </row>
    <row r="1697" spans="1:9">
      <c r="A1697" s="21"/>
      <c r="B1697"/>
      <c r="F1697" s="87"/>
      <c r="H1697" s="87"/>
      <c r="I1697" s="89"/>
    </row>
    <row r="1698" spans="1:9">
      <c r="A1698" s="21"/>
      <c r="B1698"/>
      <c r="F1698" s="87"/>
      <c r="H1698" s="87"/>
      <c r="I1698" s="89"/>
    </row>
    <row r="1699" spans="1:9">
      <c r="A1699" s="21"/>
      <c r="B1699"/>
      <c r="F1699" s="87"/>
      <c r="H1699" s="87"/>
      <c r="I1699" s="89"/>
    </row>
    <row r="1700" spans="1:9">
      <c r="A1700" s="21"/>
      <c r="B1700"/>
      <c r="F1700" s="87"/>
      <c r="H1700" s="87"/>
      <c r="I1700" s="89"/>
    </row>
    <row r="1701" spans="1:9">
      <c r="A1701" s="21"/>
      <c r="B1701"/>
      <c r="F1701" s="87"/>
      <c r="H1701" s="87"/>
      <c r="I1701" s="89"/>
    </row>
    <row r="1702" spans="1:9">
      <c r="A1702" s="21"/>
      <c r="B1702"/>
      <c r="F1702" s="87"/>
      <c r="H1702" s="87"/>
      <c r="I1702" s="89"/>
    </row>
    <row r="1703" spans="1:9">
      <c r="A1703" s="21"/>
      <c r="B1703"/>
      <c r="F1703" s="87"/>
      <c r="H1703" s="87"/>
      <c r="I1703" s="89"/>
    </row>
    <row r="1704" spans="1:9">
      <c r="A1704" s="21"/>
      <c r="B1704"/>
      <c r="F1704" s="87"/>
      <c r="H1704" s="87"/>
      <c r="I1704" s="89"/>
    </row>
    <row r="1705" spans="1:9">
      <c r="A1705" s="21"/>
      <c r="B1705"/>
      <c r="F1705" s="87"/>
      <c r="H1705" s="87"/>
      <c r="I1705" s="89"/>
    </row>
    <row r="1706" spans="1:9">
      <c r="A1706" s="21"/>
      <c r="B1706"/>
      <c r="F1706" s="87"/>
      <c r="H1706" s="87"/>
      <c r="I1706" s="89"/>
    </row>
    <row r="1707" spans="1:9">
      <c r="A1707" s="21"/>
      <c r="B1707"/>
      <c r="F1707" s="87"/>
      <c r="H1707" s="87"/>
      <c r="I1707" s="89"/>
    </row>
    <row r="1708" spans="1:9">
      <c r="A1708" s="21"/>
      <c r="B1708"/>
      <c r="F1708" s="87"/>
      <c r="H1708" s="87"/>
      <c r="I1708" s="89"/>
    </row>
    <row r="1709" spans="1:9">
      <c r="A1709" s="21"/>
      <c r="B1709"/>
      <c r="F1709" s="87"/>
      <c r="H1709" s="87"/>
      <c r="I1709" s="89"/>
    </row>
    <row r="1710" spans="1:9">
      <c r="A1710" s="21"/>
      <c r="B1710"/>
      <c r="F1710" s="87"/>
      <c r="H1710" s="87"/>
      <c r="I1710" s="89"/>
    </row>
    <row r="1711" spans="1:9">
      <c r="A1711" s="21"/>
      <c r="B1711"/>
      <c r="F1711" s="87"/>
      <c r="H1711" s="87"/>
      <c r="I1711" s="89"/>
    </row>
    <row r="1712" spans="1:9">
      <c r="A1712" s="21"/>
      <c r="B1712"/>
      <c r="F1712" s="87"/>
      <c r="H1712" s="87"/>
      <c r="I1712" s="89"/>
    </row>
    <row r="1713" spans="1:9">
      <c r="A1713" s="21"/>
      <c r="B1713"/>
      <c r="F1713" s="87"/>
      <c r="H1713" s="87"/>
      <c r="I1713" s="89"/>
    </row>
    <row r="1714" spans="1:9">
      <c r="A1714" s="21"/>
      <c r="B1714"/>
      <c r="F1714" s="87"/>
      <c r="H1714" s="87"/>
      <c r="I1714" s="89"/>
    </row>
    <row r="1715" spans="1:9">
      <c r="A1715" s="21"/>
      <c r="B1715"/>
      <c r="F1715" s="87"/>
      <c r="H1715" s="87"/>
      <c r="I1715" s="89"/>
    </row>
    <row r="1716" spans="1:9">
      <c r="A1716" s="21"/>
      <c r="B1716"/>
      <c r="F1716" s="87"/>
      <c r="H1716" s="87"/>
      <c r="I1716" s="89"/>
    </row>
    <row r="1717" spans="1:9">
      <c r="A1717" s="21"/>
      <c r="B1717"/>
      <c r="F1717" s="87"/>
      <c r="H1717" s="87"/>
      <c r="I1717" s="89"/>
    </row>
    <row r="1718" spans="1:9">
      <c r="A1718" s="21"/>
      <c r="B1718"/>
      <c r="F1718" s="87"/>
      <c r="H1718" s="87"/>
      <c r="I1718" s="89"/>
    </row>
    <row r="1719" spans="1:9">
      <c r="A1719" s="21"/>
      <c r="B1719"/>
      <c r="F1719" s="87"/>
      <c r="H1719" s="87"/>
      <c r="I1719" s="89"/>
    </row>
    <row r="1720" spans="1:9">
      <c r="A1720" s="21"/>
      <c r="B1720"/>
      <c r="F1720" s="87"/>
      <c r="H1720" s="87"/>
      <c r="I1720" s="89"/>
    </row>
    <row r="1721" spans="1:9">
      <c r="A1721" s="21"/>
      <c r="B1721"/>
      <c r="F1721" s="87"/>
      <c r="H1721" s="87"/>
      <c r="I1721" s="89"/>
    </row>
    <row r="1722" spans="1:9">
      <c r="A1722" s="21"/>
      <c r="B1722"/>
      <c r="F1722" s="87"/>
      <c r="H1722" s="87"/>
      <c r="I1722" s="89"/>
    </row>
    <row r="1723" spans="1:9">
      <c r="A1723" s="21"/>
      <c r="B1723"/>
      <c r="F1723" s="87"/>
      <c r="H1723" s="87"/>
      <c r="I1723" s="89"/>
    </row>
    <row r="1724" spans="1:9">
      <c r="A1724" s="21"/>
      <c r="B1724"/>
      <c r="F1724" s="87"/>
      <c r="H1724" s="87"/>
      <c r="I1724" s="89"/>
    </row>
    <row r="1725" spans="1:9">
      <c r="A1725" s="21"/>
      <c r="B1725"/>
      <c r="F1725" s="87"/>
      <c r="H1725" s="87"/>
      <c r="I1725" s="89"/>
    </row>
    <row r="1726" spans="1:9">
      <c r="A1726" s="21"/>
      <c r="B1726"/>
      <c r="F1726" s="87"/>
      <c r="H1726" s="87"/>
      <c r="I1726" s="89"/>
    </row>
    <row r="1727" spans="1:9">
      <c r="A1727" s="21"/>
      <c r="B1727"/>
      <c r="F1727" s="87"/>
      <c r="H1727" s="87"/>
      <c r="I1727" s="89"/>
    </row>
    <row r="1728" spans="1:9">
      <c r="A1728" s="21"/>
      <c r="B1728"/>
      <c r="F1728" s="87"/>
      <c r="H1728" s="87"/>
      <c r="I1728" s="89"/>
    </row>
    <row r="1729" spans="1:9">
      <c r="A1729" s="21"/>
      <c r="B1729"/>
      <c r="F1729" s="87"/>
      <c r="H1729" s="87"/>
      <c r="I1729" s="89"/>
    </row>
    <row r="1730" spans="1:9">
      <c r="A1730" s="21"/>
      <c r="B1730"/>
      <c r="F1730" s="87"/>
      <c r="H1730" s="87"/>
      <c r="I1730" s="89"/>
    </row>
    <row r="1731" spans="1:9">
      <c r="A1731" s="21"/>
      <c r="B1731"/>
      <c r="F1731" s="87"/>
      <c r="H1731" s="87"/>
      <c r="I1731" s="89"/>
    </row>
    <row r="1732" spans="1:9">
      <c r="A1732" s="21"/>
      <c r="B1732"/>
      <c r="F1732" s="87"/>
      <c r="H1732" s="87"/>
      <c r="I1732" s="89"/>
    </row>
    <row r="1733" spans="1:9">
      <c r="A1733" s="21"/>
      <c r="B1733"/>
      <c r="F1733" s="87"/>
      <c r="H1733" s="87"/>
      <c r="I1733" s="89"/>
    </row>
    <row r="1734" spans="1:9">
      <c r="A1734" s="21"/>
      <c r="B1734"/>
      <c r="F1734" s="87"/>
      <c r="H1734" s="87"/>
      <c r="I1734" s="89"/>
    </row>
    <row r="1735" spans="1:9">
      <c r="A1735" s="21"/>
      <c r="B1735"/>
      <c r="F1735" s="87"/>
      <c r="H1735" s="87"/>
      <c r="I1735" s="89"/>
    </row>
    <row r="1736" spans="1:9">
      <c r="A1736" s="21"/>
      <c r="B1736"/>
      <c r="F1736" s="87"/>
      <c r="H1736" s="87"/>
      <c r="I1736" s="89"/>
    </row>
    <row r="1737" spans="1:9">
      <c r="A1737" s="21"/>
      <c r="B1737"/>
      <c r="F1737" s="87"/>
      <c r="H1737" s="87"/>
      <c r="I1737" s="89"/>
    </row>
    <row r="1738" spans="1:9">
      <c r="A1738" s="21"/>
      <c r="B1738"/>
      <c r="F1738" s="87"/>
      <c r="H1738" s="87"/>
      <c r="I1738" s="89"/>
    </row>
    <row r="1739" spans="1:9">
      <c r="A1739" s="21"/>
      <c r="B1739"/>
      <c r="F1739" s="87"/>
      <c r="H1739" s="87"/>
      <c r="I1739" s="89"/>
    </row>
    <row r="1740" spans="1:9">
      <c r="A1740" s="21"/>
      <c r="B1740"/>
      <c r="F1740" s="87"/>
      <c r="H1740" s="87"/>
      <c r="I1740" s="89"/>
    </row>
    <row r="1741" spans="1:9">
      <c r="A1741" s="21"/>
      <c r="B1741"/>
      <c r="F1741" s="87"/>
      <c r="H1741" s="87"/>
      <c r="I1741" s="89"/>
    </row>
    <row r="1742" spans="1:9">
      <c r="A1742" s="21"/>
      <c r="B1742"/>
      <c r="F1742" s="87"/>
      <c r="H1742" s="87"/>
      <c r="I1742" s="89"/>
    </row>
    <row r="1743" spans="1:9">
      <c r="A1743" s="21"/>
      <c r="B1743"/>
      <c r="F1743" s="87"/>
      <c r="H1743" s="87"/>
      <c r="I1743" s="89"/>
    </row>
    <row r="1744" spans="1:9">
      <c r="A1744" s="21"/>
      <c r="B1744"/>
      <c r="F1744" s="87"/>
      <c r="H1744" s="87"/>
      <c r="I1744" s="89"/>
    </row>
    <row r="1745" spans="1:9">
      <c r="A1745" s="21"/>
      <c r="B1745"/>
      <c r="F1745" s="87"/>
      <c r="H1745" s="87"/>
      <c r="I1745" s="89"/>
    </row>
    <row r="1746" spans="1:9">
      <c r="A1746" s="21"/>
      <c r="B1746"/>
      <c r="F1746" s="87"/>
      <c r="H1746" s="87"/>
      <c r="I1746" s="89"/>
    </row>
    <row r="1747" spans="1:9">
      <c r="A1747" s="21"/>
      <c r="B1747"/>
      <c r="F1747" s="87"/>
      <c r="H1747" s="87"/>
      <c r="I1747" s="89"/>
    </row>
    <row r="1748" spans="1:9">
      <c r="A1748" s="21"/>
      <c r="B1748"/>
      <c r="F1748" s="87"/>
      <c r="H1748" s="87"/>
      <c r="I1748" s="89"/>
    </row>
    <row r="1749" spans="1:9">
      <c r="A1749" s="21"/>
      <c r="B1749"/>
      <c r="F1749" s="87"/>
      <c r="H1749" s="87"/>
      <c r="I1749" s="89"/>
    </row>
    <row r="1750" spans="1:9">
      <c r="A1750" s="21"/>
      <c r="B1750"/>
      <c r="F1750" s="87"/>
      <c r="H1750" s="87"/>
      <c r="I1750" s="89"/>
    </row>
    <row r="1751" spans="1:9">
      <c r="A1751" s="21"/>
      <c r="B1751"/>
      <c r="F1751" s="87"/>
      <c r="H1751" s="87"/>
      <c r="I1751" s="89"/>
    </row>
    <row r="1752" spans="1:9">
      <c r="A1752" s="21"/>
      <c r="B1752"/>
      <c r="F1752" s="87"/>
      <c r="H1752" s="87"/>
      <c r="I1752" s="89"/>
    </row>
    <row r="1753" spans="1:9">
      <c r="A1753" s="21"/>
      <c r="B1753"/>
      <c r="F1753" s="87"/>
      <c r="H1753" s="87"/>
      <c r="I1753" s="89"/>
    </row>
    <row r="1754" spans="1:9">
      <c r="A1754" s="21"/>
      <c r="B1754"/>
      <c r="F1754" s="87"/>
      <c r="H1754" s="87"/>
      <c r="I1754" s="89"/>
    </row>
    <row r="1755" spans="1:9">
      <c r="A1755" s="21"/>
      <c r="B1755"/>
      <c r="F1755" s="87"/>
      <c r="H1755" s="87"/>
      <c r="I1755" s="89"/>
    </row>
    <row r="1756" spans="1:9">
      <c r="A1756" s="21"/>
      <c r="B1756"/>
      <c r="F1756" s="87"/>
      <c r="H1756" s="87"/>
      <c r="I1756" s="89"/>
    </row>
    <row r="1757" spans="1:9">
      <c r="A1757" s="21"/>
      <c r="B1757"/>
      <c r="F1757" s="87"/>
      <c r="H1757" s="87"/>
      <c r="I1757" s="89"/>
    </row>
    <row r="1758" spans="1:9">
      <c r="A1758" s="21"/>
      <c r="B1758"/>
      <c r="F1758" s="87"/>
      <c r="H1758" s="87"/>
      <c r="I1758" s="89"/>
    </row>
    <row r="1759" spans="1:9">
      <c r="A1759" s="21"/>
      <c r="B1759"/>
      <c r="F1759" s="87"/>
      <c r="H1759" s="87"/>
      <c r="I1759" s="89"/>
    </row>
    <row r="1760" spans="1:9">
      <c r="A1760" s="21"/>
      <c r="B1760"/>
      <c r="F1760" s="87"/>
      <c r="H1760" s="87"/>
      <c r="I1760" s="89"/>
    </row>
    <row r="1761" spans="1:9">
      <c r="A1761" s="21"/>
      <c r="B1761"/>
      <c r="F1761" s="87"/>
      <c r="H1761" s="87"/>
      <c r="I1761" s="89"/>
    </row>
    <row r="1762" spans="1:9">
      <c r="A1762" s="21"/>
      <c r="B1762"/>
      <c r="F1762" s="87"/>
      <c r="H1762" s="87"/>
      <c r="I1762" s="89"/>
    </row>
    <row r="1763" spans="1:9">
      <c r="A1763" s="21"/>
      <c r="B1763"/>
      <c r="F1763" s="87"/>
      <c r="H1763" s="87"/>
      <c r="I1763" s="89"/>
    </row>
    <row r="1764" spans="1:9">
      <c r="A1764" s="21"/>
      <c r="B1764"/>
      <c r="F1764" s="87"/>
      <c r="H1764" s="87"/>
      <c r="I1764" s="89"/>
    </row>
    <row r="1765" spans="1:9">
      <c r="A1765" s="21"/>
      <c r="B1765"/>
      <c r="F1765" s="87"/>
      <c r="H1765" s="87"/>
      <c r="I1765" s="89"/>
    </row>
    <row r="1766" spans="1:9">
      <c r="A1766" s="21"/>
      <c r="B1766"/>
      <c r="F1766" s="87"/>
      <c r="H1766" s="87"/>
      <c r="I1766" s="89"/>
    </row>
    <row r="1767" spans="1:9">
      <c r="A1767" s="21"/>
      <c r="B1767"/>
      <c r="F1767" s="87"/>
      <c r="H1767" s="87"/>
      <c r="I1767" s="89"/>
    </row>
    <row r="1768" spans="1:9">
      <c r="A1768" s="21"/>
      <c r="B1768"/>
      <c r="F1768" s="87"/>
      <c r="H1768" s="87"/>
      <c r="I1768" s="89"/>
    </row>
    <row r="1769" spans="1:9">
      <c r="A1769" s="21"/>
      <c r="B1769"/>
      <c r="F1769" s="87"/>
      <c r="H1769" s="87"/>
      <c r="I1769" s="89"/>
    </row>
    <row r="1770" spans="1:9">
      <c r="A1770" s="21"/>
      <c r="B1770"/>
      <c r="F1770" s="87"/>
      <c r="H1770" s="87"/>
      <c r="I1770" s="89"/>
    </row>
    <row r="1771" spans="1:9">
      <c r="A1771" s="21"/>
      <c r="B1771"/>
      <c r="F1771" s="87"/>
      <c r="H1771" s="87"/>
      <c r="I1771" s="89"/>
    </row>
    <row r="1772" spans="1:9">
      <c r="A1772" s="21"/>
      <c r="B1772"/>
      <c r="F1772" s="87"/>
      <c r="H1772" s="87"/>
      <c r="I1772" s="89"/>
    </row>
    <row r="1773" spans="1:9">
      <c r="A1773" s="21"/>
      <c r="B1773"/>
      <c r="F1773" s="87"/>
      <c r="H1773" s="87"/>
      <c r="I1773" s="89"/>
    </row>
    <row r="1774" spans="1:9">
      <c r="A1774" s="21"/>
      <c r="B1774"/>
      <c r="F1774" s="87"/>
      <c r="H1774" s="87"/>
      <c r="I1774" s="89"/>
    </row>
    <row r="1775" spans="1:9">
      <c r="A1775" s="21"/>
      <c r="B1775"/>
      <c r="F1775" s="87"/>
      <c r="H1775" s="87"/>
      <c r="I1775" s="89"/>
    </row>
    <row r="1776" spans="1:9">
      <c r="A1776" s="21"/>
      <c r="B1776"/>
      <c r="F1776" s="87"/>
      <c r="H1776" s="87"/>
      <c r="I1776" s="89"/>
    </row>
    <row r="1777" spans="1:9">
      <c r="A1777" s="21"/>
      <c r="B1777"/>
      <c r="F1777" s="87"/>
      <c r="H1777" s="87"/>
      <c r="I1777" s="89"/>
    </row>
    <row r="1778" spans="1:9">
      <c r="A1778" s="21"/>
      <c r="B1778"/>
      <c r="F1778" s="87"/>
      <c r="H1778" s="87"/>
      <c r="I1778" s="89"/>
    </row>
    <row r="1779" spans="1:9">
      <c r="A1779" s="21"/>
      <c r="B1779"/>
      <c r="F1779" s="87"/>
      <c r="H1779" s="87"/>
      <c r="I1779" s="89"/>
    </row>
    <row r="1780" spans="1:9">
      <c r="A1780" s="21"/>
      <c r="B1780"/>
      <c r="F1780" s="87"/>
      <c r="H1780" s="87"/>
      <c r="I1780" s="89"/>
    </row>
    <row r="1781" spans="1:9">
      <c r="A1781" s="21"/>
      <c r="B1781"/>
      <c r="F1781" s="87"/>
      <c r="H1781" s="87"/>
      <c r="I1781" s="89"/>
    </row>
    <row r="1782" spans="1:9">
      <c r="A1782" s="21"/>
      <c r="B1782"/>
      <c r="F1782" s="87"/>
      <c r="H1782" s="87"/>
      <c r="I1782" s="89"/>
    </row>
    <row r="1783" spans="1:9">
      <c r="A1783" s="21"/>
      <c r="B1783"/>
      <c r="F1783" s="87"/>
      <c r="H1783" s="87"/>
      <c r="I1783" s="89"/>
    </row>
    <row r="1784" spans="1:9">
      <c r="A1784" s="21"/>
      <c r="B1784"/>
      <c r="F1784" s="87"/>
      <c r="H1784" s="87"/>
      <c r="I1784" s="89"/>
    </row>
    <row r="1785" spans="1:9">
      <c r="A1785" s="21"/>
      <c r="B1785"/>
      <c r="F1785" s="87"/>
      <c r="H1785" s="87"/>
      <c r="I1785" s="89"/>
    </row>
    <row r="1786" spans="1:9">
      <c r="A1786" s="21"/>
      <c r="B1786"/>
      <c r="F1786" s="87"/>
      <c r="H1786" s="87"/>
      <c r="I1786" s="89"/>
    </row>
    <row r="1787" spans="1:9">
      <c r="A1787" s="21"/>
      <c r="B1787"/>
      <c r="F1787" s="87"/>
      <c r="H1787" s="87"/>
      <c r="I1787" s="89"/>
    </row>
    <row r="1788" spans="1:9">
      <c r="A1788" s="21"/>
      <c r="B1788"/>
      <c r="F1788" s="87"/>
      <c r="H1788" s="87"/>
      <c r="I1788" s="89"/>
    </row>
    <row r="1789" spans="1:9">
      <c r="A1789" s="21"/>
      <c r="B1789"/>
      <c r="F1789" s="87"/>
      <c r="H1789" s="87"/>
      <c r="I1789" s="89"/>
    </row>
    <row r="1790" spans="1:9">
      <c r="A1790" s="21"/>
      <c r="B1790"/>
      <c r="F1790" s="87"/>
      <c r="H1790" s="87"/>
      <c r="I1790" s="89"/>
    </row>
    <row r="1791" spans="1:9">
      <c r="A1791" s="21"/>
      <c r="B1791"/>
      <c r="F1791" s="87"/>
      <c r="H1791" s="87"/>
      <c r="I1791" s="89"/>
    </row>
    <row r="1792" spans="1:9">
      <c r="A1792" s="21"/>
      <c r="B1792"/>
      <c r="F1792" s="87"/>
      <c r="H1792" s="87"/>
      <c r="I1792" s="89"/>
    </row>
    <row r="1793" spans="1:9">
      <c r="A1793" s="21"/>
      <c r="B1793"/>
      <c r="F1793" s="87"/>
      <c r="H1793" s="87"/>
      <c r="I1793" s="89"/>
    </row>
    <row r="1794" spans="1:9">
      <c r="A1794" s="21"/>
      <c r="B1794"/>
      <c r="F1794" s="87"/>
      <c r="H1794" s="87"/>
      <c r="I1794" s="89"/>
    </row>
    <row r="1795" spans="1:9">
      <c r="A1795" s="21"/>
      <c r="B1795"/>
      <c r="F1795" s="87"/>
      <c r="H1795" s="87"/>
      <c r="I1795" s="89"/>
    </row>
    <row r="1796" spans="1:9">
      <c r="A1796" s="21"/>
      <c r="B1796"/>
      <c r="F1796" s="87"/>
      <c r="H1796" s="87"/>
      <c r="I1796" s="89"/>
    </row>
    <row r="1797" spans="1:9">
      <c r="A1797" s="21"/>
      <c r="B1797"/>
      <c r="F1797" s="87"/>
      <c r="H1797" s="87"/>
      <c r="I1797" s="89"/>
    </row>
    <row r="1798" spans="1:9">
      <c r="A1798" s="21"/>
      <c r="B1798"/>
      <c r="F1798" s="87"/>
      <c r="H1798" s="87"/>
      <c r="I1798" s="89"/>
    </row>
    <row r="1799" spans="1:9">
      <c r="A1799" s="21"/>
      <c r="B1799"/>
      <c r="F1799" s="87"/>
      <c r="H1799" s="87"/>
      <c r="I1799" s="89"/>
    </row>
    <row r="1800" spans="1:9">
      <c r="A1800" s="21"/>
      <c r="B1800"/>
      <c r="F1800" s="87"/>
      <c r="H1800" s="87"/>
      <c r="I1800" s="89"/>
    </row>
    <row r="1801" spans="1:9">
      <c r="A1801" s="21"/>
      <c r="B1801"/>
      <c r="F1801" s="87"/>
      <c r="H1801" s="87"/>
      <c r="I1801" s="89"/>
    </row>
    <row r="1802" spans="1:9">
      <c r="A1802" s="21"/>
      <c r="B1802"/>
      <c r="F1802" s="87"/>
      <c r="H1802" s="87"/>
      <c r="I1802" s="89"/>
    </row>
    <row r="1803" spans="1:9">
      <c r="A1803" s="21"/>
      <c r="B1803"/>
      <c r="F1803" s="87"/>
      <c r="H1803" s="87"/>
      <c r="I1803" s="89"/>
    </row>
    <row r="1804" spans="1:9">
      <c r="A1804" s="21"/>
      <c r="B1804"/>
      <c r="F1804" s="87"/>
      <c r="H1804" s="87"/>
      <c r="I1804" s="89"/>
    </row>
    <row r="1805" spans="1:9">
      <c r="A1805" s="21"/>
      <c r="B1805"/>
      <c r="F1805" s="87"/>
      <c r="H1805" s="87"/>
      <c r="I1805" s="89"/>
    </row>
    <row r="1806" spans="1:9">
      <c r="A1806" s="21"/>
      <c r="B1806"/>
      <c r="F1806" s="87"/>
      <c r="H1806" s="87"/>
      <c r="I1806" s="89"/>
    </row>
    <row r="1807" spans="1:9">
      <c r="A1807" s="21"/>
      <c r="B1807"/>
      <c r="F1807" s="87"/>
      <c r="H1807" s="87"/>
      <c r="I1807" s="89"/>
    </row>
    <row r="1808" spans="1:9">
      <c r="A1808" s="21"/>
      <c r="B1808"/>
      <c r="F1808" s="87"/>
      <c r="H1808" s="87"/>
      <c r="I1808" s="89"/>
    </row>
    <row r="1809" spans="1:9">
      <c r="A1809" s="21"/>
      <c r="B1809"/>
      <c r="F1809" s="87"/>
      <c r="H1809" s="87"/>
      <c r="I1809" s="89"/>
    </row>
    <row r="1810" spans="1:9">
      <c r="A1810" s="21"/>
      <c r="B1810"/>
      <c r="F1810" s="87"/>
      <c r="H1810" s="87"/>
      <c r="I1810" s="89"/>
    </row>
    <row r="1811" spans="1:9">
      <c r="A1811" s="21"/>
      <c r="B1811"/>
      <c r="F1811" s="87"/>
      <c r="H1811" s="87"/>
      <c r="I1811" s="89"/>
    </row>
    <row r="1812" spans="1:9">
      <c r="A1812" s="21"/>
      <c r="B1812"/>
      <c r="F1812" s="87"/>
      <c r="H1812" s="87"/>
      <c r="I1812" s="89"/>
    </row>
    <row r="1813" spans="1:9">
      <c r="A1813" s="21"/>
      <c r="B1813"/>
      <c r="F1813" s="87"/>
      <c r="H1813" s="87"/>
      <c r="I1813" s="89"/>
    </row>
    <row r="1814" spans="1:9">
      <c r="A1814" s="21"/>
      <c r="B1814"/>
      <c r="F1814" s="87"/>
      <c r="H1814" s="87"/>
      <c r="I1814" s="89"/>
    </row>
    <row r="1815" spans="1:9">
      <c r="A1815" s="21"/>
      <c r="B1815"/>
      <c r="F1815" s="87"/>
      <c r="H1815" s="87"/>
      <c r="I1815" s="89"/>
    </row>
    <row r="1816" spans="1:9">
      <c r="A1816" s="21"/>
      <c r="B1816"/>
      <c r="F1816" s="87"/>
      <c r="H1816" s="87"/>
      <c r="I1816" s="89"/>
    </row>
    <row r="1817" spans="1:9">
      <c r="A1817" s="21"/>
      <c r="B1817"/>
      <c r="F1817" s="87"/>
      <c r="H1817" s="87"/>
      <c r="I1817" s="89"/>
    </row>
    <row r="1818" spans="1:9">
      <c r="A1818" s="21"/>
      <c r="B1818"/>
      <c r="F1818" s="87"/>
      <c r="H1818" s="87"/>
      <c r="I1818" s="89"/>
    </row>
    <row r="1819" spans="1:9">
      <c r="A1819" s="21"/>
      <c r="B1819"/>
      <c r="F1819" s="87"/>
      <c r="H1819" s="87"/>
      <c r="I1819" s="89"/>
    </row>
    <row r="1820" spans="1:9">
      <c r="A1820" s="21"/>
      <c r="B1820"/>
      <c r="F1820" s="87"/>
      <c r="H1820" s="87"/>
      <c r="I1820" s="89"/>
    </row>
    <row r="1821" spans="1:9">
      <c r="A1821" s="21"/>
      <c r="B1821"/>
      <c r="F1821" s="87"/>
      <c r="H1821" s="87"/>
      <c r="I1821" s="89"/>
    </row>
    <row r="1822" spans="1:9">
      <c r="A1822" s="21"/>
      <c r="B1822"/>
      <c r="F1822" s="87"/>
      <c r="H1822" s="87"/>
      <c r="I1822" s="89"/>
    </row>
    <row r="1823" spans="1:9">
      <c r="A1823" s="21"/>
      <c r="B1823"/>
      <c r="F1823" s="87"/>
      <c r="H1823" s="87"/>
      <c r="I1823" s="89"/>
    </row>
    <row r="1824" spans="1:9">
      <c r="A1824" s="21"/>
      <c r="B1824"/>
      <c r="F1824" s="87"/>
      <c r="H1824" s="87"/>
      <c r="I1824" s="89"/>
    </row>
    <row r="1825" spans="1:9">
      <c r="A1825" s="21"/>
      <c r="B1825"/>
      <c r="F1825" s="87"/>
      <c r="H1825" s="87"/>
      <c r="I1825" s="89"/>
    </row>
    <row r="1826" spans="1:9">
      <c r="A1826" s="21"/>
      <c r="B1826"/>
      <c r="F1826" s="87"/>
      <c r="H1826" s="87"/>
      <c r="I1826" s="89"/>
    </row>
    <row r="1827" spans="1:9">
      <c r="A1827" s="21"/>
      <c r="B1827"/>
      <c r="F1827" s="87"/>
      <c r="H1827" s="87"/>
      <c r="I1827" s="89"/>
    </row>
    <row r="1828" spans="1:9">
      <c r="A1828" s="21"/>
      <c r="B1828"/>
      <c r="F1828" s="87"/>
      <c r="H1828" s="87"/>
      <c r="I1828" s="89"/>
    </row>
    <row r="1829" spans="1:9">
      <c r="A1829" s="21"/>
      <c r="B1829"/>
      <c r="F1829" s="87"/>
      <c r="H1829" s="87"/>
      <c r="I1829" s="89"/>
    </row>
    <row r="1830" spans="1:9">
      <c r="A1830" s="21"/>
      <c r="B1830"/>
      <c r="F1830" s="87"/>
      <c r="H1830" s="87"/>
      <c r="I1830" s="89"/>
    </row>
    <row r="1831" spans="1:9">
      <c r="A1831" s="21"/>
      <c r="B1831"/>
      <c r="F1831" s="87"/>
      <c r="H1831" s="87"/>
      <c r="I1831" s="89"/>
    </row>
    <row r="1832" spans="1:9">
      <c r="A1832" s="21"/>
      <c r="B1832"/>
      <c r="F1832" s="87"/>
      <c r="H1832" s="87"/>
      <c r="I1832" s="89"/>
    </row>
    <row r="1833" spans="1:9">
      <c r="A1833" s="21"/>
      <c r="B1833"/>
      <c r="F1833" s="87"/>
      <c r="H1833" s="87"/>
      <c r="I1833" s="89"/>
    </row>
    <row r="1834" spans="1:9">
      <c r="A1834" s="21"/>
      <c r="B1834"/>
      <c r="F1834" s="87"/>
      <c r="H1834" s="87"/>
      <c r="I1834" s="89"/>
    </row>
    <row r="1835" spans="1:9">
      <c r="A1835" s="21"/>
      <c r="B1835"/>
      <c r="F1835" s="87"/>
      <c r="H1835" s="87"/>
      <c r="I1835" s="89"/>
    </row>
    <row r="1836" spans="1:9">
      <c r="A1836" s="21"/>
      <c r="B1836"/>
      <c r="F1836" s="87"/>
      <c r="H1836" s="87"/>
      <c r="I1836" s="89"/>
    </row>
    <row r="1837" spans="1:9">
      <c r="A1837" s="21"/>
      <c r="B1837"/>
      <c r="F1837" s="87"/>
      <c r="H1837" s="87"/>
      <c r="I1837" s="89"/>
    </row>
    <row r="1838" spans="1:9">
      <c r="A1838" s="21"/>
      <c r="B1838"/>
      <c r="F1838" s="87"/>
      <c r="H1838" s="87"/>
      <c r="I1838" s="89"/>
    </row>
    <row r="1839" spans="1:9">
      <c r="A1839" s="21"/>
      <c r="B1839"/>
      <c r="F1839" s="87"/>
      <c r="H1839" s="87"/>
      <c r="I1839" s="89"/>
    </row>
    <row r="1840" spans="1:9">
      <c r="A1840" s="21"/>
      <c r="B1840"/>
      <c r="F1840" s="87"/>
      <c r="H1840" s="87"/>
      <c r="I1840" s="89"/>
    </row>
    <row r="1841" spans="1:9">
      <c r="A1841" s="21"/>
      <c r="B1841"/>
      <c r="F1841" s="87"/>
      <c r="H1841" s="87"/>
      <c r="I1841" s="89"/>
    </row>
    <row r="1842" spans="1:9">
      <c r="A1842" s="21"/>
      <c r="B1842"/>
      <c r="F1842" s="87"/>
      <c r="H1842" s="87"/>
      <c r="I1842" s="89"/>
    </row>
    <row r="1843" spans="1:9">
      <c r="A1843" s="21"/>
      <c r="B1843"/>
      <c r="F1843" s="87"/>
      <c r="H1843" s="87"/>
      <c r="I1843" s="89"/>
    </row>
    <row r="1844" spans="1:9">
      <c r="A1844" s="21"/>
      <c r="B1844"/>
      <c r="F1844" s="87"/>
      <c r="H1844" s="87"/>
      <c r="I1844" s="89"/>
    </row>
    <row r="1845" spans="1:9">
      <c r="A1845" s="21"/>
      <c r="B1845"/>
      <c r="F1845" s="87"/>
      <c r="H1845" s="87"/>
      <c r="I1845" s="89"/>
    </row>
    <row r="1846" spans="1:9">
      <c r="A1846" s="21"/>
      <c r="B1846"/>
      <c r="F1846" s="87"/>
      <c r="H1846" s="87"/>
      <c r="I1846" s="89"/>
    </row>
    <row r="1847" spans="1:9">
      <c r="A1847" s="21"/>
      <c r="B1847"/>
      <c r="F1847" s="87"/>
      <c r="H1847" s="87"/>
      <c r="I1847" s="89"/>
    </row>
    <row r="1848" spans="1:9">
      <c r="A1848" s="21"/>
      <c r="B1848"/>
      <c r="F1848" s="87"/>
      <c r="H1848" s="87"/>
      <c r="I1848" s="89"/>
    </row>
    <row r="1849" spans="1:9">
      <c r="A1849" s="21"/>
      <c r="B1849"/>
      <c r="F1849" s="87"/>
      <c r="H1849" s="87"/>
      <c r="I1849" s="89"/>
    </row>
    <row r="1850" spans="1:9">
      <c r="A1850" s="21"/>
      <c r="B1850"/>
      <c r="F1850" s="87"/>
      <c r="H1850" s="87"/>
      <c r="I1850" s="89"/>
    </row>
    <row r="1851" spans="1:9">
      <c r="A1851" s="21"/>
      <c r="B1851"/>
      <c r="F1851" s="87"/>
      <c r="H1851" s="87"/>
      <c r="I1851" s="89"/>
    </row>
    <row r="1852" spans="1:9">
      <c r="A1852" s="21"/>
      <c r="B1852"/>
      <c r="F1852" s="87"/>
      <c r="H1852" s="87"/>
      <c r="I1852" s="89"/>
    </row>
    <row r="1853" spans="1:9">
      <c r="A1853" s="21"/>
      <c r="B1853"/>
      <c r="F1853" s="87"/>
      <c r="H1853" s="87"/>
      <c r="I1853" s="89"/>
    </row>
    <row r="1854" spans="1:9">
      <c r="A1854" s="21"/>
      <c r="B1854"/>
      <c r="F1854" s="87"/>
      <c r="H1854" s="87"/>
      <c r="I1854" s="89"/>
    </row>
    <row r="1855" spans="1:9">
      <c r="A1855" s="21"/>
      <c r="B1855"/>
      <c r="F1855" s="87"/>
      <c r="H1855" s="87"/>
      <c r="I1855" s="89"/>
    </row>
    <row r="1856" spans="1:9">
      <c r="A1856" s="21"/>
      <c r="B1856"/>
      <c r="F1856" s="87"/>
      <c r="H1856" s="87"/>
      <c r="I1856" s="89"/>
    </row>
    <row r="1857" spans="1:9">
      <c r="A1857" s="21"/>
      <c r="B1857"/>
      <c r="F1857" s="87"/>
      <c r="H1857" s="87"/>
      <c r="I1857" s="89"/>
    </row>
    <row r="1858" spans="1:9">
      <c r="A1858" s="21"/>
      <c r="B1858"/>
      <c r="F1858" s="87"/>
      <c r="H1858" s="87"/>
      <c r="I1858" s="89"/>
    </row>
    <row r="1859" spans="1:9">
      <c r="A1859" s="21"/>
      <c r="B1859"/>
      <c r="F1859" s="87"/>
      <c r="H1859" s="87"/>
      <c r="I1859" s="89"/>
    </row>
    <row r="1860" spans="1:9">
      <c r="A1860" s="21"/>
      <c r="B1860"/>
      <c r="F1860" s="87"/>
      <c r="H1860" s="87"/>
      <c r="I1860" s="89"/>
    </row>
    <row r="1861" spans="1:9">
      <c r="A1861" s="21"/>
      <c r="B1861"/>
      <c r="F1861" s="87"/>
      <c r="H1861" s="87"/>
      <c r="I1861" s="89"/>
    </row>
    <row r="1862" spans="1:9">
      <c r="A1862" s="21"/>
      <c r="B1862"/>
      <c r="F1862" s="87"/>
      <c r="H1862" s="87"/>
      <c r="I1862" s="89"/>
    </row>
    <row r="1863" spans="1:9">
      <c r="A1863" s="21"/>
      <c r="B1863"/>
      <c r="F1863" s="87"/>
      <c r="H1863" s="87"/>
      <c r="I1863" s="89"/>
    </row>
    <row r="1864" spans="1:9">
      <c r="A1864" s="21"/>
      <c r="B1864"/>
      <c r="F1864" s="87"/>
      <c r="H1864" s="87"/>
      <c r="I1864" s="89"/>
    </row>
    <row r="1865" spans="1:9">
      <c r="A1865" s="21"/>
      <c r="B1865"/>
      <c r="F1865" s="87"/>
      <c r="H1865" s="87"/>
      <c r="I1865" s="89"/>
    </row>
    <row r="1866" spans="1:9">
      <c r="A1866" s="21"/>
      <c r="B1866"/>
      <c r="F1866" s="87"/>
      <c r="H1866" s="87"/>
      <c r="I1866" s="89"/>
    </row>
    <row r="1867" spans="1:9">
      <c r="A1867" s="21"/>
      <c r="B1867"/>
      <c r="F1867" s="87"/>
      <c r="H1867" s="87"/>
      <c r="I1867" s="89"/>
    </row>
    <row r="1868" spans="1:9">
      <c r="A1868" s="21"/>
      <c r="B1868"/>
      <c r="F1868" s="87"/>
      <c r="H1868" s="87"/>
      <c r="I1868" s="89"/>
    </row>
    <row r="1869" spans="1:9">
      <c r="A1869" s="21"/>
      <c r="B1869"/>
      <c r="F1869" s="87"/>
      <c r="H1869" s="87"/>
      <c r="I1869" s="89"/>
    </row>
    <row r="1870" spans="1:9">
      <c r="A1870" s="21"/>
      <c r="B1870"/>
      <c r="F1870" s="87"/>
      <c r="H1870" s="87"/>
      <c r="I1870" s="89"/>
    </row>
    <row r="1871" spans="1:9">
      <c r="A1871" s="21"/>
      <c r="B1871"/>
      <c r="F1871" s="87"/>
      <c r="H1871" s="87"/>
      <c r="I1871" s="89"/>
    </row>
    <row r="1872" spans="1:9">
      <c r="A1872" s="21"/>
      <c r="B1872"/>
      <c r="F1872" s="87"/>
      <c r="H1872" s="87"/>
      <c r="I1872" s="89"/>
    </row>
    <row r="1873" spans="1:9">
      <c r="A1873" s="21"/>
      <c r="B1873"/>
      <c r="F1873" s="87"/>
      <c r="H1873" s="87"/>
      <c r="I1873" s="89"/>
    </row>
    <row r="1874" spans="1:9">
      <c r="A1874" s="21"/>
      <c r="B1874"/>
      <c r="F1874" s="87"/>
      <c r="H1874" s="87"/>
      <c r="I1874" s="89"/>
    </row>
    <row r="1875" spans="1:9">
      <c r="A1875" s="21"/>
      <c r="B1875"/>
      <c r="F1875" s="87"/>
      <c r="H1875" s="87"/>
      <c r="I1875" s="89"/>
    </row>
    <row r="1876" spans="1:9">
      <c r="A1876" s="21"/>
      <c r="B1876"/>
      <c r="F1876" s="87"/>
      <c r="H1876" s="87"/>
      <c r="I1876" s="89"/>
    </row>
    <row r="1877" spans="1:9">
      <c r="A1877" s="21"/>
      <c r="B1877"/>
      <c r="F1877" s="87"/>
      <c r="H1877" s="87"/>
      <c r="I1877" s="89"/>
    </row>
    <row r="1878" spans="1:9">
      <c r="A1878" s="21"/>
      <c r="B1878"/>
      <c r="F1878" s="87"/>
      <c r="H1878" s="87"/>
      <c r="I1878" s="89"/>
    </row>
    <row r="1879" spans="1:9">
      <c r="A1879" s="21"/>
      <c r="B1879"/>
      <c r="F1879" s="87"/>
      <c r="H1879" s="87"/>
      <c r="I1879" s="89"/>
    </row>
    <row r="1880" spans="1:9">
      <c r="A1880" s="21"/>
      <c r="B1880"/>
      <c r="F1880" s="87"/>
      <c r="H1880" s="87"/>
      <c r="I1880" s="89"/>
    </row>
    <row r="1881" spans="1:9">
      <c r="A1881" s="21"/>
      <c r="B1881"/>
      <c r="F1881" s="87"/>
      <c r="H1881" s="87"/>
      <c r="I1881" s="89"/>
    </row>
    <row r="1882" spans="1:9">
      <c r="A1882" s="21"/>
      <c r="B1882"/>
      <c r="F1882" s="87"/>
      <c r="H1882" s="87"/>
      <c r="I1882" s="89"/>
    </row>
    <row r="1883" spans="1:9">
      <c r="A1883" s="21"/>
      <c r="B1883"/>
      <c r="F1883" s="87"/>
      <c r="H1883" s="87"/>
      <c r="I1883" s="89"/>
    </row>
    <row r="1884" spans="1:9">
      <c r="A1884" s="21"/>
      <c r="B1884"/>
      <c r="F1884" s="87"/>
      <c r="H1884" s="87"/>
      <c r="I1884" s="89"/>
    </row>
    <row r="1885" spans="1:9">
      <c r="A1885" s="21"/>
      <c r="B1885"/>
      <c r="F1885" s="87"/>
      <c r="H1885" s="87"/>
      <c r="I1885" s="89"/>
    </row>
    <row r="1886" spans="1:9">
      <c r="A1886" s="21"/>
      <c r="B1886"/>
      <c r="F1886" s="87"/>
      <c r="H1886" s="87"/>
      <c r="I1886" s="89"/>
    </row>
    <row r="1887" spans="1:9">
      <c r="A1887" s="21"/>
      <c r="B1887"/>
      <c r="F1887" s="87"/>
      <c r="H1887" s="87"/>
      <c r="I1887" s="89"/>
    </row>
    <row r="1888" spans="1:9">
      <c r="A1888" s="21"/>
      <c r="B1888"/>
      <c r="F1888" s="87"/>
      <c r="H1888" s="87"/>
      <c r="I1888" s="89"/>
    </row>
    <row r="1889" spans="1:9">
      <c r="A1889" s="21"/>
      <c r="B1889"/>
      <c r="F1889" s="87"/>
      <c r="H1889" s="87"/>
      <c r="I1889" s="89"/>
    </row>
    <row r="1890" spans="1:9">
      <c r="A1890" s="21"/>
      <c r="B1890"/>
      <c r="F1890" s="87"/>
      <c r="H1890" s="87"/>
      <c r="I1890" s="89"/>
    </row>
    <row r="1891" spans="1:9">
      <c r="A1891" s="21"/>
      <c r="B1891"/>
      <c r="F1891" s="87"/>
      <c r="H1891" s="87"/>
      <c r="I1891" s="89"/>
    </row>
    <row r="1892" spans="1:9">
      <c r="A1892" s="21"/>
      <c r="B1892"/>
      <c r="F1892" s="87"/>
      <c r="H1892" s="87"/>
      <c r="I1892" s="89"/>
    </row>
    <row r="1893" spans="1:9">
      <c r="A1893" s="21"/>
      <c r="B1893"/>
      <c r="F1893" s="87"/>
      <c r="H1893" s="87"/>
      <c r="I1893" s="89"/>
    </row>
    <row r="1894" spans="1:9">
      <c r="A1894" s="21"/>
      <c r="B1894"/>
      <c r="F1894" s="87"/>
      <c r="H1894" s="87"/>
      <c r="I1894" s="89"/>
    </row>
    <row r="1895" spans="1:9">
      <c r="A1895" s="21"/>
      <c r="B1895"/>
      <c r="F1895" s="87"/>
      <c r="H1895" s="87"/>
      <c r="I1895" s="89"/>
    </row>
    <row r="1896" spans="1:9">
      <c r="A1896" s="21"/>
      <c r="B1896"/>
      <c r="F1896" s="87"/>
      <c r="H1896" s="87"/>
      <c r="I1896" s="89"/>
    </row>
    <row r="1897" spans="1:9">
      <c r="A1897" s="21"/>
      <c r="B1897"/>
      <c r="F1897" s="87"/>
      <c r="H1897" s="87"/>
      <c r="I1897" s="89"/>
    </row>
    <row r="1898" spans="1:9">
      <c r="A1898" s="21"/>
      <c r="B1898"/>
      <c r="F1898" s="87"/>
      <c r="H1898" s="87"/>
      <c r="I1898" s="89"/>
    </row>
    <row r="1899" spans="1:9">
      <c r="A1899" s="21"/>
      <c r="B1899"/>
      <c r="F1899" s="87"/>
      <c r="H1899" s="87"/>
      <c r="I1899" s="89"/>
    </row>
    <row r="1900" spans="1:9">
      <c r="A1900" s="21"/>
      <c r="B1900"/>
      <c r="F1900" s="87"/>
      <c r="H1900" s="87"/>
      <c r="I1900" s="89"/>
    </row>
    <row r="1901" spans="1:9">
      <c r="A1901" s="21"/>
      <c r="B1901"/>
      <c r="F1901" s="87"/>
      <c r="H1901" s="87"/>
      <c r="I1901" s="89"/>
    </row>
    <row r="1902" spans="1:9">
      <c r="A1902" s="21"/>
      <c r="B1902"/>
      <c r="F1902" s="87"/>
      <c r="H1902" s="87"/>
      <c r="I1902" s="89"/>
    </row>
    <row r="1903" spans="1:9">
      <c r="A1903" s="21"/>
      <c r="B1903"/>
      <c r="F1903" s="87"/>
      <c r="H1903" s="87"/>
      <c r="I1903" s="89"/>
    </row>
    <row r="1904" spans="1:9">
      <c r="A1904" s="21"/>
      <c r="B1904"/>
      <c r="F1904" s="87"/>
      <c r="H1904" s="87"/>
      <c r="I1904" s="89"/>
    </row>
    <row r="1905" spans="1:9">
      <c r="A1905" s="21"/>
      <c r="B1905"/>
      <c r="F1905" s="87"/>
      <c r="H1905" s="87"/>
      <c r="I1905" s="89"/>
    </row>
    <row r="1906" spans="1:9">
      <c r="A1906" s="21"/>
      <c r="B1906"/>
      <c r="F1906" s="87"/>
      <c r="H1906" s="87"/>
      <c r="I1906" s="89"/>
    </row>
    <row r="1907" spans="1:9">
      <c r="A1907" s="21"/>
      <c r="B1907"/>
      <c r="F1907" s="87"/>
      <c r="H1907" s="87"/>
      <c r="I1907" s="89"/>
    </row>
    <row r="1908" spans="1:9">
      <c r="A1908" s="21"/>
      <c r="B1908"/>
      <c r="F1908" s="87"/>
      <c r="H1908" s="87"/>
      <c r="I1908" s="89"/>
    </row>
    <row r="1909" spans="1:9">
      <c r="A1909" s="21"/>
      <c r="B1909"/>
      <c r="F1909" s="87"/>
      <c r="H1909" s="87"/>
      <c r="I1909" s="89"/>
    </row>
    <row r="1910" spans="1:9">
      <c r="A1910" s="21"/>
      <c r="B1910"/>
      <c r="F1910" s="87"/>
      <c r="H1910" s="87"/>
      <c r="I1910" s="89"/>
    </row>
    <row r="1911" spans="1:9">
      <c r="A1911" s="21"/>
      <c r="B1911"/>
      <c r="F1911" s="87"/>
      <c r="H1911" s="87"/>
      <c r="I1911" s="89"/>
    </row>
    <row r="1912" spans="1:9">
      <c r="A1912" s="21"/>
      <c r="B1912"/>
      <c r="F1912" s="87"/>
      <c r="H1912" s="87"/>
      <c r="I1912" s="89"/>
    </row>
    <row r="1913" spans="1:9">
      <c r="A1913" s="21"/>
      <c r="B1913"/>
      <c r="F1913" s="87"/>
      <c r="H1913" s="87"/>
      <c r="I1913" s="89"/>
    </row>
    <row r="1914" spans="1:9">
      <c r="A1914" s="21"/>
      <c r="B1914"/>
      <c r="F1914" s="87"/>
      <c r="H1914" s="87"/>
      <c r="I1914" s="89"/>
    </row>
    <row r="1915" spans="1:9">
      <c r="A1915" s="21"/>
      <c r="B1915"/>
      <c r="F1915" s="87"/>
      <c r="H1915" s="87"/>
      <c r="I1915" s="89"/>
    </row>
    <row r="1916" spans="1:9">
      <c r="A1916" s="21"/>
      <c r="B1916"/>
      <c r="F1916" s="87"/>
      <c r="H1916" s="87"/>
      <c r="I1916" s="89"/>
    </row>
    <row r="1917" spans="1:9">
      <c r="A1917" s="21"/>
      <c r="B1917"/>
      <c r="F1917" s="87"/>
      <c r="H1917" s="87"/>
      <c r="I1917" s="89"/>
    </row>
    <row r="1918" spans="1:9">
      <c r="A1918" s="21"/>
      <c r="B1918"/>
      <c r="F1918" s="87"/>
      <c r="H1918" s="87"/>
      <c r="I1918" s="89"/>
    </row>
    <row r="1919" spans="1:9">
      <c r="A1919" s="21"/>
      <c r="B1919"/>
      <c r="F1919" s="87"/>
      <c r="H1919" s="87"/>
      <c r="I1919" s="89"/>
    </row>
    <row r="1920" spans="1:9">
      <c r="A1920" s="21"/>
      <c r="B1920"/>
      <c r="F1920" s="87"/>
      <c r="H1920" s="87"/>
      <c r="I1920" s="89"/>
    </row>
    <row r="1921" spans="1:9">
      <c r="A1921" s="21"/>
      <c r="B1921"/>
      <c r="F1921" s="87"/>
      <c r="H1921" s="87"/>
      <c r="I1921" s="89"/>
    </row>
    <row r="1922" spans="1:9">
      <c r="A1922" s="21"/>
      <c r="B1922"/>
      <c r="F1922" s="87"/>
      <c r="H1922" s="87"/>
      <c r="I1922" s="89"/>
    </row>
    <row r="1923" spans="1:9">
      <c r="A1923" s="21"/>
      <c r="B1923"/>
      <c r="F1923" s="87"/>
      <c r="H1923" s="87"/>
      <c r="I1923" s="89"/>
    </row>
    <row r="1924" spans="1:9">
      <c r="A1924" s="21"/>
      <c r="B1924"/>
      <c r="F1924" s="87"/>
      <c r="H1924" s="87"/>
      <c r="I1924" s="89"/>
    </row>
    <row r="1925" spans="1:9">
      <c r="A1925" s="21"/>
      <c r="B1925"/>
      <c r="F1925" s="87"/>
      <c r="H1925" s="87"/>
      <c r="I1925" s="89"/>
    </row>
    <row r="1926" spans="1:9">
      <c r="A1926" s="21"/>
      <c r="B1926"/>
      <c r="F1926" s="87"/>
      <c r="H1926" s="87"/>
      <c r="I1926" s="89"/>
    </row>
    <row r="1927" spans="1:9">
      <c r="A1927" s="21"/>
      <c r="B1927"/>
      <c r="F1927" s="87"/>
      <c r="H1927" s="87"/>
      <c r="I1927" s="89"/>
    </row>
    <row r="1928" spans="1:9">
      <c r="A1928" s="21"/>
      <c r="B1928"/>
      <c r="F1928" s="87"/>
      <c r="H1928" s="87"/>
      <c r="I1928" s="89"/>
    </row>
    <row r="1929" spans="1:9">
      <c r="A1929" s="21"/>
      <c r="B1929"/>
      <c r="F1929" s="87"/>
      <c r="H1929" s="87"/>
      <c r="I1929" s="89"/>
    </row>
    <row r="1930" spans="1:9">
      <c r="A1930" s="21"/>
      <c r="B1930"/>
      <c r="F1930" s="87"/>
      <c r="H1930" s="87"/>
      <c r="I1930" s="89"/>
    </row>
    <row r="1931" spans="1:9">
      <c r="A1931" s="21"/>
      <c r="B1931"/>
      <c r="F1931" s="87"/>
      <c r="H1931" s="87"/>
      <c r="I1931" s="89"/>
    </row>
    <row r="1932" spans="1:9">
      <c r="A1932" s="21"/>
      <c r="B1932"/>
      <c r="F1932" s="87"/>
      <c r="H1932" s="87"/>
      <c r="I1932" s="89"/>
    </row>
    <row r="1933" spans="1:9">
      <c r="A1933" s="21"/>
      <c r="B1933"/>
      <c r="F1933" s="87"/>
      <c r="H1933" s="87"/>
      <c r="I1933" s="89"/>
    </row>
    <row r="1934" spans="1:9">
      <c r="A1934" s="21"/>
      <c r="B1934"/>
      <c r="F1934" s="87"/>
      <c r="H1934" s="87"/>
      <c r="I1934" s="89"/>
    </row>
    <row r="1935" spans="1:9">
      <c r="A1935" s="21"/>
      <c r="B1935"/>
      <c r="F1935" s="87"/>
      <c r="H1935" s="87"/>
      <c r="I1935" s="89"/>
    </row>
    <row r="1936" spans="1:9">
      <c r="A1936" s="21"/>
      <c r="B1936"/>
      <c r="F1936" s="87"/>
      <c r="H1936" s="87"/>
      <c r="I1936" s="89"/>
    </row>
    <row r="1937" spans="1:9">
      <c r="A1937" s="21"/>
      <c r="B1937"/>
      <c r="F1937" s="87"/>
      <c r="H1937" s="87"/>
      <c r="I1937" s="89"/>
    </row>
    <row r="1938" spans="1:9">
      <c r="A1938" s="21"/>
      <c r="B1938"/>
      <c r="F1938" s="87"/>
      <c r="H1938" s="87"/>
      <c r="I1938" s="89"/>
    </row>
    <row r="1939" spans="1:9">
      <c r="A1939" s="21"/>
      <c r="B1939"/>
      <c r="F1939" s="87"/>
      <c r="H1939" s="87"/>
      <c r="I1939" s="89"/>
    </row>
    <row r="1940" spans="1:9">
      <c r="A1940" s="21"/>
      <c r="B1940"/>
      <c r="F1940" s="87"/>
      <c r="H1940" s="87"/>
      <c r="I1940" s="89"/>
    </row>
    <row r="1941" spans="1:9">
      <c r="A1941" s="21"/>
      <c r="B1941"/>
      <c r="F1941" s="87"/>
      <c r="H1941" s="87"/>
      <c r="I1941" s="89"/>
    </row>
    <row r="1942" spans="1:9">
      <c r="A1942" s="21"/>
      <c r="B1942"/>
      <c r="F1942" s="87"/>
      <c r="H1942" s="87"/>
      <c r="I1942" s="89"/>
    </row>
    <row r="1943" spans="1:9">
      <c r="A1943" s="21"/>
      <c r="B1943"/>
      <c r="F1943" s="87"/>
      <c r="H1943" s="87"/>
      <c r="I1943" s="89"/>
    </row>
    <row r="1944" spans="1:9">
      <c r="A1944" s="21"/>
      <c r="B1944"/>
      <c r="F1944" s="87"/>
      <c r="H1944" s="87"/>
      <c r="I1944" s="89"/>
    </row>
    <row r="1945" spans="1:9">
      <c r="A1945" s="21"/>
      <c r="B1945"/>
      <c r="F1945" s="87"/>
      <c r="H1945" s="87"/>
      <c r="I1945" s="89"/>
    </row>
    <row r="1946" spans="1:9">
      <c r="A1946" s="21"/>
      <c r="B1946"/>
      <c r="F1946" s="87"/>
      <c r="H1946" s="87"/>
      <c r="I1946" s="89"/>
    </row>
    <row r="1947" spans="1:9">
      <c r="A1947" s="21"/>
      <c r="B1947"/>
      <c r="F1947" s="87"/>
      <c r="H1947" s="87"/>
      <c r="I1947" s="89"/>
    </row>
    <row r="1948" spans="1:9">
      <c r="A1948" s="21"/>
      <c r="B1948"/>
      <c r="F1948" s="87"/>
      <c r="H1948" s="87"/>
      <c r="I1948" s="89"/>
    </row>
    <row r="1949" spans="1:9">
      <c r="A1949" s="21"/>
      <c r="B1949"/>
      <c r="F1949" s="87"/>
      <c r="H1949" s="87"/>
      <c r="I1949" s="89"/>
    </row>
    <row r="1950" spans="1:9">
      <c r="A1950" s="21"/>
      <c r="B1950"/>
      <c r="F1950" s="87"/>
      <c r="H1950" s="87"/>
      <c r="I1950" s="89"/>
    </row>
    <row r="1951" spans="1:9">
      <c r="A1951" s="21"/>
      <c r="B1951"/>
      <c r="F1951" s="87"/>
      <c r="H1951" s="87"/>
      <c r="I1951" s="89"/>
    </row>
    <row r="1952" spans="1:9">
      <c r="A1952" s="21"/>
      <c r="B1952"/>
      <c r="F1952" s="87"/>
      <c r="H1952" s="87"/>
      <c r="I1952" s="89"/>
    </row>
    <row r="1953" spans="1:9">
      <c r="A1953" s="21"/>
      <c r="B1953"/>
      <c r="F1953" s="87"/>
      <c r="H1953" s="87"/>
      <c r="I1953" s="89"/>
    </row>
    <row r="1954" spans="1:9">
      <c r="A1954" s="21"/>
      <c r="B1954"/>
      <c r="F1954" s="87"/>
      <c r="H1954" s="87"/>
      <c r="I1954" s="89"/>
    </row>
    <row r="1955" spans="1:9">
      <c r="A1955" s="21"/>
      <c r="B1955"/>
      <c r="F1955" s="87"/>
      <c r="H1955" s="87"/>
      <c r="I1955" s="89"/>
    </row>
    <row r="1956" spans="1:9">
      <c r="A1956" s="21"/>
      <c r="B1956"/>
      <c r="F1956" s="87"/>
      <c r="H1956" s="87"/>
      <c r="I1956" s="89"/>
    </row>
    <row r="1957" spans="1:9">
      <c r="A1957" s="21"/>
      <c r="B1957"/>
      <c r="F1957" s="87"/>
      <c r="H1957" s="87"/>
      <c r="I1957" s="89"/>
    </row>
    <row r="1958" spans="1:9">
      <c r="A1958" s="21"/>
      <c r="B1958"/>
      <c r="F1958" s="87"/>
      <c r="H1958" s="87"/>
      <c r="I1958" s="89"/>
    </row>
    <row r="1959" spans="1:9">
      <c r="A1959" s="21"/>
      <c r="B1959"/>
      <c r="F1959" s="87"/>
      <c r="H1959" s="87"/>
      <c r="I1959" s="89"/>
    </row>
    <row r="1960" spans="1:9">
      <c r="A1960" s="21"/>
      <c r="B1960"/>
      <c r="F1960" s="87"/>
      <c r="H1960" s="87"/>
      <c r="I1960" s="89"/>
    </row>
    <row r="1961" spans="1:9">
      <c r="A1961" s="21"/>
      <c r="B1961"/>
      <c r="F1961" s="87"/>
      <c r="H1961" s="87"/>
      <c r="I1961" s="89"/>
    </row>
    <row r="1962" spans="1:9">
      <c r="A1962" s="21"/>
      <c r="B1962"/>
      <c r="F1962" s="87"/>
      <c r="H1962" s="87"/>
      <c r="I1962" s="89"/>
    </row>
    <row r="1963" spans="1:9">
      <c r="A1963" s="21"/>
      <c r="B1963"/>
      <c r="F1963" s="87"/>
      <c r="H1963" s="87"/>
      <c r="I1963" s="89"/>
    </row>
    <row r="1964" spans="1:9">
      <c r="A1964" s="21"/>
      <c r="B1964"/>
      <c r="F1964" s="87"/>
      <c r="H1964" s="87"/>
      <c r="I1964" s="89"/>
    </row>
    <row r="1965" spans="1:9">
      <c r="A1965" s="21"/>
      <c r="B1965"/>
      <c r="F1965" s="87"/>
      <c r="H1965" s="87"/>
      <c r="I1965" s="89"/>
    </row>
    <row r="1966" spans="1:9">
      <c r="A1966" s="21"/>
      <c r="B1966"/>
      <c r="F1966" s="87"/>
      <c r="H1966" s="87"/>
      <c r="I1966" s="89"/>
    </row>
    <row r="1967" spans="1:9">
      <c r="A1967" s="21"/>
      <c r="B1967"/>
      <c r="F1967" s="87"/>
      <c r="H1967" s="87"/>
      <c r="I1967" s="89"/>
    </row>
    <row r="1968" spans="1:9">
      <c r="A1968" s="21"/>
      <c r="B1968"/>
      <c r="F1968" s="87"/>
      <c r="H1968" s="87"/>
      <c r="I1968" s="89"/>
    </row>
    <row r="1969" spans="1:9">
      <c r="A1969" s="21"/>
      <c r="B1969"/>
      <c r="F1969" s="87"/>
      <c r="H1969" s="87"/>
      <c r="I1969" s="89"/>
    </row>
    <row r="1970" spans="1:9">
      <c r="A1970" s="21"/>
      <c r="B1970"/>
      <c r="F1970" s="87"/>
      <c r="H1970" s="87"/>
      <c r="I1970" s="89"/>
    </row>
    <row r="1971" spans="1:9">
      <c r="A1971" s="21"/>
      <c r="B1971"/>
      <c r="F1971" s="87"/>
      <c r="H1971" s="87"/>
      <c r="I1971" s="89"/>
    </row>
    <row r="1972" spans="1:9">
      <c r="A1972" s="21"/>
      <c r="B1972"/>
      <c r="F1972" s="87"/>
      <c r="H1972" s="87"/>
      <c r="I1972" s="89"/>
    </row>
    <row r="1973" spans="1:9">
      <c r="A1973" s="21"/>
      <c r="B1973"/>
      <c r="F1973" s="87"/>
      <c r="H1973" s="87"/>
      <c r="I1973" s="89"/>
    </row>
    <row r="1974" spans="1:9">
      <c r="A1974" s="21"/>
      <c r="B1974"/>
      <c r="F1974" s="87"/>
      <c r="H1974" s="87"/>
      <c r="I1974" s="89"/>
    </row>
    <row r="1975" spans="1:9">
      <c r="A1975" s="21"/>
      <c r="B1975"/>
      <c r="F1975" s="87"/>
      <c r="H1975" s="87"/>
      <c r="I1975" s="89"/>
    </row>
    <row r="1976" spans="1:9">
      <c r="A1976" s="21"/>
      <c r="B1976"/>
      <c r="F1976" s="87"/>
      <c r="H1976" s="87"/>
      <c r="I1976" s="89"/>
    </row>
    <row r="1977" spans="1:9">
      <c r="A1977" s="21"/>
      <c r="B1977"/>
      <c r="F1977" s="87"/>
      <c r="H1977" s="87"/>
      <c r="I1977" s="89"/>
    </row>
    <row r="1978" spans="1:9">
      <c r="A1978" s="21"/>
      <c r="B1978"/>
      <c r="F1978" s="87"/>
      <c r="H1978" s="87"/>
      <c r="I1978" s="89"/>
    </row>
    <row r="1979" spans="1:9">
      <c r="A1979" s="21"/>
      <c r="B1979"/>
      <c r="F1979" s="87"/>
      <c r="H1979" s="87"/>
      <c r="I1979" s="89"/>
    </row>
    <row r="1980" spans="1:9">
      <c r="A1980" s="21"/>
      <c r="B1980"/>
      <c r="F1980" s="87"/>
      <c r="H1980" s="87"/>
      <c r="I1980" s="89"/>
    </row>
    <row r="1981" spans="1:9">
      <c r="A1981" s="21"/>
      <c r="B1981"/>
      <c r="F1981" s="87"/>
      <c r="H1981" s="87"/>
      <c r="I1981" s="89"/>
    </row>
    <row r="1982" spans="1:9">
      <c r="A1982" s="21"/>
      <c r="B1982"/>
      <c r="F1982" s="87"/>
      <c r="H1982" s="87"/>
      <c r="I1982" s="89"/>
    </row>
    <row r="1983" spans="1:9">
      <c r="A1983" s="21"/>
      <c r="B1983"/>
      <c r="F1983" s="87"/>
      <c r="H1983" s="87"/>
      <c r="I1983" s="89"/>
    </row>
    <row r="1984" spans="1:9">
      <c r="A1984" s="21"/>
      <c r="B1984"/>
      <c r="F1984" s="87"/>
      <c r="H1984" s="87"/>
      <c r="I1984" s="89"/>
    </row>
    <row r="1985" spans="1:9">
      <c r="A1985" s="21"/>
      <c r="B1985"/>
      <c r="F1985" s="87"/>
      <c r="H1985" s="87"/>
      <c r="I1985" s="89"/>
    </row>
    <row r="1986" spans="1:9">
      <c r="A1986" s="21"/>
      <c r="B1986"/>
      <c r="F1986" s="87"/>
      <c r="H1986" s="87"/>
      <c r="I1986" s="89"/>
    </row>
    <row r="1987" spans="1:9">
      <c r="A1987" s="21"/>
      <c r="B1987"/>
      <c r="F1987" s="87"/>
      <c r="H1987" s="87"/>
      <c r="I1987" s="89"/>
    </row>
    <row r="1988" spans="1:9">
      <c r="A1988" s="21"/>
      <c r="B1988"/>
      <c r="F1988" s="87"/>
      <c r="H1988" s="87"/>
      <c r="I1988" s="89"/>
    </row>
    <row r="1989" spans="1:9">
      <c r="A1989" s="21"/>
      <c r="B1989"/>
      <c r="F1989" s="87"/>
      <c r="H1989" s="87"/>
      <c r="I1989" s="89"/>
    </row>
    <row r="1990" spans="1:9">
      <c r="A1990" s="21"/>
      <c r="B1990"/>
      <c r="F1990" s="87"/>
      <c r="H1990" s="87"/>
      <c r="I1990" s="89"/>
    </row>
    <row r="1991" spans="1:9">
      <c r="A1991" s="21"/>
      <c r="B1991"/>
      <c r="F1991" s="87"/>
      <c r="H1991" s="87"/>
      <c r="I1991" s="89"/>
    </row>
    <row r="1992" spans="1:9">
      <c r="A1992" s="21"/>
      <c r="B1992"/>
      <c r="F1992" s="87"/>
      <c r="H1992" s="87"/>
      <c r="I1992" s="89"/>
    </row>
    <row r="1993" spans="1:9">
      <c r="A1993" s="21"/>
      <c r="B1993"/>
      <c r="F1993" s="87"/>
      <c r="H1993" s="87"/>
      <c r="I1993" s="89"/>
    </row>
    <row r="1994" spans="1:9">
      <c r="A1994" s="21"/>
      <c r="B1994"/>
      <c r="F1994" s="87"/>
      <c r="H1994" s="87"/>
      <c r="I1994" s="89"/>
    </row>
    <row r="1995" spans="1:9">
      <c r="A1995" s="21"/>
      <c r="B1995"/>
      <c r="F1995" s="87"/>
      <c r="H1995" s="87"/>
      <c r="I1995" s="89"/>
    </row>
    <row r="1996" spans="1:9">
      <c r="A1996" s="21"/>
      <c r="B1996"/>
      <c r="F1996" s="87"/>
      <c r="H1996" s="87"/>
      <c r="I1996" s="89"/>
    </row>
    <row r="1997" spans="1:9">
      <c r="A1997" s="21"/>
      <c r="B1997"/>
      <c r="F1997" s="87"/>
      <c r="H1997" s="87"/>
      <c r="I1997" s="89"/>
    </row>
    <row r="1998" spans="1:9">
      <c r="A1998" s="21"/>
      <c r="B1998"/>
      <c r="F1998" s="87"/>
      <c r="H1998" s="87"/>
      <c r="I1998" s="89"/>
    </row>
    <row r="1999" spans="1:9">
      <c r="A1999" s="21"/>
      <c r="B1999"/>
      <c r="F1999" s="87"/>
      <c r="H1999" s="87"/>
      <c r="I1999" s="89"/>
    </row>
    <row r="2000" spans="1:9">
      <c r="A2000" s="21"/>
      <c r="B2000"/>
      <c r="F2000" s="87"/>
      <c r="H2000" s="87"/>
      <c r="I2000" s="89"/>
    </row>
    <row r="2001" spans="1:9">
      <c r="A2001" s="21"/>
      <c r="B2001"/>
      <c r="F2001" s="87"/>
      <c r="H2001" s="87"/>
      <c r="I2001" s="89"/>
    </row>
    <row r="2002" spans="1:9">
      <c r="A2002" s="21"/>
      <c r="B2002"/>
      <c r="F2002" s="87"/>
      <c r="H2002" s="87"/>
      <c r="I2002" s="89"/>
    </row>
    <row r="2003" spans="1:9">
      <c r="A2003" s="21"/>
      <c r="B2003"/>
      <c r="F2003" s="87"/>
      <c r="H2003" s="87"/>
      <c r="I2003" s="89"/>
    </row>
    <row r="2004" spans="1:9">
      <c r="A2004" s="21"/>
      <c r="B2004"/>
      <c r="F2004" s="87"/>
      <c r="H2004" s="87"/>
      <c r="I2004" s="89"/>
    </row>
    <row r="2005" spans="1:9">
      <c r="A2005" s="21"/>
      <c r="B2005"/>
      <c r="F2005" s="87"/>
      <c r="H2005" s="87"/>
      <c r="I2005" s="89"/>
    </row>
    <row r="2006" spans="1:9">
      <c r="A2006" s="21"/>
      <c r="B2006"/>
      <c r="F2006" s="87"/>
      <c r="H2006" s="87"/>
      <c r="I2006" s="89"/>
    </row>
    <row r="2007" spans="1:9">
      <c r="A2007" s="21"/>
      <c r="B2007"/>
      <c r="F2007" s="87"/>
      <c r="H2007" s="87"/>
      <c r="I2007" s="89"/>
    </row>
    <row r="2008" spans="1:9">
      <c r="A2008" s="21"/>
      <c r="B2008"/>
      <c r="F2008" s="87"/>
      <c r="H2008" s="87"/>
      <c r="I2008" s="89"/>
    </row>
    <row r="2009" spans="1:9">
      <c r="A2009" s="21"/>
      <c r="B2009"/>
      <c r="F2009" s="87"/>
      <c r="H2009" s="87"/>
      <c r="I2009" s="89"/>
    </row>
    <row r="2010" spans="1:9">
      <c r="A2010" s="21"/>
      <c r="B2010"/>
      <c r="F2010" s="87"/>
      <c r="H2010" s="87"/>
      <c r="I2010" s="89"/>
    </row>
    <row r="2011" spans="1:9">
      <c r="A2011" s="21"/>
      <c r="B2011"/>
      <c r="F2011" s="87"/>
      <c r="H2011" s="87"/>
      <c r="I2011" s="89"/>
    </row>
    <row r="2012" spans="1:9">
      <c r="A2012" s="21"/>
      <c r="B2012"/>
      <c r="F2012" s="87"/>
      <c r="H2012" s="87"/>
      <c r="I2012" s="89"/>
    </row>
    <row r="2013" spans="1:9">
      <c r="A2013" s="21"/>
      <c r="B2013"/>
      <c r="F2013" s="87"/>
      <c r="H2013" s="87"/>
      <c r="I2013" s="89"/>
    </row>
    <row r="2014" spans="1:9">
      <c r="A2014" s="21"/>
      <c r="B2014"/>
      <c r="F2014" s="87"/>
      <c r="H2014" s="87"/>
      <c r="I2014" s="89"/>
    </row>
    <row r="2015" spans="1:9">
      <c r="A2015" s="21"/>
      <c r="B2015"/>
      <c r="F2015" s="87"/>
      <c r="H2015" s="87"/>
      <c r="I2015" s="89"/>
    </row>
    <row r="2016" spans="1:9">
      <c r="A2016" s="21"/>
      <c r="B2016"/>
      <c r="F2016" s="87"/>
      <c r="H2016" s="87"/>
      <c r="I2016" s="89"/>
    </row>
    <row r="2017" spans="1:9">
      <c r="A2017" s="21"/>
      <c r="B2017"/>
      <c r="F2017" s="87"/>
      <c r="H2017" s="87"/>
      <c r="I2017" s="89"/>
    </row>
    <row r="2018" spans="1:9">
      <c r="A2018" s="21"/>
      <c r="B2018"/>
      <c r="F2018" s="87"/>
      <c r="H2018" s="87"/>
      <c r="I2018" s="89"/>
    </row>
    <row r="2019" spans="1:9">
      <c r="A2019" s="21"/>
      <c r="B2019"/>
      <c r="F2019" s="87"/>
      <c r="H2019" s="87"/>
      <c r="I2019" s="89"/>
    </row>
    <row r="2020" spans="1:9">
      <c r="A2020" s="21"/>
      <c r="B2020"/>
      <c r="F2020" s="87"/>
      <c r="H2020" s="87"/>
      <c r="I2020" s="89"/>
    </row>
    <row r="2021" spans="1:9">
      <c r="A2021" s="21"/>
      <c r="B2021"/>
      <c r="F2021" s="87"/>
      <c r="H2021" s="87"/>
      <c r="I2021" s="89"/>
    </row>
    <row r="2022" spans="1:9">
      <c r="A2022" s="21"/>
      <c r="B2022"/>
      <c r="F2022" s="87"/>
      <c r="H2022" s="87"/>
      <c r="I2022" s="89"/>
    </row>
    <row r="2023" spans="1:9">
      <c r="A2023" s="21"/>
      <c r="B2023"/>
      <c r="F2023" s="87"/>
      <c r="H2023" s="87"/>
      <c r="I2023" s="89"/>
    </row>
    <row r="2024" spans="1:9">
      <c r="A2024" s="21"/>
      <c r="B2024"/>
      <c r="F2024" s="87"/>
      <c r="H2024" s="87"/>
      <c r="I2024" s="89"/>
    </row>
    <row r="2025" spans="1:9">
      <c r="A2025" s="21"/>
      <c r="B2025"/>
      <c r="F2025" s="87"/>
      <c r="H2025" s="87"/>
      <c r="I2025" s="89"/>
    </row>
    <row r="2026" spans="1:9">
      <c r="A2026" s="21"/>
      <c r="B2026"/>
      <c r="F2026" s="87"/>
      <c r="H2026" s="87"/>
      <c r="I2026" s="89"/>
    </row>
    <row r="2027" spans="1:9">
      <c r="A2027" s="21"/>
      <c r="B2027"/>
      <c r="F2027" s="87"/>
      <c r="H2027" s="87"/>
      <c r="I2027" s="89"/>
    </row>
    <row r="2028" spans="1:9">
      <c r="A2028" s="21"/>
      <c r="B2028"/>
      <c r="F2028" s="87"/>
      <c r="H2028" s="87"/>
      <c r="I2028" s="89"/>
    </row>
    <row r="2029" spans="1:9">
      <c r="A2029" s="21"/>
      <c r="B2029"/>
      <c r="F2029" s="87"/>
      <c r="H2029" s="87"/>
      <c r="I2029" s="89"/>
    </row>
    <row r="2030" spans="1:9">
      <c r="A2030" s="21"/>
      <c r="B2030"/>
      <c r="F2030" s="87"/>
      <c r="H2030" s="87"/>
      <c r="I2030" s="89"/>
    </row>
    <row r="2031" spans="1:9">
      <c r="A2031" s="21"/>
      <c r="B2031"/>
      <c r="F2031" s="87"/>
      <c r="H2031" s="87"/>
      <c r="I2031" s="89"/>
    </row>
    <row r="2032" spans="1:9">
      <c r="A2032" s="21"/>
      <c r="B2032"/>
      <c r="F2032" s="87"/>
      <c r="H2032" s="87"/>
      <c r="I2032" s="89"/>
    </row>
    <row r="2033" spans="1:9">
      <c r="A2033" s="21"/>
      <c r="B2033"/>
      <c r="F2033" s="87"/>
      <c r="H2033" s="87"/>
      <c r="I2033" s="89"/>
    </row>
    <row r="2034" spans="1:9">
      <c r="A2034" s="21"/>
      <c r="B2034"/>
      <c r="F2034" s="87"/>
      <c r="H2034" s="87"/>
      <c r="I2034" s="89"/>
    </row>
    <row r="2035" spans="1:9">
      <c r="A2035" s="21"/>
      <c r="B2035"/>
      <c r="F2035" s="87"/>
      <c r="H2035" s="87"/>
      <c r="I2035" s="89"/>
    </row>
    <row r="2036" spans="1:9">
      <c r="A2036" s="21"/>
      <c r="B2036"/>
      <c r="F2036" s="87"/>
      <c r="H2036" s="87"/>
      <c r="I2036" s="89"/>
    </row>
    <row r="2037" spans="1:9">
      <c r="A2037" s="21"/>
      <c r="B2037"/>
      <c r="F2037" s="87"/>
      <c r="H2037" s="87"/>
      <c r="I2037" s="89"/>
    </row>
    <row r="2038" spans="1:9">
      <c r="A2038" s="21"/>
      <c r="B2038"/>
      <c r="F2038" s="87"/>
      <c r="H2038" s="87"/>
      <c r="I2038" s="89"/>
    </row>
    <row r="2039" spans="1:9">
      <c r="A2039" s="21"/>
      <c r="B2039"/>
      <c r="F2039" s="87"/>
      <c r="H2039" s="87"/>
      <c r="I2039" s="89"/>
    </row>
    <row r="2040" spans="1:9">
      <c r="A2040" s="21"/>
      <c r="B2040"/>
      <c r="F2040" s="87"/>
      <c r="H2040" s="87"/>
      <c r="I2040" s="89"/>
    </row>
    <row r="2041" spans="1:9">
      <c r="A2041" s="21"/>
      <c r="B2041"/>
      <c r="F2041" s="87"/>
      <c r="H2041" s="87"/>
      <c r="I2041" s="89"/>
    </row>
    <row r="2042" spans="1:9">
      <c r="A2042" s="21"/>
      <c r="B2042"/>
      <c r="F2042" s="87"/>
      <c r="H2042" s="87"/>
      <c r="I2042" s="89"/>
    </row>
    <row r="2043" spans="1:9">
      <c r="A2043" s="21"/>
      <c r="B2043"/>
      <c r="F2043" s="87"/>
      <c r="H2043" s="87"/>
      <c r="I2043" s="89"/>
    </row>
    <row r="2044" spans="1:9">
      <c r="A2044" s="21"/>
      <c r="B2044"/>
      <c r="F2044" s="87"/>
      <c r="H2044" s="87"/>
      <c r="I2044" s="89"/>
    </row>
    <row r="2045" spans="1:9">
      <c r="A2045" s="21"/>
      <c r="B2045"/>
      <c r="F2045" s="87"/>
      <c r="H2045" s="87"/>
      <c r="I2045" s="89"/>
    </row>
    <row r="2046" spans="1:9">
      <c r="A2046" s="21"/>
      <c r="B2046"/>
      <c r="F2046" s="87"/>
      <c r="H2046" s="87"/>
      <c r="I2046" s="89"/>
    </row>
    <row r="2047" spans="1:9">
      <c r="A2047" s="21"/>
      <c r="B2047"/>
      <c r="F2047" s="87"/>
      <c r="H2047" s="87"/>
      <c r="I2047" s="89"/>
    </row>
    <row r="2048" spans="1:9">
      <c r="A2048" s="21"/>
      <c r="B2048"/>
      <c r="F2048" s="87"/>
      <c r="H2048" s="87"/>
      <c r="I2048" s="89"/>
    </row>
    <row r="2049" spans="1:9">
      <c r="A2049" s="21"/>
      <c r="B2049"/>
      <c r="F2049" s="87"/>
      <c r="H2049" s="87"/>
      <c r="I2049" s="89"/>
    </row>
    <row r="2050" spans="1:9">
      <c r="A2050" s="21"/>
      <c r="B2050"/>
      <c r="F2050" s="87"/>
      <c r="H2050" s="87"/>
      <c r="I2050" s="89"/>
    </row>
    <row r="2051" spans="1:9">
      <c r="A2051" s="21"/>
      <c r="B2051"/>
      <c r="F2051" s="87"/>
      <c r="H2051" s="87"/>
      <c r="I2051" s="89"/>
    </row>
    <row r="2052" spans="1:9">
      <c r="A2052" s="21"/>
      <c r="B2052"/>
      <c r="F2052" s="87"/>
      <c r="H2052" s="87"/>
      <c r="I2052" s="89"/>
    </row>
    <row r="2053" spans="1:9">
      <c r="A2053" s="21"/>
      <c r="B2053"/>
      <c r="F2053" s="87"/>
      <c r="H2053" s="87"/>
      <c r="I2053" s="89"/>
    </row>
    <row r="2054" spans="1:9">
      <c r="A2054" s="21"/>
      <c r="B2054"/>
      <c r="F2054" s="87"/>
      <c r="H2054" s="87"/>
      <c r="I2054" s="89"/>
    </row>
    <row r="2055" spans="1:9">
      <c r="A2055" s="21"/>
      <c r="B2055"/>
      <c r="F2055" s="87"/>
      <c r="H2055" s="87"/>
      <c r="I2055" s="89"/>
    </row>
    <row r="2056" spans="1:9">
      <c r="A2056" s="21"/>
      <c r="B2056"/>
      <c r="F2056" s="87"/>
      <c r="H2056" s="87"/>
      <c r="I2056" s="89"/>
    </row>
    <row r="2057" spans="1:9">
      <c r="A2057" s="21"/>
      <c r="B2057"/>
      <c r="F2057" s="87"/>
      <c r="H2057" s="87"/>
      <c r="I2057" s="89"/>
    </row>
    <row r="2058" spans="1:9">
      <c r="A2058" s="21"/>
      <c r="B2058"/>
      <c r="F2058" s="87"/>
      <c r="H2058" s="87"/>
      <c r="I2058" s="89"/>
    </row>
    <row r="2059" spans="1:9">
      <c r="A2059" s="21"/>
      <c r="B2059"/>
      <c r="F2059" s="87"/>
      <c r="H2059" s="87"/>
      <c r="I2059" s="89"/>
    </row>
    <row r="2060" spans="1:9">
      <c r="A2060" s="21"/>
      <c r="B2060"/>
      <c r="F2060" s="87"/>
      <c r="H2060" s="87"/>
      <c r="I2060" s="89"/>
    </row>
    <row r="2061" spans="1:9">
      <c r="A2061" s="21"/>
      <c r="B2061"/>
      <c r="F2061" s="87"/>
      <c r="H2061" s="87"/>
      <c r="I2061" s="89"/>
    </row>
    <row r="2062" spans="1:9">
      <c r="A2062" s="21"/>
      <c r="B2062"/>
      <c r="F2062" s="87"/>
      <c r="H2062" s="87"/>
      <c r="I2062" s="89"/>
    </row>
    <row r="2063" spans="1:9">
      <c r="A2063" s="21"/>
      <c r="B2063"/>
      <c r="F2063" s="87"/>
      <c r="H2063" s="87"/>
      <c r="I2063" s="89"/>
    </row>
    <row r="2064" spans="1:9">
      <c r="A2064" s="21"/>
      <c r="B2064"/>
      <c r="F2064" s="87"/>
      <c r="H2064" s="87"/>
      <c r="I2064" s="89"/>
    </row>
    <row r="2065" spans="1:9">
      <c r="A2065" s="21"/>
      <c r="B2065"/>
      <c r="F2065" s="87"/>
      <c r="H2065" s="87"/>
      <c r="I2065" s="89"/>
    </row>
    <row r="2066" spans="1:9">
      <c r="A2066" s="21"/>
      <c r="B2066"/>
      <c r="F2066" s="87"/>
      <c r="H2066" s="87"/>
      <c r="I2066" s="89"/>
    </row>
    <row r="2067" spans="1:9">
      <c r="A2067" s="21"/>
      <c r="B2067"/>
      <c r="F2067" s="87"/>
      <c r="H2067" s="87"/>
      <c r="I2067" s="89"/>
    </row>
    <row r="2068" spans="1:9">
      <c r="A2068" s="21"/>
      <c r="B2068"/>
      <c r="F2068" s="87"/>
      <c r="H2068" s="87"/>
      <c r="I2068" s="89"/>
    </row>
    <row r="2069" spans="1:9">
      <c r="A2069" s="21"/>
      <c r="B2069"/>
      <c r="F2069" s="87"/>
      <c r="H2069" s="87"/>
      <c r="I2069" s="89"/>
    </row>
    <row r="2070" spans="1:9">
      <c r="A2070" s="21"/>
      <c r="B2070"/>
      <c r="F2070" s="87"/>
      <c r="H2070" s="87"/>
      <c r="I2070" s="89"/>
    </row>
    <row r="2071" spans="1:9">
      <c r="A2071" s="21"/>
      <c r="B2071"/>
      <c r="F2071" s="87"/>
      <c r="H2071" s="87"/>
      <c r="I2071" s="89"/>
    </row>
    <row r="2072" spans="1:9">
      <c r="A2072" s="21"/>
      <c r="B2072"/>
      <c r="F2072" s="87"/>
      <c r="H2072" s="87"/>
      <c r="I2072" s="89"/>
    </row>
    <row r="2073" spans="1:9">
      <c r="A2073" s="21"/>
      <c r="B2073"/>
      <c r="F2073" s="87"/>
      <c r="H2073" s="87"/>
      <c r="I2073" s="89"/>
    </row>
    <row r="2074" spans="1:9">
      <c r="A2074" s="21"/>
      <c r="B2074"/>
      <c r="F2074" s="87"/>
      <c r="H2074" s="87"/>
      <c r="I2074" s="89"/>
    </row>
    <row r="2075" spans="1:9">
      <c r="A2075" s="21"/>
      <c r="B2075"/>
      <c r="F2075" s="87"/>
      <c r="H2075" s="87"/>
      <c r="I2075" s="89"/>
    </row>
    <row r="2076" spans="1:9">
      <c r="A2076" s="21"/>
      <c r="B2076"/>
      <c r="F2076" s="87"/>
      <c r="H2076" s="87"/>
      <c r="I2076" s="89"/>
    </row>
    <row r="2077" spans="1:9">
      <c r="A2077" s="21"/>
      <c r="B2077"/>
      <c r="F2077" s="87"/>
      <c r="H2077" s="87"/>
      <c r="I2077" s="89"/>
    </row>
    <row r="2078" spans="1:9">
      <c r="A2078" s="21"/>
      <c r="B2078"/>
      <c r="F2078" s="87"/>
      <c r="H2078" s="87"/>
      <c r="I2078" s="89"/>
    </row>
    <row r="2079" spans="1:9">
      <c r="A2079" s="21"/>
      <c r="B2079"/>
      <c r="F2079" s="87"/>
      <c r="H2079" s="87"/>
      <c r="I2079" s="89"/>
    </row>
    <row r="2080" spans="1:9">
      <c r="A2080" s="21"/>
      <c r="B2080"/>
      <c r="F2080" s="87"/>
      <c r="H2080" s="87"/>
      <c r="I2080" s="89"/>
    </row>
    <row r="2081" spans="1:9">
      <c r="A2081" s="21"/>
      <c r="B2081"/>
      <c r="F2081" s="87"/>
      <c r="H2081" s="87"/>
      <c r="I2081" s="89"/>
    </row>
    <row r="2082" spans="1:9">
      <c r="A2082" s="21"/>
      <c r="B2082"/>
      <c r="F2082" s="87"/>
      <c r="H2082" s="87"/>
      <c r="I2082" s="89"/>
    </row>
    <row r="2083" spans="1:9">
      <c r="A2083" s="21"/>
      <c r="B2083"/>
      <c r="F2083" s="87"/>
      <c r="H2083" s="87"/>
      <c r="I2083" s="89"/>
    </row>
    <row r="2084" spans="1:9">
      <c r="A2084" s="21"/>
      <c r="B2084"/>
      <c r="F2084" s="87"/>
      <c r="H2084" s="87"/>
      <c r="I2084" s="89"/>
    </row>
    <row r="2085" spans="1:9">
      <c r="A2085" s="21"/>
      <c r="B2085"/>
      <c r="F2085" s="87"/>
      <c r="H2085" s="87"/>
      <c r="I2085" s="89"/>
    </row>
    <row r="2086" spans="1:9">
      <c r="A2086" s="21"/>
      <c r="B2086"/>
      <c r="F2086" s="87"/>
      <c r="H2086" s="87"/>
      <c r="I2086" s="89"/>
    </row>
    <row r="2087" spans="1:9">
      <c r="A2087" s="21"/>
      <c r="B2087"/>
      <c r="F2087" s="87"/>
      <c r="H2087" s="87"/>
      <c r="I2087" s="89"/>
    </row>
    <row r="2088" spans="1:9">
      <c r="A2088" s="21"/>
      <c r="B2088"/>
      <c r="F2088" s="87"/>
      <c r="H2088" s="87"/>
      <c r="I2088" s="89"/>
    </row>
    <row r="2089" spans="1:9">
      <c r="A2089" s="21"/>
      <c r="B2089"/>
      <c r="F2089" s="87"/>
      <c r="H2089" s="87"/>
      <c r="I2089" s="89"/>
    </row>
    <row r="2090" spans="1:9">
      <c r="A2090" s="21"/>
      <c r="B2090"/>
      <c r="F2090" s="87"/>
      <c r="H2090" s="87"/>
      <c r="I2090" s="89"/>
    </row>
    <row r="2091" spans="1:9">
      <c r="A2091" s="21"/>
      <c r="B2091"/>
      <c r="F2091" s="87"/>
      <c r="H2091" s="87"/>
      <c r="I2091" s="89"/>
    </row>
    <row r="2092" spans="1:9">
      <c r="A2092" s="21"/>
      <c r="B2092"/>
      <c r="F2092" s="87"/>
      <c r="H2092" s="87"/>
      <c r="I2092" s="89"/>
    </row>
    <row r="2093" spans="1:9">
      <c r="A2093" s="21"/>
      <c r="B2093"/>
      <c r="F2093" s="87"/>
      <c r="H2093" s="87"/>
      <c r="I2093" s="89"/>
    </row>
    <row r="2094" spans="1:9">
      <c r="A2094" s="21"/>
      <c r="B2094"/>
      <c r="F2094" s="87"/>
      <c r="H2094" s="87"/>
      <c r="I2094" s="89"/>
    </row>
    <row r="2095" spans="1:9">
      <c r="A2095" s="21"/>
      <c r="B2095"/>
      <c r="F2095" s="87"/>
      <c r="H2095" s="87"/>
      <c r="I2095" s="89"/>
    </row>
    <row r="2096" spans="1:9">
      <c r="A2096" s="21"/>
      <c r="B2096"/>
      <c r="F2096" s="87"/>
      <c r="H2096" s="87"/>
      <c r="I2096" s="89"/>
    </row>
    <row r="2097" spans="1:9">
      <c r="A2097" s="21"/>
      <c r="B2097"/>
      <c r="F2097" s="87"/>
      <c r="H2097" s="87"/>
      <c r="I2097" s="89"/>
    </row>
    <row r="2098" spans="1:9">
      <c r="A2098" s="21"/>
      <c r="B2098"/>
      <c r="F2098" s="87"/>
      <c r="H2098" s="87"/>
      <c r="I2098" s="89"/>
    </row>
    <row r="2099" spans="1:9">
      <c r="A2099" s="21"/>
      <c r="B2099"/>
      <c r="F2099" s="87"/>
      <c r="H2099" s="87"/>
      <c r="I2099" s="89"/>
    </row>
    <row r="2100" spans="1:9">
      <c r="A2100" s="21"/>
      <c r="B2100"/>
      <c r="F2100" s="87"/>
      <c r="H2100" s="87"/>
      <c r="I2100" s="89"/>
    </row>
    <row r="2101" spans="1:9">
      <c r="A2101" s="21"/>
      <c r="B2101"/>
      <c r="F2101" s="87"/>
      <c r="H2101" s="87"/>
      <c r="I2101" s="89"/>
    </row>
    <row r="2102" spans="1:9">
      <c r="A2102" s="21"/>
      <c r="B2102"/>
      <c r="F2102" s="87"/>
      <c r="H2102" s="87"/>
      <c r="I2102" s="89"/>
    </row>
    <row r="2103" spans="1:9">
      <c r="A2103" s="21"/>
      <c r="B2103"/>
      <c r="F2103" s="87"/>
      <c r="H2103" s="87"/>
      <c r="I2103" s="89"/>
    </row>
    <row r="2104" spans="1:9">
      <c r="A2104" s="21"/>
      <c r="B2104"/>
      <c r="F2104" s="87"/>
      <c r="H2104" s="87"/>
      <c r="I2104" s="89"/>
    </row>
    <row r="2105" spans="1:9">
      <c r="A2105" s="21"/>
      <c r="B2105"/>
      <c r="F2105" s="87"/>
      <c r="H2105" s="87"/>
      <c r="I2105" s="89"/>
    </row>
    <row r="2106" spans="1:9">
      <c r="A2106" s="21"/>
      <c r="B2106"/>
      <c r="F2106" s="87"/>
      <c r="H2106" s="87"/>
      <c r="I2106" s="89"/>
    </row>
    <row r="2107" spans="1:9">
      <c r="A2107" s="21"/>
      <c r="B2107"/>
      <c r="F2107" s="87"/>
      <c r="H2107" s="87"/>
      <c r="I2107" s="89"/>
    </row>
    <row r="2108" spans="1:9">
      <c r="A2108" s="21"/>
      <c r="B2108"/>
      <c r="F2108" s="87"/>
      <c r="H2108" s="87"/>
      <c r="I2108" s="89"/>
    </row>
    <row r="2109" spans="1:9">
      <c r="A2109" s="21"/>
      <c r="B2109"/>
      <c r="F2109" s="87"/>
      <c r="H2109" s="87"/>
      <c r="I2109" s="89"/>
    </row>
    <row r="2110" spans="1:9">
      <c r="A2110" s="21"/>
      <c r="B2110"/>
      <c r="F2110" s="87"/>
      <c r="H2110" s="87"/>
      <c r="I2110" s="89"/>
    </row>
    <row r="2111" spans="1:9">
      <c r="A2111" s="21"/>
      <c r="B2111"/>
      <c r="F2111" s="87"/>
      <c r="H2111" s="87"/>
      <c r="I2111" s="89"/>
    </row>
    <row r="2112" spans="1:9">
      <c r="A2112" s="21"/>
      <c r="B2112"/>
      <c r="F2112" s="87"/>
      <c r="H2112" s="87"/>
      <c r="I2112" s="89"/>
    </row>
    <row r="2113" spans="1:9">
      <c r="A2113" s="21"/>
      <c r="B2113"/>
      <c r="F2113" s="87"/>
      <c r="H2113" s="87"/>
      <c r="I2113" s="89"/>
    </row>
    <row r="2114" spans="1:9">
      <c r="A2114" s="21"/>
      <c r="B2114"/>
      <c r="F2114" s="87"/>
      <c r="H2114" s="87"/>
      <c r="I2114" s="89"/>
    </row>
    <row r="2115" spans="1:9">
      <c r="A2115" s="21"/>
      <c r="B2115"/>
      <c r="F2115" s="87"/>
      <c r="H2115" s="87"/>
      <c r="I2115" s="89"/>
    </row>
    <row r="2116" spans="1:9">
      <c r="A2116" s="21"/>
      <c r="B2116"/>
      <c r="F2116" s="87"/>
      <c r="H2116" s="87"/>
      <c r="I2116" s="89"/>
    </row>
    <row r="2117" spans="1:9">
      <c r="A2117" s="21"/>
      <c r="B2117"/>
      <c r="F2117" s="87"/>
      <c r="H2117" s="87"/>
      <c r="I2117" s="89"/>
    </row>
    <row r="2118" spans="1:9">
      <c r="A2118" s="21"/>
      <c r="B2118"/>
      <c r="F2118" s="87"/>
      <c r="H2118" s="87"/>
      <c r="I2118" s="89"/>
    </row>
    <row r="2119" spans="1:9">
      <c r="A2119" s="21"/>
      <c r="B2119"/>
      <c r="F2119" s="87"/>
      <c r="H2119" s="87"/>
      <c r="I2119" s="89"/>
    </row>
    <row r="2120" spans="1:9">
      <c r="A2120" s="21"/>
      <c r="B2120"/>
      <c r="F2120" s="87"/>
      <c r="H2120" s="87"/>
      <c r="I2120" s="89"/>
    </row>
    <row r="2121" spans="1:9">
      <c r="A2121" s="21"/>
      <c r="B2121"/>
      <c r="F2121" s="87"/>
      <c r="H2121" s="87"/>
      <c r="I2121" s="89"/>
    </row>
    <row r="2122" spans="1:9">
      <c r="A2122" s="21"/>
      <c r="B2122"/>
      <c r="F2122" s="87"/>
      <c r="H2122" s="87"/>
      <c r="I2122" s="89"/>
    </row>
    <row r="2123" spans="1:9">
      <c r="A2123" s="21"/>
      <c r="B2123"/>
      <c r="F2123" s="87"/>
      <c r="H2123" s="87"/>
      <c r="I2123" s="89"/>
    </row>
    <row r="2124" spans="1:9">
      <c r="A2124" s="21"/>
      <c r="B2124"/>
      <c r="F2124" s="87"/>
      <c r="H2124" s="87"/>
      <c r="I2124" s="89"/>
    </row>
    <row r="2125" spans="1:9">
      <c r="A2125" s="21"/>
      <c r="B2125"/>
      <c r="F2125" s="87"/>
      <c r="H2125" s="87"/>
      <c r="I2125" s="89"/>
    </row>
    <row r="2126" spans="1:9">
      <c r="A2126" s="21"/>
      <c r="B2126"/>
      <c r="F2126" s="87"/>
      <c r="H2126" s="87"/>
      <c r="I2126" s="89"/>
    </row>
    <row r="2127" spans="1:9">
      <c r="A2127" s="21"/>
      <c r="B2127"/>
      <c r="F2127" s="87"/>
      <c r="H2127" s="87"/>
      <c r="I2127" s="89"/>
    </row>
    <row r="2128" spans="1:9">
      <c r="A2128" s="21"/>
      <c r="B2128"/>
      <c r="F2128" s="87"/>
      <c r="H2128" s="87"/>
      <c r="I2128" s="89"/>
    </row>
    <row r="2129" spans="1:9">
      <c r="A2129" s="21"/>
      <c r="B2129"/>
      <c r="F2129" s="87"/>
      <c r="H2129" s="87"/>
      <c r="I2129" s="89"/>
    </row>
    <row r="2130" spans="1:9">
      <c r="A2130" s="21"/>
      <c r="B2130"/>
      <c r="F2130" s="87"/>
      <c r="H2130" s="87"/>
      <c r="I2130" s="89"/>
    </row>
    <row r="2131" spans="1:9">
      <c r="A2131" s="21"/>
      <c r="B2131"/>
      <c r="F2131" s="87"/>
      <c r="H2131" s="87"/>
      <c r="I2131" s="89"/>
    </row>
    <row r="2132" spans="1:9">
      <c r="A2132" s="21"/>
      <c r="B2132"/>
      <c r="F2132" s="87"/>
      <c r="H2132" s="87"/>
      <c r="I2132" s="89"/>
    </row>
    <row r="2133" spans="1:9">
      <c r="A2133" s="21"/>
      <c r="B2133"/>
      <c r="F2133" s="87"/>
      <c r="H2133" s="87"/>
      <c r="I2133" s="89"/>
    </row>
    <row r="2134" spans="1:9">
      <c r="A2134" s="21"/>
      <c r="B2134"/>
      <c r="F2134" s="87"/>
      <c r="H2134" s="87"/>
      <c r="I2134" s="89"/>
    </row>
    <row r="2135" spans="1:9">
      <c r="A2135" s="21"/>
      <c r="B2135"/>
      <c r="F2135" s="87"/>
      <c r="H2135" s="87"/>
      <c r="I2135" s="89"/>
    </row>
    <row r="2136" spans="1:9">
      <c r="A2136" s="21"/>
      <c r="B2136"/>
      <c r="F2136" s="87"/>
      <c r="H2136" s="87"/>
      <c r="I2136" s="89"/>
    </row>
    <row r="2137" spans="1:9">
      <c r="A2137" s="21"/>
      <c r="B2137"/>
      <c r="F2137" s="87"/>
      <c r="H2137" s="87"/>
      <c r="I2137" s="89"/>
    </row>
    <row r="2138" spans="1:9">
      <c r="A2138" s="21"/>
      <c r="B2138"/>
      <c r="F2138" s="87"/>
      <c r="H2138" s="87"/>
      <c r="I2138" s="89"/>
    </row>
    <row r="2139" spans="1:9">
      <c r="A2139" s="21"/>
      <c r="B2139"/>
      <c r="F2139" s="87"/>
      <c r="H2139" s="87"/>
      <c r="I2139" s="89"/>
    </row>
    <row r="2140" spans="1:9">
      <c r="A2140" s="21"/>
      <c r="B2140"/>
      <c r="F2140" s="87"/>
      <c r="H2140" s="87"/>
      <c r="I2140" s="89"/>
    </row>
    <row r="2141" spans="1:9">
      <c r="A2141" s="21"/>
      <c r="B2141"/>
      <c r="F2141" s="87"/>
      <c r="H2141" s="87"/>
      <c r="I2141" s="89"/>
    </row>
    <row r="2142" spans="1:9">
      <c r="A2142" s="21"/>
      <c r="B2142"/>
      <c r="F2142" s="87"/>
      <c r="H2142" s="87"/>
      <c r="I2142" s="89"/>
    </row>
    <row r="2143" spans="1:9">
      <c r="A2143" s="21"/>
      <c r="B2143"/>
      <c r="F2143" s="87"/>
      <c r="H2143" s="87"/>
      <c r="I2143" s="89"/>
    </row>
    <row r="2144" spans="1:9">
      <c r="A2144" s="21"/>
      <c r="B2144"/>
      <c r="F2144" s="87"/>
      <c r="H2144" s="87"/>
      <c r="I2144" s="89"/>
    </row>
    <row r="2145" spans="1:9">
      <c r="A2145" s="21"/>
      <c r="B2145"/>
      <c r="F2145" s="87"/>
      <c r="H2145" s="87"/>
      <c r="I2145" s="89"/>
    </row>
    <row r="2146" spans="1:9">
      <c r="A2146" s="21"/>
      <c r="B2146"/>
      <c r="F2146" s="87"/>
      <c r="H2146" s="87"/>
      <c r="I2146" s="89"/>
    </row>
    <row r="2147" spans="1:9">
      <c r="A2147" s="21"/>
      <c r="B2147"/>
      <c r="F2147" s="87"/>
      <c r="H2147" s="87"/>
      <c r="I2147" s="89"/>
    </row>
    <row r="2148" spans="1:9">
      <c r="A2148" s="21"/>
      <c r="B2148"/>
      <c r="F2148" s="87"/>
      <c r="H2148" s="87"/>
      <c r="I2148" s="89"/>
    </row>
    <row r="2149" spans="1:9">
      <c r="A2149" s="21"/>
      <c r="B2149"/>
      <c r="F2149" s="87"/>
      <c r="H2149" s="87"/>
      <c r="I2149" s="89"/>
    </row>
    <row r="2150" spans="1:9">
      <c r="A2150" s="21"/>
      <c r="B2150"/>
      <c r="F2150" s="87"/>
      <c r="H2150" s="87"/>
      <c r="I2150" s="89"/>
    </row>
    <row r="2151" spans="1:9">
      <c r="A2151" s="21"/>
      <c r="B2151"/>
      <c r="F2151" s="87"/>
      <c r="H2151" s="87"/>
      <c r="I2151" s="89"/>
    </row>
    <row r="2152" spans="1:9">
      <c r="A2152" s="21"/>
      <c r="B2152"/>
      <c r="F2152" s="87"/>
      <c r="H2152" s="87"/>
      <c r="I2152" s="89"/>
    </row>
    <row r="2153" spans="1:9">
      <c r="A2153" s="21"/>
      <c r="B2153"/>
      <c r="F2153" s="87"/>
      <c r="H2153" s="87"/>
      <c r="I2153" s="89"/>
    </row>
    <row r="2154" spans="1:9">
      <c r="A2154" s="21"/>
      <c r="B2154"/>
      <c r="F2154" s="87"/>
      <c r="H2154" s="87"/>
      <c r="I2154" s="89"/>
    </row>
    <row r="2155" spans="1:9">
      <c r="A2155" s="21"/>
      <c r="B2155"/>
      <c r="F2155" s="87"/>
      <c r="H2155" s="87"/>
      <c r="I2155" s="89"/>
    </row>
    <row r="2156" spans="1:9">
      <c r="A2156" s="21"/>
      <c r="B2156"/>
      <c r="F2156" s="87"/>
      <c r="H2156" s="87"/>
      <c r="I2156" s="89"/>
    </row>
    <row r="2157" spans="1:9">
      <c r="A2157" s="21"/>
      <c r="B2157"/>
      <c r="F2157" s="87"/>
      <c r="H2157" s="87"/>
      <c r="I2157" s="89"/>
    </row>
    <row r="2158" spans="1:9">
      <c r="A2158" s="21"/>
      <c r="B2158"/>
      <c r="F2158" s="87"/>
      <c r="H2158" s="87"/>
      <c r="I2158" s="89"/>
    </row>
    <row r="2159" spans="1:9">
      <c r="A2159" s="21"/>
      <c r="B2159"/>
      <c r="F2159" s="87"/>
      <c r="H2159" s="87"/>
      <c r="I2159" s="89"/>
    </row>
    <row r="2160" spans="1:9">
      <c r="A2160" s="21"/>
      <c r="B2160"/>
      <c r="F2160" s="87"/>
      <c r="H2160" s="87"/>
      <c r="I2160" s="89"/>
    </row>
    <row r="2161" spans="1:9">
      <c r="A2161" s="21"/>
      <c r="B2161"/>
      <c r="F2161" s="87"/>
      <c r="H2161" s="87"/>
      <c r="I2161" s="89"/>
    </row>
    <row r="2162" spans="1:9">
      <c r="A2162" s="21"/>
      <c r="B2162"/>
      <c r="F2162" s="87"/>
      <c r="H2162" s="87"/>
      <c r="I2162" s="89"/>
    </row>
    <row r="2163" spans="1:9">
      <c r="A2163" s="21"/>
      <c r="B2163"/>
      <c r="F2163" s="87"/>
      <c r="H2163" s="87"/>
      <c r="I2163" s="89"/>
    </row>
    <row r="2164" spans="1:9">
      <c r="A2164" s="21"/>
      <c r="B2164"/>
      <c r="F2164" s="87"/>
      <c r="H2164" s="87"/>
      <c r="I2164" s="89"/>
    </row>
    <row r="2165" spans="1:9">
      <c r="A2165" s="21"/>
      <c r="B2165"/>
      <c r="F2165" s="87"/>
      <c r="H2165" s="87"/>
      <c r="I2165" s="89"/>
    </row>
    <row r="2166" spans="1:9">
      <c r="A2166" s="21"/>
      <c r="B2166"/>
      <c r="F2166" s="87"/>
      <c r="H2166" s="87"/>
      <c r="I2166" s="89"/>
    </row>
    <row r="2167" spans="1:9">
      <c r="A2167" s="21"/>
      <c r="B2167"/>
      <c r="F2167" s="87"/>
      <c r="H2167" s="87"/>
      <c r="I2167" s="89"/>
    </row>
    <row r="2168" spans="1:9">
      <c r="A2168" s="21"/>
      <c r="B2168"/>
      <c r="F2168" s="87"/>
      <c r="H2168" s="87"/>
      <c r="I2168" s="89"/>
    </row>
    <row r="2169" spans="1:9">
      <c r="A2169" s="21"/>
      <c r="B2169"/>
      <c r="F2169" s="87"/>
      <c r="H2169" s="87"/>
      <c r="I2169" s="89"/>
    </row>
    <row r="2170" spans="1:9">
      <c r="A2170" s="21"/>
      <c r="B2170"/>
      <c r="F2170" s="87"/>
      <c r="H2170" s="87"/>
      <c r="I2170" s="89"/>
    </row>
    <row r="2171" spans="1:9">
      <c r="A2171" s="21"/>
      <c r="B2171"/>
      <c r="F2171" s="87"/>
      <c r="H2171" s="87"/>
      <c r="I2171" s="89"/>
    </row>
    <row r="2172" spans="1:9">
      <c r="A2172" s="21"/>
      <c r="B2172"/>
      <c r="F2172" s="87"/>
      <c r="H2172" s="87"/>
      <c r="I2172" s="89"/>
    </row>
    <row r="2173" spans="1:9">
      <c r="A2173" s="21"/>
      <c r="B2173"/>
      <c r="F2173" s="87"/>
      <c r="H2173" s="87"/>
      <c r="I2173" s="89"/>
    </row>
    <row r="2174" spans="1:9">
      <c r="A2174" s="21"/>
      <c r="B2174"/>
      <c r="F2174" s="87"/>
      <c r="H2174" s="87"/>
      <c r="I2174" s="89"/>
    </row>
    <row r="2175" spans="1:9">
      <c r="A2175" s="21"/>
      <c r="B2175"/>
      <c r="F2175" s="87"/>
      <c r="H2175" s="87"/>
      <c r="I2175" s="89"/>
    </row>
    <row r="2176" spans="1:9">
      <c r="A2176" s="21"/>
      <c r="B2176"/>
      <c r="F2176" s="87"/>
      <c r="H2176" s="87"/>
      <c r="I2176" s="89"/>
    </row>
    <row r="2177" spans="1:9">
      <c r="A2177" s="21"/>
      <c r="B2177"/>
      <c r="F2177" s="87"/>
      <c r="H2177" s="87"/>
      <c r="I2177" s="89"/>
    </row>
    <row r="2178" spans="1:9">
      <c r="A2178" s="21"/>
      <c r="B2178"/>
      <c r="F2178" s="87"/>
      <c r="H2178" s="87"/>
      <c r="I2178" s="89"/>
    </row>
    <row r="2179" spans="1:9">
      <c r="A2179" s="21"/>
      <c r="B2179"/>
      <c r="F2179" s="87"/>
      <c r="H2179" s="87"/>
      <c r="I2179" s="89"/>
    </row>
    <row r="2180" spans="1:9">
      <c r="A2180" s="21"/>
      <c r="B2180"/>
      <c r="F2180" s="87"/>
      <c r="H2180" s="87"/>
      <c r="I2180" s="89"/>
    </row>
    <row r="2181" spans="1:9">
      <c r="A2181" s="21"/>
      <c r="B2181"/>
      <c r="F2181" s="87"/>
      <c r="H2181" s="87"/>
      <c r="I2181" s="89"/>
    </row>
    <row r="2182" spans="1:9">
      <c r="A2182" s="21"/>
      <c r="B2182"/>
      <c r="F2182" s="87"/>
      <c r="H2182" s="87"/>
      <c r="I2182" s="89"/>
    </row>
    <row r="2183" spans="1:9">
      <c r="A2183" s="21"/>
      <c r="B2183"/>
      <c r="F2183" s="87"/>
      <c r="H2183" s="87"/>
      <c r="I2183" s="89"/>
    </row>
    <row r="2184" spans="1:9">
      <c r="A2184" s="21"/>
      <c r="B2184"/>
      <c r="F2184" s="87"/>
      <c r="H2184" s="87"/>
      <c r="I2184" s="89"/>
    </row>
    <row r="2185" spans="1:9">
      <c r="A2185" s="21"/>
      <c r="B2185"/>
      <c r="F2185" s="87"/>
      <c r="H2185" s="87"/>
      <c r="I2185" s="89"/>
    </row>
    <row r="2186" spans="1:9">
      <c r="A2186" s="21"/>
      <c r="B2186"/>
      <c r="F2186" s="87"/>
      <c r="H2186" s="87"/>
      <c r="I2186" s="89"/>
    </row>
    <row r="2187" spans="1:9">
      <c r="A2187" s="21"/>
      <c r="B2187"/>
      <c r="F2187" s="87"/>
      <c r="H2187" s="87"/>
      <c r="I2187" s="89"/>
    </row>
    <row r="2188" spans="1:9">
      <c r="A2188" s="21"/>
      <c r="B2188"/>
      <c r="F2188" s="87"/>
      <c r="H2188" s="87"/>
      <c r="I2188" s="89"/>
    </row>
    <row r="2189" spans="1:9">
      <c r="A2189" s="21"/>
      <c r="B2189"/>
      <c r="F2189" s="87"/>
      <c r="H2189" s="87"/>
      <c r="I2189" s="89"/>
    </row>
    <row r="2190" spans="1:9">
      <c r="A2190" s="21"/>
      <c r="B2190"/>
      <c r="F2190" s="87"/>
      <c r="H2190" s="87"/>
      <c r="I2190" s="89"/>
    </row>
    <row r="2191" spans="1:9">
      <c r="A2191" s="21"/>
      <c r="B2191"/>
      <c r="F2191" s="87"/>
      <c r="H2191" s="87"/>
      <c r="I2191" s="89"/>
    </row>
    <row r="2192" spans="1:9">
      <c r="A2192" s="21"/>
      <c r="B2192"/>
      <c r="F2192" s="87"/>
      <c r="H2192" s="87"/>
      <c r="I2192" s="89"/>
    </row>
    <row r="2193" spans="1:9">
      <c r="A2193" s="21"/>
      <c r="B2193"/>
      <c r="F2193" s="87"/>
      <c r="H2193" s="87"/>
      <c r="I2193" s="89"/>
    </row>
    <row r="2194" spans="1:9">
      <c r="A2194" s="21"/>
      <c r="B2194"/>
      <c r="F2194" s="87"/>
      <c r="H2194" s="87"/>
      <c r="I2194" s="89"/>
    </row>
    <row r="2195" spans="1:9">
      <c r="A2195" s="21"/>
      <c r="B2195"/>
      <c r="F2195" s="87"/>
      <c r="H2195" s="87"/>
      <c r="I2195" s="89"/>
    </row>
    <row r="2196" spans="1:9">
      <c r="A2196" s="21"/>
      <c r="B2196"/>
      <c r="F2196" s="87"/>
      <c r="H2196" s="87"/>
      <c r="I2196" s="89"/>
    </row>
    <row r="2197" spans="1:9">
      <c r="A2197" s="21"/>
      <c r="B2197"/>
      <c r="F2197" s="87"/>
      <c r="H2197" s="87"/>
      <c r="I2197" s="89"/>
    </row>
    <row r="2198" spans="1:9">
      <c r="A2198" s="21"/>
      <c r="B2198"/>
      <c r="F2198" s="87"/>
      <c r="H2198" s="87"/>
      <c r="I2198" s="89"/>
    </row>
    <row r="2199" spans="1:9">
      <c r="A2199" s="21"/>
      <c r="B2199"/>
      <c r="F2199" s="87"/>
      <c r="H2199" s="87"/>
      <c r="I2199" s="89"/>
    </row>
    <row r="2200" spans="1:9">
      <c r="A2200" s="21"/>
      <c r="B2200"/>
      <c r="F2200" s="87"/>
      <c r="H2200" s="87"/>
      <c r="I2200" s="89"/>
    </row>
    <row r="2201" spans="1:9">
      <c r="A2201" s="21"/>
      <c r="B2201"/>
      <c r="F2201" s="87"/>
      <c r="H2201" s="87"/>
      <c r="I2201" s="89"/>
    </row>
    <row r="2202" spans="1:9">
      <c r="A2202" s="21"/>
      <c r="B2202"/>
      <c r="F2202" s="87"/>
      <c r="H2202" s="87"/>
      <c r="I2202" s="89"/>
    </row>
    <row r="2203" spans="1:9">
      <c r="A2203" s="21"/>
      <c r="B2203"/>
      <c r="F2203" s="87"/>
      <c r="H2203" s="87"/>
      <c r="I2203" s="89"/>
    </row>
    <row r="2204" spans="1:9">
      <c r="A2204" s="21"/>
      <c r="B2204"/>
      <c r="F2204" s="87"/>
      <c r="H2204" s="87"/>
      <c r="I2204" s="89"/>
    </row>
    <row r="2205" spans="1:9">
      <c r="A2205" s="21"/>
      <c r="B2205"/>
      <c r="F2205" s="87"/>
      <c r="H2205" s="87"/>
      <c r="I2205" s="89"/>
    </row>
    <row r="2206" spans="1:9">
      <c r="A2206" s="21"/>
      <c r="B2206"/>
      <c r="F2206" s="87"/>
      <c r="H2206" s="87"/>
      <c r="I2206" s="89"/>
    </row>
    <row r="2207" spans="1:9">
      <c r="A2207" s="21"/>
      <c r="B2207"/>
      <c r="F2207" s="87"/>
      <c r="H2207" s="87"/>
      <c r="I2207" s="89"/>
    </row>
    <row r="2208" spans="1:9">
      <c r="A2208" s="21"/>
      <c r="B2208"/>
      <c r="F2208" s="87"/>
      <c r="H2208" s="87"/>
      <c r="I2208" s="89"/>
    </row>
    <row r="2209" spans="1:9">
      <c r="A2209" s="21"/>
      <c r="B2209"/>
      <c r="F2209" s="87"/>
      <c r="H2209" s="87"/>
      <c r="I2209" s="89"/>
    </row>
    <row r="2210" spans="1:9">
      <c r="A2210" s="21"/>
      <c r="B2210"/>
      <c r="F2210" s="87"/>
      <c r="H2210" s="87"/>
      <c r="I2210" s="89"/>
    </row>
    <row r="2211" spans="1:9">
      <c r="A2211" s="21"/>
      <c r="B2211"/>
      <c r="F2211" s="87"/>
      <c r="H2211" s="87"/>
      <c r="I2211" s="89"/>
    </row>
    <row r="2212" spans="1:9">
      <c r="A2212" s="21"/>
      <c r="B2212"/>
      <c r="F2212" s="87"/>
      <c r="H2212" s="87"/>
      <c r="I2212" s="89"/>
    </row>
    <row r="2213" spans="1:9">
      <c r="A2213" s="21"/>
      <c r="B2213"/>
      <c r="F2213" s="87"/>
      <c r="H2213" s="87"/>
      <c r="I2213" s="89"/>
    </row>
    <row r="2214" spans="1:9">
      <c r="A2214" s="21"/>
      <c r="B2214"/>
      <c r="F2214" s="87"/>
      <c r="H2214" s="87"/>
      <c r="I2214" s="89"/>
    </row>
    <row r="2215" spans="1:9">
      <c r="A2215" s="21"/>
      <c r="B2215"/>
      <c r="F2215" s="87"/>
      <c r="H2215" s="87"/>
      <c r="I2215" s="89"/>
    </row>
    <row r="2216" spans="1:9">
      <c r="A2216" s="21"/>
      <c r="B2216"/>
      <c r="F2216" s="87"/>
      <c r="H2216" s="87"/>
      <c r="I2216" s="89"/>
    </row>
    <row r="2217" spans="1:9">
      <c r="A2217" s="21"/>
      <c r="B2217"/>
      <c r="F2217" s="87"/>
      <c r="H2217" s="87"/>
      <c r="I2217" s="89"/>
    </row>
    <row r="2218" spans="1:9">
      <c r="A2218" s="21"/>
      <c r="B2218"/>
      <c r="F2218" s="87"/>
      <c r="H2218" s="87"/>
      <c r="I2218" s="89"/>
    </row>
    <row r="2219" spans="1:9">
      <c r="A2219" s="21"/>
      <c r="B2219"/>
      <c r="F2219" s="87"/>
      <c r="H2219" s="87"/>
      <c r="I2219" s="89"/>
    </row>
    <row r="2220" spans="1:9">
      <c r="A2220" s="21"/>
      <c r="B2220"/>
      <c r="F2220" s="87"/>
      <c r="H2220" s="87"/>
      <c r="I2220" s="89"/>
    </row>
    <row r="2221" spans="1:9">
      <c r="A2221" s="21"/>
      <c r="B2221"/>
      <c r="F2221" s="87"/>
      <c r="H2221" s="87"/>
      <c r="I2221" s="89"/>
    </row>
    <row r="2222" spans="1:9">
      <c r="A2222" s="21"/>
      <c r="B2222"/>
      <c r="F2222" s="87"/>
      <c r="H2222" s="87"/>
      <c r="I2222" s="89"/>
    </row>
    <row r="2223" spans="1:9">
      <c r="A2223" s="21"/>
      <c r="B2223"/>
      <c r="F2223" s="87"/>
      <c r="H2223" s="87"/>
      <c r="I2223" s="89"/>
    </row>
    <row r="2224" spans="1:9">
      <c r="A2224" s="21"/>
      <c r="B2224"/>
      <c r="F2224" s="87"/>
      <c r="H2224" s="87"/>
      <c r="I2224" s="89"/>
    </row>
    <row r="2225" spans="1:9">
      <c r="A2225" s="21"/>
      <c r="B2225"/>
      <c r="F2225" s="87"/>
      <c r="H2225" s="87"/>
      <c r="I2225" s="89"/>
    </row>
    <row r="2226" spans="1:9">
      <c r="A2226" s="21"/>
      <c r="B2226"/>
      <c r="F2226" s="87"/>
      <c r="H2226" s="87"/>
      <c r="I2226" s="89"/>
    </row>
    <row r="2227" spans="1:9">
      <c r="A2227" s="21"/>
      <c r="B2227"/>
      <c r="F2227" s="87"/>
      <c r="H2227" s="87"/>
      <c r="I2227" s="89"/>
    </row>
    <row r="2228" spans="1:9">
      <c r="A2228" s="21"/>
      <c r="B2228"/>
      <c r="F2228" s="87"/>
      <c r="H2228" s="87"/>
      <c r="I2228" s="89"/>
    </row>
    <row r="2229" spans="1:9">
      <c r="A2229" s="21"/>
      <c r="B2229"/>
      <c r="F2229" s="87"/>
      <c r="H2229" s="87"/>
      <c r="I2229" s="89"/>
    </row>
    <row r="2230" spans="1:9">
      <c r="A2230" s="21"/>
      <c r="B2230"/>
      <c r="F2230" s="87"/>
      <c r="H2230" s="87"/>
      <c r="I2230" s="89"/>
    </row>
    <row r="2231" spans="1:9">
      <c r="A2231" s="21"/>
      <c r="B2231"/>
      <c r="F2231" s="87"/>
      <c r="H2231" s="87"/>
      <c r="I2231" s="89"/>
    </row>
    <row r="2232" spans="1:9">
      <c r="A2232" s="21"/>
      <c r="B2232"/>
      <c r="F2232" s="87"/>
      <c r="H2232" s="87"/>
      <c r="I2232" s="89"/>
    </row>
    <row r="2233" spans="1:9">
      <c r="A2233" s="21"/>
      <c r="B2233"/>
      <c r="F2233" s="87"/>
      <c r="H2233" s="87"/>
      <c r="I2233" s="89"/>
    </row>
    <row r="2234" spans="1:9">
      <c r="A2234" s="21"/>
      <c r="B2234"/>
      <c r="F2234" s="87"/>
      <c r="H2234" s="87"/>
      <c r="I2234" s="89"/>
    </row>
    <row r="2235" spans="1:9">
      <c r="A2235" s="21"/>
      <c r="B2235"/>
      <c r="F2235" s="87"/>
      <c r="H2235" s="87"/>
      <c r="I2235" s="89"/>
    </row>
    <row r="2236" spans="1:9">
      <c r="A2236" s="21"/>
      <c r="B2236"/>
      <c r="F2236" s="87"/>
      <c r="H2236" s="87"/>
      <c r="I2236" s="89"/>
    </row>
    <row r="2237" spans="1:9">
      <c r="A2237" s="21"/>
      <c r="B2237"/>
      <c r="F2237" s="87"/>
      <c r="H2237" s="87"/>
      <c r="I2237" s="89"/>
    </row>
    <row r="2238" spans="1:9">
      <c r="A2238" s="21"/>
      <c r="B2238"/>
      <c r="F2238" s="87"/>
      <c r="H2238" s="87"/>
      <c r="I2238" s="89"/>
    </row>
    <row r="2239" spans="1:9">
      <c r="A2239" s="21"/>
      <c r="B2239"/>
      <c r="F2239" s="87"/>
      <c r="H2239" s="87"/>
      <c r="I2239" s="89"/>
    </row>
    <row r="2240" spans="1:9">
      <c r="A2240" s="21"/>
      <c r="B2240"/>
      <c r="F2240" s="87"/>
      <c r="H2240" s="87"/>
      <c r="I2240" s="89"/>
    </row>
    <row r="2241" spans="1:9">
      <c r="A2241" s="21"/>
      <c r="B2241"/>
      <c r="F2241" s="87"/>
      <c r="H2241" s="87"/>
      <c r="I2241" s="89"/>
    </row>
    <row r="2242" spans="1:9">
      <c r="A2242" s="21"/>
      <c r="B2242"/>
      <c r="F2242" s="87"/>
      <c r="H2242" s="87"/>
      <c r="I2242" s="89"/>
    </row>
    <row r="2243" spans="1:9">
      <c r="A2243" s="21"/>
      <c r="B2243"/>
      <c r="F2243" s="87"/>
      <c r="H2243" s="87"/>
      <c r="I2243" s="89"/>
    </row>
    <row r="2244" spans="1:9">
      <c r="A2244" s="21"/>
      <c r="B2244"/>
      <c r="F2244" s="87"/>
      <c r="H2244" s="87"/>
      <c r="I2244" s="89"/>
    </row>
    <row r="2245" spans="1:9">
      <c r="A2245" s="21"/>
      <c r="B2245"/>
      <c r="F2245" s="87"/>
      <c r="H2245" s="87"/>
      <c r="I2245" s="89"/>
    </row>
    <row r="2246" spans="1:9">
      <c r="A2246" s="21"/>
      <c r="B2246"/>
      <c r="F2246" s="87"/>
      <c r="H2246" s="87"/>
      <c r="I2246" s="89"/>
    </row>
    <row r="2247" spans="1:9">
      <c r="A2247" s="21"/>
      <c r="B2247"/>
      <c r="F2247" s="87"/>
      <c r="H2247" s="87"/>
      <c r="I2247" s="89"/>
    </row>
    <row r="2248" spans="1:9">
      <c r="A2248" s="21"/>
      <c r="B2248"/>
      <c r="F2248" s="87"/>
      <c r="H2248" s="87"/>
      <c r="I2248" s="89"/>
    </row>
    <row r="2249" spans="1:9">
      <c r="A2249" s="21"/>
      <c r="B2249"/>
      <c r="F2249" s="87"/>
      <c r="H2249" s="87"/>
      <c r="I2249" s="89"/>
    </row>
    <row r="2250" spans="1:9">
      <c r="A2250" s="21"/>
      <c r="B2250"/>
      <c r="F2250" s="87"/>
      <c r="H2250" s="87"/>
      <c r="I2250" s="89"/>
    </row>
    <row r="2251" spans="1:9">
      <c r="A2251" s="21"/>
      <c r="B2251"/>
      <c r="F2251" s="87"/>
      <c r="H2251" s="87"/>
      <c r="I2251" s="89"/>
    </row>
    <row r="2252" spans="1:9">
      <c r="A2252" s="21"/>
      <c r="B2252"/>
      <c r="F2252" s="87"/>
      <c r="H2252" s="87"/>
      <c r="I2252" s="89"/>
    </row>
    <row r="2253" spans="1:9">
      <c r="A2253" s="21"/>
      <c r="B2253"/>
      <c r="F2253" s="87"/>
      <c r="H2253" s="87"/>
      <c r="I2253" s="89"/>
    </row>
    <row r="2254" spans="1:9">
      <c r="A2254" s="21"/>
      <c r="B2254"/>
      <c r="F2254" s="87"/>
      <c r="H2254" s="87"/>
      <c r="I2254" s="89"/>
    </row>
    <row r="2255" spans="1:9">
      <c r="A2255" s="21"/>
      <c r="B2255"/>
      <c r="F2255" s="87"/>
      <c r="H2255" s="87"/>
      <c r="I2255" s="89"/>
    </row>
    <row r="2256" spans="1:9">
      <c r="A2256" s="21"/>
      <c r="B2256"/>
      <c r="F2256" s="87"/>
      <c r="H2256" s="87"/>
      <c r="I2256" s="89"/>
    </row>
    <row r="2257" spans="1:9">
      <c r="A2257" s="21"/>
      <c r="B2257"/>
      <c r="F2257" s="87"/>
      <c r="H2257" s="87"/>
      <c r="I2257" s="89"/>
    </row>
    <row r="2258" spans="1:9">
      <c r="A2258" s="21"/>
      <c r="B2258"/>
      <c r="F2258" s="87"/>
      <c r="H2258" s="87"/>
      <c r="I2258" s="89"/>
    </row>
    <row r="2259" spans="1:9">
      <c r="A2259" s="21"/>
      <c r="B2259"/>
      <c r="F2259" s="87"/>
      <c r="H2259" s="87"/>
      <c r="I2259" s="89"/>
    </row>
    <row r="2260" spans="1:9">
      <c r="A2260" s="21"/>
      <c r="B2260"/>
      <c r="F2260" s="87"/>
      <c r="H2260" s="87"/>
      <c r="I2260" s="89"/>
    </row>
    <row r="2261" spans="1:9">
      <c r="A2261" s="21"/>
      <c r="B2261"/>
      <c r="F2261" s="87"/>
      <c r="H2261" s="87"/>
      <c r="I2261" s="89"/>
    </row>
    <row r="2262" spans="1:9">
      <c r="A2262" s="21"/>
      <c r="B2262"/>
      <c r="F2262" s="87"/>
      <c r="H2262" s="87"/>
      <c r="I2262" s="89"/>
    </row>
    <row r="2263" spans="1:9">
      <c r="A2263" s="21"/>
      <c r="B2263"/>
      <c r="F2263" s="87"/>
      <c r="H2263" s="87"/>
      <c r="I2263" s="89"/>
    </row>
    <row r="2264" spans="1:9">
      <c r="A2264" s="21"/>
      <c r="B2264"/>
      <c r="F2264" s="87"/>
      <c r="H2264" s="87"/>
      <c r="I2264" s="89"/>
    </row>
    <row r="2265" spans="1:9">
      <c r="A2265" s="21"/>
      <c r="B2265"/>
      <c r="F2265" s="87"/>
      <c r="H2265" s="87"/>
      <c r="I2265" s="89"/>
    </row>
    <row r="2266" spans="1:9">
      <c r="A2266" s="21"/>
      <c r="B2266"/>
      <c r="F2266" s="87"/>
      <c r="H2266" s="87"/>
      <c r="I2266" s="89"/>
    </row>
    <row r="2267" spans="1:9">
      <c r="A2267" s="21"/>
      <c r="B2267"/>
      <c r="F2267" s="87"/>
      <c r="H2267" s="87"/>
      <c r="I2267" s="89"/>
    </row>
    <row r="2268" spans="1:9">
      <c r="A2268" s="21"/>
      <c r="B2268"/>
      <c r="F2268" s="87"/>
      <c r="H2268" s="87"/>
      <c r="I2268" s="89"/>
    </row>
    <row r="2269" spans="1:9">
      <c r="A2269" s="21"/>
      <c r="B2269"/>
      <c r="F2269" s="87"/>
      <c r="H2269" s="87"/>
      <c r="I2269" s="89"/>
    </row>
    <row r="2270" spans="1:9">
      <c r="A2270" s="21"/>
      <c r="B2270"/>
      <c r="F2270" s="87"/>
      <c r="H2270" s="87"/>
      <c r="I2270" s="89"/>
    </row>
    <row r="2271" spans="1:9">
      <c r="A2271" s="21"/>
      <c r="B2271"/>
      <c r="F2271" s="87"/>
      <c r="H2271" s="87"/>
      <c r="I2271" s="89"/>
    </row>
    <row r="2272" spans="1:9">
      <c r="A2272" s="21"/>
      <c r="B2272"/>
      <c r="F2272" s="87"/>
      <c r="H2272" s="87"/>
      <c r="I2272" s="89"/>
    </row>
    <row r="2273" spans="1:9">
      <c r="A2273" s="21"/>
      <c r="B2273"/>
      <c r="F2273" s="87"/>
      <c r="H2273" s="87"/>
      <c r="I2273" s="89"/>
    </row>
    <row r="2274" spans="1:9">
      <c r="A2274" s="21"/>
      <c r="B2274"/>
      <c r="F2274" s="87"/>
      <c r="H2274" s="87"/>
      <c r="I2274" s="89"/>
    </row>
    <row r="2275" spans="1:9">
      <c r="A2275" s="21"/>
      <c r="B2275"/>
      <c r="F2275" s="87"/>
      <c r="H2275" s="87"/>
      <c r="I2275" s="89"/>
    </row>
    <row r="2276" spans="1:9">
      <c r="A2276" s="21"/>
      <c r="B2276"/>
      <c r="F2276" s="87"/>
      <c r="H2276" s="87"/>
      <c r="I2276" s="89"/>
    </row>
    <row r="2277" spans="1:9">
      <c r="A2277" s="21"/>
      <c r="B2277"/>
      <c r="F2277" s="87"/>
      <c r="H2277" s="87"/>
      <c r="I2277" s="89"/>
    </row>
    <row r="2278" spans="1:9">
      <c r="A2278" s="21"/>
      <c r="B2278"/>
      <c r="F2278" s="87"/>
      <c r="H2278" s="87"/>
      <c r="I2278" s="89"/>
    </row>
    <row r="2279" spans="1:9">
      <c r="A2279" s="21"/>
      <c r="B2279"/>
      <c r="F2279" s="87"/>
      <c r="H2279" s="87"/>
      <c r="I2279" s="89"/>
    </row>
    <row r="2280" spans="1:9">
      <c r="A2280" s="21"/>
      <c r="B2280"/>
      <c r="F2280" s="87"/>
      <c r="H2280" s="87"/>
      <c r="I2280" s="89"/>
    </row>
    <row r="2281" spans="1:9">
      <c r="A2281" s="21"/>
      <c r="B2281"/>
      <c r="F2281" s="87"/>
      <c r="H2281" s="87"/>
      <c r="I2281" s="89"/>
    </row>
    <row r="2282" spans="1:9">
      <c r="A2282" s="21"/>
      <c r="B2282"/>
      <c r="F2282" s="87"/>
      <c r="H2282" s="87"/>
      <c r="I2282" s="89"/>
    </row>
    <row r="2283" spans="1:9">
      <c r="A2283" s="21"/>
      <c r="B2283"/>
      <c r="F2283" s="87"/>
      <c r="H2283" s="87"/>
      <c r="I2283" s="89"/>
    </row>
    <row r="2284" spans="1:9">
      <c r="A2284" s="21"/>
      <c r="B2284"/>
      <c r="F2284" s="87"/>
      <c r="H2284" s="87"/>
      <c r="I2284" s="89"/>
    </row>
    <row r="2285" spans="1:9">
      <c r="A2285" s="21"/>
      <c r="B2285"/>
      <c r="F2285" s="87"/>
      <c r="H2285" s="87"/>
      <c r="I2285" s="89"/>
    </row>
    <row r="2286" spans="1:9">
      <c r="A2286" s="21"/>
      <c r="B2286"/>
      <c r="F2286" s="87"/>
      <c r="H2286" s="87"/>
      <c r="I2286" s="89"/>
    </row>
    <row r="2287" spans="1:9">
      <c r="A2287" s="21"/>
      <c r="B2287"/>
      <c r="F2287" s="87"/>
      <c r="H2287" s="87"/>
      <c r="I2287" s="89"/>
    </row>
    <row r="2288" spans="1:9">
      <c r="A2288" s="21"/>
      <c r="B2288"/>
      <c r="F2288" s="87"/>
      <c r="H2288" s="87"/>
      <c r="I2288" s="89"/>
    </row>
    <row r="2289" spans="1:9">
      <c r="A2289" s="21"/>
      <c r="B2289"/>
      <c r="F2289" s="87"/>
      <c r="H2289" s="87"/>
      <c r="I2289" s="89"/>
    </row>
    <row r="2290" spans="1:9">
      <c r="A2290" s="21"/>
      <c r="B2290"/>
      <c r="F2290" s="87"/>
      <c r="H2290" s="87"/>
      <c r="I2290" s="89"/>
    </row>
    <row r="2291" spans="1:9">
      <c r="A2291" s="21"/>
      <c r="B2291"/>
      <c r="F2291" s="87"/>
      <c r="H2291" s="87"/>
      <c r="I2291" s="89"/>
    </row>
    <row r="2292" spans="1:9">
      <c r="A2292" s="21"/>
      <c r="B2292"/>
      <c r="F2292" s="87"/>
      <c r="H2292" s="87"/>
      <c r="I2292" s="89"/>
    </row>
    <row r="2293" spans="1:9">
      <c r="A2293" s="21"/>
      <c r="B2293"/>
      <c r="F2293" s="87"/>
      <c r="H2293" s="87"/>
      <c r="I2293" s="89"/>
    </row>
    <row r="2294" spans="1:9">
      <c r="A2294" s="21"/>
      <c r="B2294"/>
      <c r="F2294" s="87"/>
      <c r="H2294" s="87"/>
      <c r="I2294" s="89"/>
    </row>
    <row r="2295" spans="1:9">
      <c r="A2295" s="21"/>
      <c r="B2295"/>
      <c r="F2295" s="87"/>
      <c r="H2295" s="87"/>
      <c r="I2295" s="89"/>
    </row>
    <row r="2296" spans="1:9">
      <c r="A2296" s="21"/>
      <c r="B2296"/>
      <c r="F2296" s="87"/>
      <c r="H2296" s="87"/>
      <c r="I2296" s="89"/>
    </row>
    <row r="2297" spans="1:9">
      <c r="A2297" s="21"/>
      <c r="B2297"/>
      <c r="F2297" s="87"/>
      <c r="H2297" s="87"/>
      <c r="I2297" s="89"/>
    </row>
    <row r="2298" spans="1:9">
      <c r="A2298" s="21"/>
      <c r="B2298"/>
      <c r="F2298" s="87"/>
      <c r="H2298" s="87"/>
      <c r="I2298" s="89"/>
    </row>
    <row r="2299" spans="1:9">
      <c r="A2299" s="21"/>
      <c r="B2299"/>
      <c r="F2299" s="87"/>
      <c r="H2299" s="87"/>
      <c r="I2299" s="89"/>
    </row>
    <row r="2300" spans="1:9">
      <c r="A2300" s="21"/>
      <c r="B2300"/>
      <c r="F2300" s="87"/>
      <c r="H2300" s="87"/>
      <c r="I2300" s="89"/>
    </row>
    <row r="2301" spans="1:9">
      <c r="A2301" s="21"/>
      <c r="B2301"/>
      <c r="F2301" s="87"/>
      <c r="H2301" s="87"/>
      <c r="I2301" s="89"/>
    </row>
    <row r="2302" spans="1:9">
      <c r="A2302" s="21"/>
      <c r="B2302"/>
      <c r="F2302" s="87"/>
      <c r="H2302" s="87"/>
      <c r="I2302" s="89"/>
    </row>
    <row r="2303" spans="1:9">
      <c r="A2303" s="21"/>
      <c r="B2303"/>
      <c r="F2303" s="87"/>
      <c r="H2303" s="87"/>
      <c r="I2303" s="89"/>
    </row>
    <row r="2304" spans="1:9">
      <c r="A2304" s="21"/>
      <c r="B2304"/>
      <c r="F2304" s="87"/>
      <c r="H2304" s="87"/>
      <c r="I2304" s="89"/>
    </row>
    <row r="2305" spans="1:9">
      <c r="A2305" s="21"/>
      <c r="B2305"/>
      <c r="F2305" s="87"/>
      <c r="H2305" s="87"/>
      <c r="I2305" s="89"/>
    </row>
    <row r="2306" spans="1:9">
      <c r="A2306" s="21"/>
      <c r="B2306"/>
      <c r="F2306" s="87"/>
      <c r="H2306" s="87"/>
      <c r="I2306" s="89"/>
    </row>
    <row r="2307" spans="1:9">
      <c r="A2307" s="21"/>
      <c r="B2307"/>
      <c r="F2307" s="87"/>
      <c r="H2307" s="87"/>
      <c r="I2307" s="89"/>
    </row>
    <row r="2308" spans="1:9">
      <c r="A2308" s="21"/>
      <c r="B2308"/>
      <c r="F2308" s="87"/>
      <c r="H2308" s="87"/>
      <c r="I2308" s="89"/>
    </row>
    <row r="2309" spans="1:9">
      <c r="A2309" s="21"/>
      <c r="B2309"/>
      <c r="F2309" s="87"/>
      <c r="H2309" s="87"/>
      <c r="I2309" s="89"/>
    </row>
    <row r="2310" spans="1:9">
      <c r="A2310" s="21"/>
      <c r="B2310"/>
      <c r="F2310" s="87"/>
      <c r="H2310" s="87"/>
      <c r="I2310" s="89"/>
    </row>
    <row r="2311" spans="1:9">
      <c r="A2311" s="21"/>
      <c r="B2311"/>
      <c r="F2311" s="87"/>
      <c r="H2311" s="87"/>
      <c r="I2311" s="89"/>
    </row>
    <row r="2312" spans="1:9">
      <c r="A2312" s="21"/>
      <c r="B2312"/>
      <c r="F2312" s="87"/>
      <c r="H2312" s="87"/>
      <c r="I2312" s="89"/>
    </row>
    <row r="2313" spans="1:9">
      <c r="A2313" s="21"/>
      <c r="B2313"/>
      <c r="F2313" s="87"/>
      <c r="H2313" s="87"/>
      <c r="I2313" s="89"/>
    </row>
    <row r="2314" spans="1:9">
      <c r="A2314" s="21"/>
      <c r="B2314"/>
      <c r="F2314" s="87"/>
      <c r="H2314" s="87"/>
      <c r="I2314" s="89"/>
    </row>
    <row r="2315" spans="1:9">
      <c r="A2315" s="21"/>
      <c r="B2315"/>
      <c r="F2315" s="87"/>
      <c r="H2315" s="87"/>
      <c r="I2315" s="89"/>
    </row>
    <row r="2316" spans="1:9">
      <c r="A2316" s="21"/>
      <c r="B2316"/>
      <c r="F2316" s="87"/>
      <c r="H2316" s="87"/>
      <c r="I2316" s="89"/>
    </row>
    <row r="2317" spans="1:9">
      <c r="A2317" s="21"/>
      <c r="B2317"/>
      <c r="F2317" s="87"/>
      <c r="H2317" s="87"/>
      <c r="I2317" s="89"/>
    </row>
    <row r="2318" spans="1:9">
      <c r="A2318" s="21"/>
      <c r="B2318"/>
      <c r="F2318" s="87"/>
      <c r="H2318" s="87"/>
      <c r="I2318" s="89"/>
    </row>
    <row r="2319" spans="1:9">
      <c r="A2319" s="21"/>
      <c r="B2319"/>
      <c r="F2319" s="87"/>
      <c r="H2319" s="87"/>
      <c r="I2319" s="89"/>
    </row>
    <row r="2320" spans="1:9">
      <c r="A2320" s="21"/>
      <c r="B2320"/>
      <c r="F2320" s="87"/>
      <c r="H2320" s="87"/>
      <c r="I2320" s="89"/>
    </row>
    <row r="2321" spans="1:9">
      <c r="A2321" s="21"/>
      <c r="B2321"/>
      <c r="F2321" s="87"/>
      <c r="H2321" s="87"/>
      <c r="I2321" s="89"/>
    </row>
    <row r="2322" spans="1:9">
      <c r="A2322" s="21"/>
      <c r="B2322"/>
      <c r="F2322" s="87"/>
      <c r="H2322" s="87"/>
      <c r="I2322" s="89"/>
    </row>
    <row r="2323" spans="1:9">
      <c r="A2323" s="21"/>
      <c r="B2323"/>
      <c r="F2323" s="87"/>
      <c r="H2323" s="87"/>
      <c r="I2323" s="89"/>
    </row>
    <row r="2324" spans="1:9">
      <c r="A2324" s="21"/>
      <c r="B2324"/>
      <c r="F2324" s="87"/>
      <c r="H2324" s="87"/>
      <c r="I2324" s="89"/>
    </row>
    <row r="2325" spans="1:9">
      <c r="A2325" s="21"/>
      <c r="B2325"/>
      <c r="F2325" s="87"/>
      <c r="H2325" s="87"/>
      <c r="I2325" s="89"/>
    </row>
    <row r="2326" spans="1:9">
      <c r="A2326" s="21"/>
      <c r="B2326"/>
      <c r="F2326" s="87"/>
      <c r="H2326" s="87"/>
      <c r="I2326" s="89"/>
    </row>
    <row r="2327" spans="1:9">
      <c r="A2327" s="21"/>
      <c r="B2327"/>
      <c r="F2327" s="87"/>
      <c r="H2327" s="87"/>
      <c r="I2327" s="89"/>
    </row>
    <row r="2328" spans="1:9">
      <c r="A2328" s="21"/>
      <c r="B2328"/>
      <c r="F2328" s="87"/>
      <c r="H2328" s="87"/>
      <c r="I2328" s="89"/>
    </row>
    <row r="2329" spans="1:9">
      <c r="A2329" s="21"/>
      <c r="B2329"/>
      <c r="F2329" s="87"/>
      <c r="H2329" s="87"/>
      <c r="I2329" s="89"/>
    </row>
    <row r="2330" spans="1:9">
      <c r="A2330" s="21"/>
      <c r="B2330"/>
      <c r="F2330" s="87"/>
      <c r="H2330" s="87"/>
      <c r="I2330" s="89"/>
    </row>
    <row r="2331" spans="1:9">
      <c r="A2331" s="21"/>
      <c r="B2331"/>
      <c r="F2331" s="87"/>
      <c r="H2331" s="87"/>
      <c r="I2331" s="89"/>
    </row>
    <row r="2332" spans="1:9">
      <c r="A2332" s="21"/>
      <c r="B2332"/>
      <c r="F2332" s="87"/>
      <c r="H2332" s="87"/>
      <c r="I2332" s="89"/>
    </row>
    <row r="2333" spans="1:9">
      <c r="A2333" s="21"/>
      <c r="B2333"/>
      <c r="F2333" s="87"/>
      <c r="H2333" s="87"/>
      <c r="I2333" s="89"/>
    </row>
    <row r="2334" spans="1:9">
      <c r="A2334" s="21"/>
      <c r="B2334"/>
      <c r="F2334" s="87"/>
      <c r="H2334" s="87"/>
      <c r="I2334" s="89"/>
    </row>
    <row r="2335" spans="1:9">
      <c r="A2335" s="21"/>
      <c r="B2335"/>
      <c r="F2335" s="87"/>
      <c r="H2335" s="87"/>
      <c r="I2335" s="89"/>
    </row>
    <row r="2336" spans="1:9">
      <c r="A2336" s="21"/>
      <c r="B2336"/>
      <c r="F2336" s="87"/>
      <c r="H2336" s="87"/>
      <c r="I2336" s="89"/>
    </row>
    <row r="2337" spans="1:9">
      <c r="A2337" s="21"/>
      <c r="B2337"/>
      <c r="F2337" s="87"/>
      <c r="H2337" s="87"/>
      <c r="I2337" s="89"/>
    </row>
    <row r="2338" spans="1:9">
      <c r="A2338" s="21"/>
      <c r="B2338"/>
      <c r="F2338" s="87"/>
      <c r="H2338" s="87"/>
      <c r="I2338" s="89"/>
    </row>
    <row r="2339" spans="1:9">
      <c r="A2339" s="21"/>
      <c r="B2339"/>
      <c r="F2339" s="87"/>
      <c r="H2339" s="87"/>
      <c r="I2339" s="89"/>
    </row>
    <row r="2340" spans="1:9">
      <c r="A2340" s="21"/>
      <c r="B2340"/>
      <c r="F2340" s="87"/>
      <c r="H2340" s="87"/>
      <c r="I2340" s="89"/>
    </row>
    <row r="2341" spans="1:9">
      <c r="A2341" s="21"/>
      <c r="B2341"/>
      <c r="F2341" s="87"/>
      <c r="H2341" s="87"/>
      <c r="I2341" s="89"/>
    </row>
    <row r="2342" spans="1:9">
      <c r="A2342" s="21"/>
      <c r="B2342"/>
      <c r="F2342" s="87"/>
      <c r="H2342" s="87"/>
      <c r="I2342" s="89"/>
    </row>
    <row r="2343" spans="1:9">
      <c r="A2343" s="21"/>
      <c r="B2343"/>
      <c r="F2343" s="87"/>
      <c r="H2343" s="87"/>
      <c r="I2343" s="89"/>
    </row>
    <row r="2344" spans="1:9">
      <c r="A2344" s="21"/>
      <c r="B2344"/>
      <c r="F2344" s="87"/>
      <c r="H2344" s="87"/>
      <c r="I2344" s="89"/>
    </row>
    <row r="2345" spans="1:9">
      <c r="A2345" s="21"/>
      <c r="B2345"/>
      <c r="F2345" s="87"/>
      <c r="H2345" s="87"/>
      <c r="I2345" s="89"/>
    </row>
    <row r="2346" spans="1:9">
      <c r="A2346" s="21"/>
      <c r="B2346"/>
      <c r="F2346" s="87"/>
      <c r="H2346" s="87"/>
      <c r="I2346" s="89"/>
    </row>
    <row r="2347" spans="1:9">
      <c r="A2347" s="21"/>
      <c r="B2347"/>
      <c r="F2347" s="87"/>
      <c r="H2347" s="87"/>
      <c r="I2347" s="89"/>
    </row>
    <row r="2348" spans="1:9">
      <c r="A2348" s="21"/>
      <c r="B2348"/>
      <c r="F2348" s="87"/>
      <c r="H2348" s="87"/>
      <c r="I2348" s="89"/>
    </row>
    <row r="2349" spans="1:9">
      <c r="A2349" s="21"/>
      <c r="B2349"/>
      <c r="F2349" s="87"/>
      <c r="H2349" s="87"/>
      <c r="I2349" s="89"/>
    </row>
    <row r="2350" spans="1:9">
      <c r="A2350" s="21"/>
      <c r="B2350"/>
      <c r="F2350" s="87"/>
      <c r="H2350" s="87"/>
      <c r="I2350" s="89"/>
    </row>
    <row r="2351" spans="1:9">
      <c r="A2351" s="21"/>
      <c r="B2351"/>
      <c r="F2351" s="87"/>
      <c r="H2351" s="87"/>
      <c r="I2351" s="89"/>
    </row>
    <row r="2352" spans="1:9">
      <c r="A2352" s="21"/>
      <c r="B2352"/>
      <c r="F2352" s="87"/>
      <c r="H2352" s="87"/>
      <c r="I2352" s="89"/>
    </row>
    <row r="2353" spans="1:9">
      <c r="A2353" s="21"/>
      <c r="B2353"/>
      <c r="F2353" s="87"/>
      <c r="H2353" s="87"/>
      <c r="I2353" s="89"/>
    </row>
    <row r="2354" spans="1:9">
      <c r="A2354" s="21"/>
      <c r="B2354"/>
      <c r="F2354" s="87"/>
      <c r="H2354" s="87"/>
      <c r="I2354" s="89"/>
    </row>
    <row r="2355" spans="1:9">
      <c r="A2355" s="21"/>
      <c r="B2355"/>
      <c r="F2355" s="87"/>
      <c r="H2355" s="87"/>
      <c r="I2355" s="89"/>
    </row>
    <row r="2356" spans="1:9">
      <c r="A2356" s="21"/>
      <c r="B2356"/>
      <c r="F2356" s="87"/>
      <c r="H2356" s="87"/>
      <c r="I2356" s="89"/>
    </row>
    <row r="2357" spans="1:9">
      <c r="A2357" s="21"/>
      <c r="B2357"/>
      <c r="F2357" s="87"/>
      <c r="H2357" s="87"/>
      <c r="I2357" s="89"/>
    </row>
    <row r="2358" spans="1:9">
      <c r="A2358" s="21"/>
      <c r="B2358"/>
      <c r="F2358" s="87"/>
      <c r="H2358" s="87"/>
      <c r="I2358" s="89"/>
    </row>
    <row r="2359" spans="1:9">
      <c r="A2359" s="21"/>
      <c r="B2359"/>
      <c r="F2359" s="87"/>
      <c r="H2359" s="87"/>
      <c r="I2359" s="89"/>
    </row>
    <row r="2360" spans="1:9">
      <c r="A2360" s="21"/>
      <c r="B2360"/>
      <c r="F2360" s="87"/>
      <c r="H2360" s="87"/>
      <c r="I2360" s="89"/>
    </row>
    <row r="2361" spans="1:9">
      <c r="A2361" s="21"/>
      <c r="B2361"/>
      <c r="F2361" s="87"/>
      <c r="H2361" s="87"/>
      <c r="I2361" s="89"/>
    </row>
    <row r="2362" spans="1:9">
      <c r="A2362" s="21"/>
      <c r="B2362"/>
      <c r="F2362" s="87"/>
      <c r="H2362" s="87"/>
      <c r="I2362" s="89"/>
    </row>
    <row r="2363" spans="1:9">
      <c r="A2363" s="21"/>
      <c r="B2363"/>
      <c r="F2363" s="87"/>
      <c r="H2363" s="87"/>
      <c r="I2363" s="89"/>
    </row>
    <row r="2364" spans="1:9">
      <c r="A2364" s="21"/>
      <c r="B2364"/>
      <c r="F2364" s="87"/>
      <c r="H2364" s="87"/>
      <c r="I2364" s="89"/>
    </row>
    <row r="2365" spans="1:9">
      <c r="A2365" s="21"/>
      <c r="B2365"/>
      <c r="F2365" s="87"/>
      <c r="H2365" s="87"/>
      <c r="I2365" s="89"/>
    </row>
    <row r="2366" spans="1:9">
      <c r="A2366" s="21"/>
      <c r="B2366"/>
      <c r="F2366" s="87"/>
      <c r="H2366" s="87"/>
      <c r="I2366" s="89"/>
    </row>
    <row r="2367" spans="1:9">
      <c r="A2367" s="21"/>
      <c r="B2367"/>
      <c r="F2367" s="87"/>
      <c r="H2367" s="87"/>
      <c r="I2367" s="89"/>
    </row>
    <row r="2368" spans="1:9">
      <c r="A2368" s="21"/>
      <c r="B2368"/>
      <c r="F2368" s="87"/>
      <c r="H2368" s="87"/>
      <c r="I2368" s="89"/>
    </row>
    <row r="2369" spans="1:9">
      <c r="A2369" s="21"/>
      <c r="B2369"/>
      <c r="F2369" s="87"/>
      <c r="H2369" s="87"/>
      <c r="I2369" s="89"/>
    </row>
    <row r="2370" spans="1:9">
      <c r="A2370" s="21"/>
      <c r="B2370"/>
      <c r="F2370" s="87"/>
      <c r="H2370" s="87"/>
      <c r="I2370" s="89"/>
    </row>
    <row r="2371" spans="1:9">
      <c r="A2371" s="21"/>
      <c r="B2371"/>
      <c r="F2371" s="87"/>
      <c r="H2371" s="87"/>
      <c r="I2371" s="89"/>
    </row>
    <row r="2372" spans="1:9">
      <c r="A2372" s="21"/>
      <c r="B2372"/>
      <c r="F2372" s="87"/>
      <c r="H2372" s="87"/>
      <c r="I2372" s="89"/>
    </row>
    <row r="2373" spans="1:9">
      <c r="A2373" s="21"/>
      <c r="B2373"/>
      <c r="F2373" s="87"/>
      <c r="H2373" s="87"/>
      <c r="I2373" s="89"/>
    </row>
    <row r="2374" spans="1:9">
      <c r="A2374" s="21"/>
      <c r="B2374"/>
      <c r="F2374" s="87"/>
      <c r="H2374" s="87"/>
      <c r="I2374" s="89"/>
    </row>
    <row r="2375" spans="1:9">
      <c r="A2375" s="21"/>
      <c r="B2375"/>
      <c r="F2375" s="87"/>
      <c r="H2375" s="87"/>
      <c r="I2375" s="89"/>
    </row>
    <row r="2376" spans="1:9">
      <c r="A2376" s="21"/>
      <c r="B2376"/>
      <c r="F2376" s="87"/>
      <c r="H2376" s="87"/>
      <c r="I2376" s="89"/>
    </row>
    <row r="2377" spans="1:9">
      <c r="A2377" s="21"/>
      <c r="B2377"/>
      <c r="F2377" s="87"/>
      <c r="H2377" s="87"/>
      <c r="I2377" s="89"/>
    </row>
    <row r="2378" spans="1:9">
      <c r="A2378" s="21"/>
      <c r="B2378"/>
      <c r="F2378" s="87"/>
      <c r="H2378" s="87"/>
      <c r="I2378" s="89"/>
    </row>
    <row r="2379" spans="1:9">
      <c r="A2379" s="21"/>
      <c r="B2379"/>
      <c r="F2379" s="87"/>
      <c r="H2379" s="87"/>
      <c r="I2379" s="89"/>
    </row>
    <row r="2380" spans="1:9">
      <c r="A2380" s="21"/>
      <c r="B2380"/>
      <c r="F2380" s="87"/>
      <c r="H2380" s="87"/>
      <c r="I2380" s="89"/>
    </row>
    <row r="2381" spans="1:9">
      <c r="A2381" s="21"/>
      <c r="B2381"/>
      <c r="F2381" s="87"/>
      <c r="H2381" s="87"/>
      <c r="I2381" s="89"/>
    </row>
    <row r="2382" spans="1:9">
      <c r="A2382" s="21"/>
      <c r="B2382"/>
      <c r="F2382" s="87"/>
      <c r="H2382" s="87"/>
      <c r="I2382" s="89"/>
    </row>
    <row r="2383" spans="1:9">
      <c r="A2383" s="21"/>
      <c r="B2383"/>
      <c r="F2383" s="87"/>
      <c r="H2383" s="87"/>
      <c r="I2383" s="89"/>
    </row>
    <row r="2384" spans="1:9">
      <c r="A2384" s="21"/>
      <c r="B2384"/>
      <c r="F2384" s="87"/>
      <c r="H2384" s="87"/>
      <c r="I2384" s="89"/>
    </row>
    <row r="2385" spans="1:9">
      <c r="A2385" s="21"/>
      <c r="B2385"/>
      <c r="F2385" s="87"/>
      <c r="H2385" s="87"/>
      <c r="I2385" s="89"/>
    </row>
    <row r="2386" spans="1:9">
      <c r="A2386" s="21"/>
      <c r="B2386"/>
      <c r="F2386" s="87"/>
      <c r="H2386" s="87"/>
      <c r="I2386" s="89"/>
    </row>
    <row r="2387" spans="1:9">
      <c r="A2387" s="21"/>
      <c r="B2387"/>
      <c r="F2387" s="87"/>
      <c r="H2387" s="87"/>
      <c r="I2387" s="89"/>
    </row>
    <row r="2388" spans="1:9">
      <c r="A2388" s="21"/>
      <c r="B2388"/>
      <c r="F2388" s="87"/>
      <c r="H2388" s="87"/>
      <c r="I2388" s="89"/>
    </row>
    <row r="2389" spans="1:9">
      <c r="A2389" s="21"/>
      <c r="B2389"/>
      <c r="F2389" s="87"/>
      <c r="H2389" s="87"/>
      <c r="I2389" s="89"/>
    </row>
    <row r="2390" spans="1:9">
      <c r="A2390" s="21"/>
      <c r="B2390"/>
      <c r="F2390" s="87"/>
      <c r="H2390" s="87"/>
      <c r="I2390" s="89"/>
    </row>
    <row r="2391" spans="1:9">
      <c r="A2391" s="21"/>
      <c r="B2391"/>
      <c r="F2391" s="87"/>
      <c r="H2391" s="87"/>
      <c r="I2391" s="89"/>
    </row>
    <row r="2392" spans="1:9">
      <c r="A2392" s="21"/>
      <c r="B2392"/>
      <c r="F2392" s="87"/>
      <c r="H2392" s="87"/>
      <c r="I2392" s="89"/>
    </row>
    <row r="2393" spans="1:9">
      <c r="A2393" s="21"/>
      <c r="B2393"/>
      <c r="F2393" s="87"/>
      <c r="H2393" s="87"/>
      <c r="I2393" s="89"/>
    </row>
    <row r="2394" spans="1:9">
      <c r="A2394" s="21"/>
      <c r="B2394"/>
      <c r="F2394" s="87"/>
      <c r="H2394" s="87"/>
      <c r="I2394" s="89"/>
    </row>
    <row r="2395" spans="1:9">
      <c r="A2395" s="21"/>
      <c r="B2395"/>
      <c r="F2395" s="87"/>
      <c r="H2395" s="87"/>
      <c r="I2395" s="89"/>
    </row>
    <row r="2396" spans="1:9">
      <c r="A2396" s="21"/>
      <c r="B2396"/>
      <c r="F2396" s="87"/>
      <c r="H2396" s="87"/>
      <c r="I2396" s="89"/>
    </row>
    <row r="2397" spans="1:9">
      <c r="A2397" s="21"/>
      <c r="B2397"/>
      <c r="F2397" s="87"/>
      <c r="H2397" s="87"/>
      <c r="I2397" s="89"/>
    </row>
    <row r="2398" spans="1:9">
      <c r="A2398" s="21"/>
      <c r="B2398"/>
      <c r="F2398" s="87"/>
      <c r="H2398" s="87"/>
      <c r="I2398" s="89"/>
    </row>
    <row r="2399" spans="1:9">
      <c r="A2399" s="21"/>
      <c r="B2399"/>
      <c r="F2399" s="87"/>
      <c r="H2399" s="87"/>
      <c r="I2399" s="89"/>
    </row>
    <row r="2400" spans="1:9">
      <c r="A2400" s="21"/>
      <c r="B2400"/>
      <c r="F2400" s="87"/>
      <c r="H2400" s="87"/>
      <c r="I2400" s="89"/>
    </row>
    <row r="2401" spans="1:9">
      <c r="A2401" s="21"/>
      <c r="B2401"/>
      <c r="F2401" s="87"/>
      <c r="H2401" s="87"/>
      <c r="I2401" s="89"/>
    </row>
    <row r="2402" spans="1:9">
      <c r="A2402" s="21"/>
      <c r="B2402"/>
      <c r="F2402" s="87"/>
      <c r="H2402" s="87"/>
      <c r="I2402" s="89"/>
    </row>
    <row r="2403" spans="1:9">
      <c r="A2403" s="21"/>
      <c r="B2403"/>
      <c r="F2403" s="87"/>
      <c r="H2403" s="87"/>
      <c r="I2403" s="89"/>
    </row>
    <row r="2404" spans="1:9">
      <c r="A2404" s="21"/>
      <c r="B2404"/>
      <c r="F2404" s="87"/>
      <c r="H2404" s="87"/>
      <c r="I2404" s="89"/>
    </row>
    <row r="2405" spans="1:9">
      <c r="A2405" s="21"/>
      <c r="B2405"/>
      <c r="F2405" s="87"/>
      <c r="H2405" s="87"/>
      <c r="I2405" s="89"/>
    </row>
    <row r="2406" spans="1:9">
      <c r="A2406" s="21"/>
      <c r="B2406"/>
      <c r="F2406" s="87"/>
      <c r="H2406" s="87"/>
      <c r="I2406" s="89"/>
    </row>
    <row r="2407" spans="1:9">
      <c r="A2407" s="21"/>
      <c r="B2407"/>
      <c r="F2407" s="87"/>
      <c r="H2407" s="87"/>
      <c r="I2407" s="89"/>
    </row>
    <row r="2408" spans="1:9">
      <c r="A2408" s="21"/>
      <c r="B2408"/>
      <c r="F2408" s="87"/>
      <c r="H2408" s="87"/>
      <c r="I2408" s="89"/>
    </row>
    <row r="2409" spans="1:9">
      <c r="A2409" s="21"/>
      <c r="B2409"/>
      <c r="F2409" s="87"/>
      <c r="H2409" s="87"/>
      <c r="I2409" s="89"/>
    </row>
    <row r="2410" spans="1:9">
      <c r="A2410" s="21"/>
      <c r="B2410"/>
      <c r="F2410" s="87"/>
      <c r="H2410" s="87"/>
      <c r="I2410" s="89"/>
    </row>
    <row r="2411" spans="1:9">
      <c r="A2411" s="21"/>
      <c r="B2411"/>
      <c r="F2411" s="87"/>
      <c r="H2411" s="87"/>
      <c r="I2411" s="89"/>
    </row>
    <row r="2412" spans="1:9">
      <c r="A2412" s="21"/>
      <c r="B2412"/>
      <c r="F2412" s="87"/>
      <c r="H2412" s="87"/>
      <c r="I2412" s="89"/>
    </row>
    <row r="2413" spans="1:9">
      <c r="A2413" s="21"/>
      <c r="B2413"/>
      <c r="F2413" s="87"/>
      <c r="H2413" s="87"/>
      <c r="I2413" s="89"/>
    </row>
    <row r="2414" spans="1:9">
      <c r="A2414" s="21"/>
      <c r="B2414"/>
      <c r="F2414" s="87"/>
      <c r="H2414" s="87"/>
      <c r="I2414" s="89"/>
    </row>
    <row r="2415" spans="1:9">
      <c r="A2415" s="21"/>
      <c r="B2415"/>
      <c r="F2415" s="87"/>
      <c r="H2415" s="87"/>
      <c r="I2415" s="89"/>
    </row>
    <row r="2416" spans="1:9">
      <c r="A2416" s="21"/>
      <c r="B2416"/>
      <c r="F2416" s="87"/>
      <c r="H2416" s="87"/>
      <c r="I2416" s="89"/>
    </row>
    <row r="2417" spans="1:9">
      <c r="A2417" s="21"/>
      <c r="B2417"/>
      <c r="F2417" s="87"/>
      <c r="H2417" s="87"/>
      <c r="I2417" s="89"/>
    </row>
    <row r="2418" spans="1:9">
      <c r="A2418" s="21"/>
      <c r="B2418"/>
      <c r="F2418" s="87"/>
      <c r="H2418" s="87"/>
      <c r="I2418" s="89"/>
    </row>
    <row r="2419" spans="1:9">
      <c r="A2419" s="21"/>
      <c r="B2419"/>
      <c r="F2419" s="87"/>
      <c r="H2419" s="87"/>
      <c r="I2419" s="89"/>
    </row>
    <row r="2420" spans="1:9">
      <c r="A2420" s="21"/>
      <c r="B2420"/>
      <c r="F2420" s="87"/>
      <c r="H2420" s="87"/>
      <c r="I2420" s="89"/>
    </row>
    <row r="2421" spans="1:9">
      <c r="A2421" s="21"/>
      <c r="B2421"/>
      <c r="F2421" s="87"/>
      <c r="H2421" s="87"/>
      <c r="I2421" s="89"/>
    </row>
    <row r="2422" spans="1:9">
      <c r="A2422" s="21"/>
      <c r="B2422"/>
      <c r="F2422" s="87"/>
      <c r="H2422" s="87"/>
      <c r="I2422" s="89"/>
    </row>
    <row r="2423" spans="1:9">
      <c r="A2423" s="21"/>
      <c r="B2423"/>
      <c r="F2423" s="87"/>
      <c r="H2423" s="87"/>
      <c r="I2423" s="89"/>
    </row>
    <row r="2424" spans="1:9">
      <c r="A2424" s="21"/>
      <c r="B2424"/>
      <c r="F2424" s="87"/>
      <c r="H2424" s="87"/>
      <c r="I2424" s="89"/>
    </row>
    <row r="2425" spans="1:9">
      <c r="A2425" s="21"/>
      <c r="B2425"/>
      <c r="F2425" s="87"/>
      <c r="H2425" s="87"/>
      <c r="I2425" s="89"/>
    </row>
    <row r="2426" spans="1:9">
      <c r="A2426" s="21"/>
      <c r="B2426"/>
      <c r="F2426" s="87"/>
      <c r="H2426" s="87"/>
      <c r="I2426" s="89"/>
    </row>
    <row r="2427" spans="1:9">
      <c r="A2427" s="21"/>
      <c r="B2427"/>
      <c r="F2427" s="87"/>
      <c r="H2427" s="87"/>
      <c r="I2427" s="89"/>
    </row>
    <row r="2428" spans="1:9">
      <c r="A2428" s="21"/>
      <c r="B2428"/>
      <c r="F2428" s="87"/>
      <c r="H2428" s="87"/>
      <c r="I2428" s="89"/>
    </row>
    <row r="2429" spans="1:9">
      <c r="A2429" s="21"/>
      <c r="B2429"/>
      <c r="F2429" s="87"/>
      <c r="H2429" s="87"/>
      <c r="I2429" s="89"/>
    </row>
    <row r="2430" spans="1:9">
      <c r="A2430" s="21"/>
      <c r="B2430"/>
      <c r="F2430" s="87"/>
      <c r="H2430" s="87"/>
      <c r="I2430" s="89"/>
    </row>
    <row r="2431" spans="1:9">
      <c r="A2431" s="21"/>
      <c r="B2431"/>
      <c r="F2431" s="87"/>
      <c r="H2431" s="87"/>
      <c r="I2431" s="89"/>
    </row>
    <row r="2432" spans="1:9">
      <c r="A2432" s="21"/>
      <c r="B2432"/>
      <c r="F2432" s="87"/>
      <c r="H2432" s="87"/>
      <c r="I2432" s="89"/>
    </row>
    <row r="2433" spans="1:9">
      <c r="A2433" s="21"/>
      <c r="B2433"/>
      <c r="F2433" s="87"/>
      <c r="H2433" s="87"/>
      <c r="I2433" s="89"/>
    </row>
    <row r="2434" spans="1:9">
      <c r="A2434" s="21"/>
      <c r="B2434"/>
      <c r="F2434" s="87"/>
      <c r="H2434" s="87"/>
      <c r="I2434" s="89"/>
    </row>
    <row r="2435" spans="1:9">
      <c r="A2435" s="21"/>
      <c r="B2435"/>
      <c r="F2435" s="87"/>
      <c r="H2435" s="87"/>
      <c r="I2435" s="89"/>
    </row>
    <row r="2436" spans="1:9">
      <c r="A2436" s="21"/>
      <c r="B2436"/>
      <c r="F2436" s="87"/>
      <c r="H2436" s="87"/>
      <c r="I2436" s="89"/>
    </row>
    <row r="2437" spans="1:9">
      <c r="A2437" s="21"/>
      <c r="B2437"/>
      <c r="F2437" s="87"/>
      <c r="H2437" s="87"/>
      <c r="I2437" s="89"/>
    </row>
    <row r="2438" spans="1:9">
      <c r="A2438" s="21"/>
      <c r="B2438"/>
      <c r="F2438" s="87"/>
      <c r="H2438" s="87"/>
      <c r="I2438" s="89"/>
    </row>
    <row r="2439" spans="1:9">
      <c r="A2439" s="21"/>
      <c r="B2439"/>
      <c r="F2439" s="87"/>
      <c r="H2439" s="87"/>
      <c r="I2439" s="89"/>
    </row>
    <row r="2440" spans="1:9">
      <c r="A2440" s="21"/>
      <c r="B2440"/>
      <c r="F2440" s="87"/>
      <c r="H2440" s="87"/>
      <c r="I2440" s="89"/>
    </row>
    <row r="2441" spans="1:9">
      <c r="A2441" s="21"/>
      <c r="B2441"/>
      <c r="F2441" s="87"/>
      <c r="H2441" s="87"/>
      <c r="I2441" s="89"/>
    </row>
    <row r="2442" spans="1:9">
      <c r="A2442" s="21"/>
      <c r="B2442"/>
      <c r="F2442" s="87"/>
      <c r="H2442" s="87"/>
      <c r="I2442" s="89"/>
    </row>
    <row r="2443" spans="1:9">
      <c r="A2443" s="21"/>
      <c r="B2443"/>
      <c r="F2443" s="87"/>
      <c r="H2443" s="87"/>
      <c r="I2443" s="89"/>
    </row>
    <row r="2444" spans="1:9">
      <c r="A2444" s="21"/>
      <c r="B2444"/>
      <c r="F2444" s="87"/>
      <c r="H2444" s="87"/>
      <c r="I2444" s="89"/>
    </row>
    <row r="2445" spans="1:9">
      <c r="A2445" s="21"/>
      <c r="B2445"/>
      <c r="F2445" s="87"/>
      <c r="H2445" s="87"/>
      <c r="I2445" s="89"/>
    </row>
    <row r="2446" spans="1:9">
      <c r="A2446" s="21"/>
      <c r="B2446"/>
      <c r="F2446" s="87"/>
      <c r="H2446" s="87"/>
      <c r="I2446" s="89"/>
    </row>
    <row r="2447" spans="1:9">
      <c r="A2447" s="21"/>
      <c r="B2447"/>
      <c r="F2447" s="87"/>
      <c r="H2447" s="87"/>
      <c r="I2447" s="89"/>
    </row>
    <row r="2448" spans="1:9">
      <c r="A2448" s="21"/>
      <c r="B2448"/>
      <c r="F2448" s="87"/>
      <c r="H2448" s="87"/>
      <c r="I2448" s="89"/>
    </row>
    <row r="2449" spans="1:9">
      <c r="A2449" s="21"/>
      <c r="B2449"/>
      <c r="F2449" s="87"/>
      <c r="H2449" s="87"/>
      <c r="I2449" s="89"/>
    </row>
    <row r="2450" spans="1:9">
      <c r="A2450" s="21"/>
      <c r="B2450"/>
      <c r="F2450" s="87"/>
      <c r="H2450" s="87"/>
      <c r="I2450" s="89"/>
    </row>
    <row r="2451" spans="1:9">
      <c r="A2451" s="21"/>
      <c r="B2451"/>
      <c r="F2451" s="87"/>
      <c r="H2451" s="87"/>
      <c r="I2451" s="89"/>
    </row>
    <row r="2452" spans="1:9">
      <c r="A2452" s="21"/>
      <c r="B2452"/>
      <c r="F2452" s="87"/>
      <c r="H2452" s="87"/>
      <c r="I2452" s="89"/>
    </row>
    <row r="2453" spans="1:9">
      <c r="A2453" s="21"/>
      <c r="B2453"/>
      <c r="F2453" s="87"/>
      <c r="H2453" s="87"/>
      <c r="I2453" s="89"/>
    </row>
    <row r="2454" spans="1:9">
      <c r="A2454" s="21"/>
      <c r="B2454"/>
      <c r="F2454" s="87"/>
      <c r="H2454" s="87"/>
      <c r="I2454" s="89"/>
    </row>
    <row r="2455" spans="1:9">
      <c r="A2455" s="21"/>
      <c r="B2455"/>
      <c r="F2455" s="87"/>
      <c r="H2455" s="87"/>
      <c r="I2455" s="89"/>
    </row>
    <row r="2456" spans="1:9">
      <c r="A2456" s="21"/>
      <c r="B2456"/>
      <c r="F2456" s="87"/>
      <c r="H2456" s="87"/>
      <c r="I2456" s="89"/>
    </row>
    <row r="2457" spans="1:9">
      <c r="A2457" s="21"/>
      <c r="B2457"/>
      <c r="F2457" s="87"/>
      <c r="H2457" s="87"/>
      <c r="I2457" s="89"/>
    </row>
    <row r="2458" spans="1:9">
      <c r="A2458" s="21"/>
      <c r="B2458"/>
      <c r="F2458" s="87"/>
      <c r="H2458" s="87"/>
      <c r="I2458" s="89"/>
    </row>
    <row r="2459" spans="1:9">
      <c r="A2459" s="21"/>
      <c r="B2459"/>
      <c r="F2459" s="87"/>
      <c r="H2459" s="87"/>
      <c r="I2459" s="89"/>
    </row>
    <row r="2460" spans="1:9">
      <c r="A2460" s="21"/>
      <c r="B2460"/>
      <c r="F2460" s="87"/>
      <c r="H2460" s="87"/>
      <c r="I2460" s="89"/>
    </row>
    <row r="2461" spans="1:9">
      <c r="A2461" s="21"/>
      <c r="B2461"/>
      <c r="F2461" s="87"/>
      <c r="H2461" s="87"/>
      <c r="I2461" s="89"/>
    </row>
    <row r="2462" spans="1:9">
      <c r="A2462" s="21"/>
      <c r="B2462"/>
      <c r="F2462" s="87"/>
      <c r="H2462" s="87"/>
      <c r="I2462" s="89"/>
    </row>
    <row r="2463" spans="1:9">
      <c r="A2463" s="21"/>
      <c r="B2463"/>
      <c r="F2463" s="87"/>
      <c r="H2463" s="87"/>
      <c r="I2463" s="89"/>
    </row>
    <row r="2464" spans="1:9">
      <c r="A2464" s="21"/>
      <c r="B2464"/>
      <c r="F2464" s="87"/>
      <c r="H2464" s="87"/>
      <c r="I2464" s="89"/>
    </row>
    <row r="2465" spans="1:9">
      <c r="A2465" s="21"/>
      <c r="B2465"/>
      <c r="F2465" s="87"/>
      <c r="H2465" s="87"/>
      <c r="I2465" s="89"/>
    </row>
    <row r="2466" spans="1:9">
      <c r="A2466" s="21"/>
      <c r="B2466"/>
      <c r="F2466" s="87"/>
      <c r="H2466" s="87"/>
      <c r="I2466" s="89"/>
    </row>
    <row r="2467" spans="1:9">
      <c r="A2467" s="21"/>
      <c r="B2467"/>
      <c r="F2467" s="87"/>
      <c r="H2467" s="87"/>
      <c r="I2467" s="89"/>
    </row>
    <row r="2468" spans="1:9">
      <c r="A2468" s="21"/>
      <c r="B2468"/>
      <c r="F2468" s="87"/>
      <c r="H2468" s="87"/>
      <c r="I2468" s="89"/>
    </row>
    <row r="2469" spans="1:9">
      <c r="A2469" s="21"/>
      <c r="B2469"/>
      <c r="F2469" s="87"/>
      <c r="H2469" s="87"/>
      <c r="I2469" s="89"/>
    </row>
    <row r="2470" spans="1:9">
      <c r="A2470" s="21"/>
      <c r="B2470"/>
      <c r="F2470" s="87"/>
      <c r="H2470" s="87"/>
      <c r="I2470" s="89"/>
    </row>
    <row r="2471" spans="1:9">
      <c r="A2471" s="21"/>
      <c r="B2471"/>
      <c r="F2471" s="87"/>
      <c r="H2471" s="87"/>
      <c r="I2471" s="89"/>
    </row>
    <row r="2472" spans="1:9">
      <c r="A2472" s="21"/>
      <c r="B2472"/>
      <c r="F2472" s="87"/>
      <c r="H2472" s="87"/>
      <c r="I2472" s="89"/>
    </row>
    <row r="2473" spans="1:9">
      <c r="A2473" s="21"/>
      <c r="B2473"/>
      <c r="F2473" s="87"/>
      <c r="H2473" s="87"/>
      <c r="I2473" s="89"/>
    </row>
    <row r="2474" spans="1:9">
      <c r="A2474" s="21"/>
      <c r="B2474"/>
      <c r="F2474" s="87"/>
      <c r="H2474" s="87"/>
      <c r="I2474" s="89"/>
    </row>
    <row r="2475" spans="1:9">
      <c r="A2475" s="21"/>
      <c r="B2475"/>
      <c r="F2475" s="87"/>
      <c r="H2475" s="87"/>
      <c r="I2475" s="89"/>
    </row>
    <row r="2476" spans="1:9">
      <c r="A2476" s="21"/>
      <c r="B2476"/>
      <c r="F2476" s="87"/>
      <c r="H2476" s="87"/>
      <c r="I2476" s="89"/>
    </row>
    <row r="2477" spans="1:9">
      <c r="A2477" s="21"/>
      <c r="B2477"/>
      <c r="F2477" s="87"/>
      <c r="H2477" s="87"/>
      <c r="I2477" s="89"/>
    </row>
    <row r="2478" spans="1:9">
      <c r="A2478" s="21"/>
      <c r="B2478"/>
      <c r="F2478" s="87"/>
      <c r="H2478" s="87"/>
      <c r="I2478" s="89"/>
    </row>
    <row r="2479" spans="1:9">
      <c r="A2479" s="21"/>
      <c r="B2479"/>
      <c r="F2479" s="87"/>
      <c r="H2479" s="87"/>
      <c r="I2479" s="89"/>
    </row>
    <row r="2480" spans="1:9">
      <c r="A2480" s="21"/>
      <c r="B2480"/>
      <c r="F2480" s="87"/>
      <c r="H2480" s="87"/>
      <c r="I2480" s="89"/>
    </row>
    <row r="2481" spans="1:9">
      <c r="A2481" s="21"/>
      <c r="B2481"/>
      <c r="F2481" s="87"/>
      <c r="H2481" s="87"/>
      <c r="I2481" s="89"/>
    </row>
    <row r="2482" spans="1:9">
      <c r="A2482" s="21"/>
      <c r="B2482"/>
      <c r="F2482" s="87"/>
      <c r="H2482" s="87"/>
      <c r="I2482" s="89"/>
    </row>
    <row r="2483" spans="1:9">
      <c r="A2483" s="21"/>
      <c r="B2483"/>
      <c r="F2483" s="87"/>
      <c r="H2483" s="87"/>
      <c r="I2483" s="89"/>
    </row>
    <row r="2484" spans="1:9">
      <c r="A2484" s="21"/>
      <c r="B2484"/>
      <c r="F2484" s="87"/>
      <c r="H2484" s="87"/>
      <c r="I2484" s="89"/>
    </row>
    <row r="2485" spans="1:9">
      <c r="A2485" s="21"/>
      <c r="B2485"/>
      <c r="F2485" s="87"/>
      <c r="H2485" s="87"/>
      <c r="I2485" s="89"/>
    </row>
    <row r="2486" spans="1:9">
      <c r="A2486" s="21"/>
      <c r="B2486"/>
      <c r="F2486" s="87"/>
      <c r="H2486" s="87"/>
      <c r="I2486" s="89"/>
    </row>
    <row r="2487" spans="1:9">
      <c r="A2487" s="21"/>
      <c r="B2487"/>
      <c r="F2487" s="87"/>
      <c r="H2487" s="87"/>
      <c r="I2487" s="89"/>
    </row>
    <row r="2488" spans="1:9">
      <c r="A2488" s="21"/>
      <c r="B2488"/>
      <c r="F2488" s="87"/>
      <c r="H2488" s="87"/>
      <c r="I2488" s="89"/>
    </row>
    <row r="2489" spans="1:9">
      <c r="A2489" s="21"/>
      <c r="B2489"/>
      <c r="F2489" s="87"/>
      <c r="H2489" s="87"/>
      <c r="I2489" s="89"/>
    </row>
    <row r="2490" spans="1:9">
      <c r="A2490" s="21"/>
      <c r="B2490"/>
      <c r="F2490" s="87"/>
      <c r="H2490" s="87"/>
      <c r="I2490" s="89"/>
    </row>
    <row r="2491" spans="1:9">
      <c r="A2491" s="21"/>
      <c r="B2491"/>
      <c r="F2491" s="87"/>
      <c r="H2491" s="87"/>
      <c r="I2491" s="89"/>
    </row>
    <row r="2492" spans="1:9">
      <c r="A2492" s="21"/>
      <c r="B2492"/>
      <c r="F2492" s="87"/>
      <c r="H2492" s="87"/>
      <c r="I2492" s="89"/>
    </row>
    <row r="2493" spans="1:9">
      <c r="A2493" s="21"/>
      <c r="B2493"/>
      <c r="F2493" s="87"/>
      <c r="H2493" s="87"/>
      <c r="I2493" s="89"/>
    </row>
    <row r="2494" spans="1:9">
      <c r="A2494" s="21"/>
      <c r="B2494"/>
      <c r="F2494" s="87"/>
      <c r="H2494" s="87"/>
      <c r="I2494" s="89"/>
    </row>
    <row r="2495" spans="1:9">
      <c r="A2495" s="21"/>
      <c r="B2495"/>
      <c r="F2495" s="87"/>
      <c r="H2495" s="87"/>
      <c r="I2495" s="89"/>
    </row>
    <row r="2496" spans="1:9">
      <c r="A2496" s="21"/>
      <c r="B2496"/>
      <c r="F2496" s="87"/>
      <c r="H2496" s="87"/>
      <c r="I2496" s="89"/>
    </row>
    <row r="2497" spans="1:9">
      <c r="A2497" s="21"/>
      <c r="B2497"/>
      <c r="F2497" s="87"/>
      <c r="H2497" s="87"/>
      <c r="I2497" s="89"/>
    </row>
    <row r="2498" spans="1:9">
      <c r="A2498" s="21"/>
      <c r="B2498"/>
      <c r="F2498" s="87"/>
      <c r="H2498" s="87"/>
      <c r="I2498" s="89"/>
    </row>
    <row r="2499" spans="1:9">
      <c r="A2499" s="21"/>
      <c r="B2499"/>
      <c r="F2499" s="87"/>
      <c r="H2499" s="87"/>
      <c r="I2499" s="89"/>
    </row>
    <row r="2500" spans="1:9">
      <c r="A2500" s="21"/>
      <c r="B2500"/>
      <c r="F2500" s="87"/>
      <c r="H2500" s="87"/>
      <c r="I2500" s="89"/>
    </row>
    <row r="2501" spans="1:9">
      <c r="A2501" s="21"/>
      <c r="B2501"/>
      <c r="F2501" s="87"/>
      <c r="H2501" s="87"/>
      <c r="I2501" s="89"/>
    </row>
    <row r="2502" spans="1:9">
      <c r="A2502" s="21"/>
      <c r="B2502"/>
      <c r="F2502" s="87"/>
      <c r="H2502" s="87"/>
      <c r="I2502" s="89"/>
    </row>
    <row r="2503" spans="1:9">
      <c r="A2503" s="21"/>
      <c r="B2503"/>
      <c r="F2503" s="87"/>
      <c r="H2503" s="87"/>
      <c r="I2503" s="89"/>
    </row>
    <row r="2504" spans="1:9">
      <c r="A2504" s="21"/>
      <c r="B2504"/>
      <c r="F2504" s="87"/>
      <c r="H2504" s="87"/>
      <c r="I2504" s="89"/>
    </row>
    <row r="2505" spans="1:9">
      <c r="A2505" s="21"/>
      <c r="B2505"/>
      <c r="F2505" s="87"/>
      <c r="H2505" s="87"/>
      <c r="I2505" s="89"/>
    </row>
    <row r="2506" spans="1:9">
      <c r="A2506" s="21"/>
      <c r="B2506"/>
      <c r="F2506" s="87"/>
      <c r="H2506" s="87"/>
      <c r="I2506" s="89"/>
    </row>
    <row r="2507" spans="1:9">
      <c r="A2507" s="21"/>
      <c r="B2507"/>
      <c r="F2507" s="87"/>
      <c r="H2507" s="87"/>
      <c r="I2507" s="89"/>
    </row>
    <row r="2508" spans="1:9">
      <c r="A2508" s="21"/>
      <c r="B2508"/>
      <c r="F2508" s="87"/>
      <c r="H2508" s="87"/>
      <c r="I2508" s="89"/>
    </row>
    <row r="2509" spans="1:9">
      <c r="A2509" s="21"/>
      <c r="B2509"/>
      <c r="F2509" s="87"/>
      <c r="H2509" s="87"/>
      <c r="I2509" s="89"/>
    </row>
    <row r="2510" spans="1:9">
      <c r="A2510" s="21"/>
      <c r="B2510"/>
      <c r="F2510" s="87"/>
      <c r="H2510" s="87"/>
      <c r="I2510" s="89"/>
    </row>
    <row r="2511" spans="1:9">
      <c r="A2511" s="21"/>
      <c r="B2511"/>
      <c r="F2511" s="87"/>
      <c r="H2511" s="87"/>
      <c r="I2511" s="89"/>
    </row>
    <row r="2512" spans="1:9">
      <c r="A2512" s="21"/>
      <c r="B2512"/>
      <c r="F2512" s="87"/>
      <c r="H2512" s="87"/>
      <c r="I2512" s="89"/>
    </row>
    <row r="2513" spans="1:9">
      <c r="A2513" s="21"/>
      <c r="B2513"/>
      <c r="F2513" s="87"/>
      <c r="H2513" s="87"/>
      <c r="I2513" s="89"/>
    </row>
    <row r="2514" spans="1:9">
      <c r="A2514" s="21"/>
      <c r="B2514"/>
      <c r="F2514" s="87"/>
      <c r="H2514" s="87"/>
      <c r="I2514" s="89"/>
    </row>
    <row r="2515" spans="1:9">
      <c r="A2515" s="21"/>
      <c r="B2515"/>
      <c r="F2515" s="87"/>
      <c r="H2515" s="87"/>
      <c r="I2515" s="89"/>
    </row>
    <row r="2516" spans="1:9">
      <c r="A2516" s="21"/>
      <c r="B2516"/>
      <c r="F2516" s="87"/>
      <c r="H2516" s="87"/>
      <c r="I2516" s="89"/>
    </row>
    <row r="2517" spans="1:9">
      <c r="A2517" s="21"/>
      <c r="B2517"/>
      <c r="F2517" s="87"/>
      <c r="H2517" s="87"/>
      <c r="I2517" s="89"/>
    </row>
    <row r="2518" spans="1:9">
      <c r="A2518" s="21"/>
      <c r="B2518"/>
      <c r="F2518" s="87"/>
      <c r="H2518" s="87"/>
      <c r="I2518" s="89"/>
    </row>
    <row r="2519" spans="1:9">
      <c r="A2519" s="21"/>
      <c r="B2519"/>
      <c r="F2519" s="87"/>
      <c r="H2519" s="87"/>
      <c r="I2519" s="89"/>
    </row>
    <row r="2520" spans="1:9">
      <c r="A2520" s="21"/>
      <c r="B2520"/>
      <c r="F2520" s="87"/>
      <c r="H2520" s="87"/>
      <c r="I2520" s="89"/>
    </row>
    <row r="2521" spans="1:9">
      <c r="A2521" s="21"/>
      <c r="B2521"/>
      <c r="F2521" s="87"/>
      <c r="H2521" s="87"/>
      <c r="I2521" s="89"/>
    </row>
    <row r="2522" spans="1:9">
      <c r="A2522" s="21"/>
      <c r="B2522"/>
      <c r="F2522" s="87"/>
      <c r="H2522" s="87"/>
      <c r="I2522" s="89"/>
    </row>
    <row r="2523" spans="1:9">
      <c r="A2523" s="21"/>
      <c r="B2523"/>
      <c r="F2523" s="87"/>
      <c r="H2523" s="87"/>
      <c r="I2523" s="89"/>
    </row>
    <row r="2524" spans="1:9">
      <c r="A2524" s="21"/>
      <c r="B2524"/>
      <c r="F2524" s="87"/>
      <c r="H2524" s="87"/>
      <c r="I2524" s="89"/>
    </row>
    <row r="2525" spans="1:9">
      <c r="A2525" s="21"/>
      <c r="B2525"/>
      <c r="F2525" s="87"/>
      <c r="H2525" s="87"/>
      <c r="I2525" s="89"/>
    </row>
    <row r="2526" spans="1:9">
      <c r="A2526" s="21"/>
      <c r="B2526"/>
      <c r="F2526" s="87"/>
      <c r="H2526" s="87"/>
      <c r="I2526" s="89"/>
    </row>
    <row r="2527" spans="1:9">
      <c r="A2527" s="21"/>
      <c r="B2527"/>
      <c r="F2527" s="87"/>
      <c r="H2527" s="87"/>
      <c r="I2527" s="89"/>
    </row>
    <row r="2528" spans="1:9">
      <c r="A2528" s="21"/>
      <c r="B2528"/>
      <c r="F2528" s="87"/>
      <c r="H2528" s="87"/>
      <c r="I2528" s="89"/>
    </row>
    <row r="2529" spans="1:9">
      <c r="A2529" s="21"/>
      <c r="B2529"/>
      <c r="F2529" s="87"/>
      <c r="H2529" s="87"/>
      <c r="I2529" s="89"/>
    </row>
    <row r="2530" spans="1:9">
      <c r="A2530" s="21"/>
      <c r="B2530"/>
      <c r="F2530" s="87"/>
      <c r="H2530" s="87"/>
      <c r="I2530" s="89"/>
    </row>
    <row r="2531" spans="1:9">
      <c r="A2531" s="21"/>
      <c r="B2531"/>
      <c r="F2531" s="87"/>
      <c r="H2531" s="87"/>
      <c r="I2531" s="89"/>
    </row>
    <row r="2532" spans="1:9">
      <c r="A2532" s="21"/>
      <c r="B2532"/>
      <c r="F2532" s="87"/>
      <c r="H2532" s="87"/>
      <c r="I2532" s="89"/>
    </row>
    <row r="2533" spans="1:9">
      <c r="A2533" s="21"/>
      <c r="B2533"/>
      <c r="F2533" s="87"/>
      <c r="H2533" s="87"/>
      <c r="I2533" s="89"/>
    </row>
    <row r="2534" spans="1:9">
      <c r="A2534" s="21"/>
      <c r="B2534"/>
      <c r="F2534" s="87"/>
      <c r="H2534" s="87"/>
      <c r="I2534" s="89"/>
    </row>
    <row r="2535" spans="1:9">
      <c r="A2535" s="21"/>
      <c r="B2535"/>
      <c r="F2535" s="87"/>
      <c r="H2535" s="87"/>
      <c r="I2535" s="89"/>
    </row>
    <row r="2536" spans="1:9">
      <c r="A2536" s="21"/>
      <c r="B2536"/>
      <c r="F2536" s="87"/>
      <c r="H2536" s="87"/>
      <c r="I2536" s="89"/>
    </row>
    <row r="2537" spans="1:9">
      <c r="A2537" s="21"/>
      <c r="B2537"/>
      <c r="F2537" s="87"/>
      <c r="H2537" s="87"/>
      <c r="I2537" s="89"/>
    </row>
    <row r="2538" spans="1:9">
      <c r="A2538" s="21"/>
      <c r="B2538"/>
      <c r="F2538" s="87"/>
      <c r="H2538" s="87"/>
      <c r="I2538" s="89"/>
    </row>
    <row r="2539" spans="1:9">
      <c r="A2539" s="21"/>
      <c r="B2539"/>
      <c r="F2539" s="87"/>
      <c r="H2539" s="87"/>
      <c r="I2539" s="89"/>
    </row>
    <row r="2540" spans="1:9">
      <c r="A2540" s="21"/>
      <c r="B2540"/>
      <c r="F2540" s="87"/>
      <c r="H2540" s="87"/>
      <c r="I2540" s="89"/>
    </row>
    <row r="2541" spans="1:9">
      <c r="A2541" s="21"/>
      <c r="B2541"/>
      <c r="F2541" s="87"/>
      <c r="H2541" s="87"/>
      <c r="I2541" s="89"/>
    </row>
    <row r="2542" spans="1:9">
      <c r="A2542" s="21"/>
      <c r="B2542"/>
      <c r="F2542" s="87"/>
      <c r="H2542" s="87"/>
      <c r="I2542" s="89"/>
    </row>
    <row r="2543" spans="1:9">
      <c r="A2543" s="21"/>
      <c r="B2543"/>
      <c r="F2543" s="87"/>
      <c r="H2543" s="87"/>
      <c r="I2543" s="89"/>
    </row>
    <row r="2544" spans="1:9">
      <c r="A2544" s="21"/>
      <c r="B2544"/>
      <c r="F2544" s="87"/>
      <c r="H2544" s="87"/>
      <c r="I2544" s="89"/>
    </row>
    <row r="2545" spans="1:9">
      <c r="A2545" s="21"/>
      <c r="B2545"/>
      <c r="F2545" s="87"/>
      <c r="H2545" s="87"/>
      <c r="I2545" s="89"/>
    </row>
    <row r="2546" spans="1:9">
      <c r="A2546" s="21"/>
      <c r="B2546"/>
      <c r="F2546" s="87"/>
      <c r="H2546" s="87"/>
      <c r="I2546" s="89"/>
    </row>
    <row r="2547" spans="1:9">
      <c r="A2547" s="21"/>
      <c r="B2547"/>
      <c r="F2547" s="87"/>
      <c r="H2547" s="87"/>
      <c r="I2547" s="89"/>
    </row>
    <row r="2548" spans="1:9">
      <c r="A2548" s="21"/>
      <c r="B2548"/>
      <c r="F2548" s="87"/>
      <c r="H2548" s="87"/>
      <c r="I2548" s="89"/>
    </row>
    <row r="2549" spans="1:9">
      <c r="A2549" s="21"/>
      <c r="B2549"/>
      <c r="F2549" s="87"/>
      <c r="H2549" s="87"/>
      <c r="I2549" s="89"/>
    </row>
    <row r="2550" spans="1:9">
      <c r="A2550" s="21"/>
      <c r="B2550"/>
      <c r="F2550" s="87"/>
      <c r="H2550" s="87"/>
      <c r="I2550" s="89"/>
    </row>
    <row r="2551" spans="1:9">
      <c r="A2551" s="21"/>
      <c r="B2551"/>
      <c r="F2551" s="87"/>
      <c r="H2551" s="87"/>
      <c r="I2551" s="89"/>
    </row>
    <row r="2552" spans="1:9">
      <c r="A2552" s="21"/>
      <c r="B2552"/>
      <c r="F2552" s="87"/>
      <c r="H2552" s="87"/>
      <c r="I2552" s="89"/>
    </row>
    <row r="2553" spans="1:9">
      <c r="A2553" s="21"/>
      <c r="B2553"/>
      <c r="F2553" s="87"/>
      <c r="H2553" s="87"/>
      <c r="I2553" s="89"/>
    </row>
    <row r="2554" spans="1:9">
      <c r="A2554" s="21"/>
      <c r="B2554"/>
      <c r="F2554" s="87"/>
      <c r="H2554" s="87"/>
      <c r="I2554" s="89"/>
    </row>
    <row r="2555" spans="1:9">
      <c r="A2555" s="21"/>
      <c r="B2555"/>
      <c r="F2555" s="87"/>
      <c r="H2555" s="87"/>
      <c r="I2555" s="89"/>
    </row>
    <row r="2556" spans="1:9">
      <c r="A2556" s="21"/>
      <c r="B2556"/>
      <c r="F2556" s="87"/>
      <c r="H2556" s="87"/>
      <c r="I2556" s="89"/>
    </row>
    <row r="2557" spans="1:9">
      <c r="A2557" s="21"/>
      <c r="B2557"/>
      <c r="F2557" s="87"/>
      <c r="H2557" s="87"/>
      <c r="I2557" s="89"/>
    </row>
    <row r="2558" spans="1:9">
      <c r="A2558" s="21"/>
      <c r="B2558"/>
      <c r="F2558" s="87"/>
      <c r="H2558" s="87"/>
      <c r="I2558" s="89"/>
    </row>
    <row r="2559" spans="1:9">
      <c r="A2559" s="21"/>
      <c r="B2559"/>
      <c r="F2559" s="87"/>
      <c r="H2559" s="87"/>
      <c r="I2559" s="89"/>
    </row>
    <row r="2560" spans="1:9">
      <c r="A2560" s="21"/>
      <c r="B2560"/>
      <c r="F2560" s="87"/>
      <c r="H2560" s="87"/>
      <c r="I2560" s="89"/>
    </row>
    <row r="2561" spans="1:9">
      <c r="A2561" s="21"/>
      <c r="B2561"/>
      <c r="F2561" s="87"/>
      <c r="H2561" s="87"/>
      <c r="I2561" s="89"/>
    </row>
    <row r="2562" spans="1:9">
      <c r="A2562" s="21"/>
      <c r="B2562"/>
      <c r="F2562" s="87"/>
      <c r="H2562" s="87"/>
      <c r="I2562" s="89"/>
    </row>
    <row r="2563" spans="1:9">
      <c r="A2563" s="21"/>
      <c r="B2563"/>
      <c r="F2563" s="87"/>
      <c r="H2563" s="87"/>
      <c r="I2563" s="89"/>
    </row>
    <row r="2564" spans="1:9">
      <c r="A2564" s="21"/>
      <c r="B2564"/>
      <c r="F2564" s="87"/>
      <c r="H2564" s="87"/>
      <c r="I2564" s="89"/>
    </row>
    <row r="2565" spans="1:9">
      <c r="A2565" s="21"/>
      <c r="B2565"/>
      <c r="F2565" s="87"/>
      <c r="H2565" s="87"/>
      <c r="I2565" s="89"/>
    </row>
    <row r="2566" spans="1:9">
      <c r="A2566" s="21"/>
      <c r="B2566"/>
      <c r="F2566" s="87"/>
      <c r="H2566" s="87"/>
      <c r="I2566" s="89"/>
    </row>
    <row r="2567" spans="1:9">
      <c r="A2567" s="21"/>
      <c r="B2567"/>
      <c r="F2567" s="87"/>
      <c r="H2567" s="87"/>
      <c r="I2567" s="89"/>
    </row>
    <row r="2568" spans="1:9">
      <c r="A2568" s="21"/>
      <c r="B2568"/>
      <c r="F2568" s="87"/>
      <c r="H2568" s="87"/>
      <c r="I2568" s="89"/>
    </row>
    <row r="2569" spans="1:9">
      <c r="A2569" s="21"/>
      <c r="B2569"/>
      <c r="F2569" s="87"/>
      <c r="H2569" s="87"/>
      <c r="I2569" s="89"/>
    </row>
    <row r="2570" spans="1:9">
      <c r="A2570" s="21"/>
      <c r="B2570"/>
      <c r="F2570" s="87"/>
      <c r="H2570" s="87"/>
      <c r="I2570" s="89"/>
    </row>
    <row r="2571" spans="1:9">
      <c r="A2571" s="21"/>
      <c r="B2571"/>
      <c r="F2571" s="87"/>
      <c r="H2571" s="87"/>
      <c r="I2571" s="89"/>
    </row>
    <row r="2572" spans="1:9">
      <c r="A2572" s="21"/>
      <c r="B2572"/>
      <c r="F2572" s="87"/>
      <c r="H2572" s="87"/>
      <c r="I2572" s="89"/>
    </row>
    <row r="2573" spans="1:9">
      <c r="A2573" s="21"/>
      <c r="B2573"/>
      <c r="F2573" s="87"/>
      <c r="H2573" s="87"/>
      <c r="I2573" s="89"/>
    </row>
    <row r="2574" spans="1:9">
      <c r="A2574" s="21"/>
      <c r="B2574"/>
      <c r="F2574" s="87"/>
      <c r="H2574" s="87"/>
      <c r="I2574" s="89"/>
    </row>
    <row r="2575" spans="1:9">
      <c r="A2575" s="21"/>
      <c r="B2575"/>
      <c r="F2575" s="87"/>
      <c r="H2575" s="87"/>
      <c r="I2575" s="89"/>
    </row>
    <row r="2576" spans="1:9">
      <c r="A2576" s="21"/>
      <c r="B2576"/>
      <c r="F2576" s="87"/>
      <c r="H2576" s="87"/>
      <c r="I2576" s="89"/>
    </row>
    <row r="2577" spans="1:9">
      <c r="A2577" s="21"/>
      <c r="B2577"/>
      <c r="F2577" s="87"/>
      <c r="H2577" s="87"/>
      <c r="I2577" s="89"/>
    </row>
    <row r="2578" spans="1:9">
      <c r="A2578" s="21"/>
      <c r="B2578"/>
      <c r="F2578" s="87"/>
      <c r="H2578" s="87"/>
      <c r="I2578" s="89"/>
    </row>
    <row r="2579" spans="1:9">
      <c r="A2579" s="21"/>
      <c r="B2579"/>
      <c r="F2579" s="87"/>
      <c r="H2579" s="87"/>
      <c r="I2579" s="89"/>
    </row>
    <row r="2580" spans="1:9">
      <c r="A2580" s="21"/>
      <c r="B2580"/>
      <c r="F2580" s="87"/>
      <c r="H2580" s="87"/>
      <c r="I2580" s="89"/>
    </row>
    <row r="2581" spans="1:9">
      <c r="A2581" s="21"/>
      <c r="B2581"/>
      <c r="F2581" s="87"/>
      <c r="H2581" s="87"/>
      <c r="I2581" s="89"/>
    </row>
    <row r="2582" spans="1:9">
      <c r="A2582" s="21"/>
      <c r="B2582"/>
      <c r="F2582" s="87"/>
      <c r="H2582" s="87"/>
      <c r="I2582" s="89"/>
    </row>
    <row r="2583" spans="1:9">
      <c r="A2583" s="21"/>
      <c r="B2583"/>
      <c r="F2583" s="87"/>
      <c r="H2583" s="87"/>
      <c r="I2583" s="89"/>
    </row>
    <row r="2584" spans="1:9">
      <c r="A2584" s="21"/>
      <c r="B2584"/>
      <c r="F2584" s="87"/>
      <c r="H2584" s="87"/>
      <c r="I2584" s="89"/>
    </row>
    <row r="2585" spans="1:9">
      <c r="A2585" s="21"/>
      <c r="B2585"/>
      <c r="F2585" s="87"/>
      <c r="H2585" s="87"/>
      <c r="I2585" s="89"/>
    </row>
    <row r="2586" spans="1:9">
      <c r="A2586" s="21"/>
      <c r="B2586"/>
      <c r="F2586" s="87"/>
      <c r="H2586" s="87"/>
      <c r="I2586" s="89"/>
    </row>
    <row r="2587" spans="1:9">
      <c r="A2587" s="21"/>
      <c r="B2587"/>
      <c r="F2587" s="87"/>
      <c r="H2587" s="87"/>
      <c r="I2587" s="89"/>
    </row>
    <row r="2588" spans="1:9">
      <c r="A2588" s="21"/>
      <c r="B2588"/>
      <c r="F2588" s="87"/>
      <c r="H2588" s="87"/>
      <c r="I2588" s="89"/>
    </row>
    <row r="2589" spans="1:9">
      <c r="A2589" s="21"/>
      <c r="B2589"/>
      <c r="F2589" s="87"/>
      <c r="H2589" s="87"/>
      <c r="I2589" s="89"/>
    </row>
    <row r="2590" spans="1:9">
      <c r="A2590" s="21"/>
      <c r="B2590"/>
      <c r="F2590" s="87"/>
      <c r="H2590" s="87"/>
      <c r="I2590" s="89"/>
    </row>
    <row r="2591" spans="1:9">
      <c r="A2591" s="21"/>
      <c r="B2591"/>
      <c r="F2591" s="87"/>
      <c r="H2591" s="87"/>
      <c r="I2591" s="89"/>
    </row>
    <row r="2592" spans="1:9">
      <c r="A2592" s="21"/>
      <c r="B2592"/>
      <c r="F2592" s="87"/>
      <c r="H2592" s="87"/>
      <c r="I2592" s="89"/>
    </row>
    <row r="2593" spans="1:9">
      <c r="A2593" s="21"/>
      <c r="B2593"/>
      <c r="F2593" s="87"/>
      <c r="H2593" s="87"/>
      <c r="I2593" s="89"/>
    </row>
    <row r="2594" spans="1:9">
      <c r="A2594" s="21"/>
      <c r="B2594"/>
      <c r="F2594" s="87"/>
      <c r="H2594" s="87"/>
      <c r="I2594" s="89"/>
    </row>
    <row r="2595" spans="1:9">
      <c r="A2595" s="21"/>
      <c r="B2595"/>
      <c r="F2595" s="87"/>
      <c r="H2595" s="87"/>
      <c r="I2595" s="89"/>
    </row>
    <row r="2596" spans="1:9">
      <c r="A2596" s="21"/>
      <c r="B2596"/>
      <c r="F2596" s="87"/>
      <c r="H2596" s="87"/>
      <c r="I2596" s="89"/>
    </row>
    <row r="2597" spans="1:9">
      <c r="A2597" s="21"/>
      <c r="B2597"/>
      <c r="F2597" s="87"/>
      <c r="H2597" s="87"/>
      <c r="I2597" s="89"/>
    </row>
    <row r="2598" spans="1:9">
      <c r="A2598" s="21"/>
      <c r="B2598"/>
      <c r="F2598" s="87"/>
      <c r="H2598" s="87"/>
      <c r="I2598" s="89"/>
    </row>
    <row r="2599" spans="1:9">
      <c r="A2599" s="21"/>
      <c r="B2599"/>
      <c r="F2599" s="87"/>
      <c r="H2599" s="87"/>
      <c r="I2599" s="89"/>
    </row>
    <row r="2600" spans="1:9">
      <c r="A2600" s="21"/>
      <c r="B2600"/>
      <c r="F2600" s="87"/>
      <c r="H2600" s="87"/>
      <c r="I2600" s="89"/>
    </row>
    <row r="2601" spans="1:9">
      <c r="A2601" s="21"/>
      <c r="B2601"/>
      <c r="F2601" s="87"/>
      <c r="H2601" s="87"/>
      <c r="I2601" s="89"/>
    </row>
    <row r="2602" spans="1:9">
      <c r="A2602" s="21"/>
      <c r="B2602"/>
      <c r="F2602" s="87"/>
      <c r="H2602" s="87"/>
      <c r="I2602" s="89"/>
    </row>
    <row r="2603" spans="1:9">
      <c r="A2603" s="21"/>
      <c r="B2603"/>
      <c r="F2603" s="87"/>
      <c r="H2603" s="87"/>
      <c r="I2603" s="89"/>
    </row>
    <row r="2604" spans="1:9">
      <c r="A2604" s="21"/>
      <c r="B2604"/>
      <c r="F2604" s="87"/>
      <c r="H2604" s="87"/>
      <c r="I2604" s="89"/>
    </row>
    <row r="2605" spans="1:9">
      <c r="A2605" s="21"/>
      <c r="B2605"/>
      <c r="F2605" s="87"/>
      <c r="H2605" s="87"/>
      <c r="I2605" s="89"/>
    </row>
    <row r="2606" spans="1:9">
      <c r="A2606" s="21"/>
      <c r="B2606"/>
      <c r="F2606" s="87"/>
      <c r="H2606" s="87"/>
      <c r="I2606" s="89"/>
    </row>
    <row r="2607" spans="1:9">
      <c r="A2607" s="21"/>
      <c r="B2607"/>
      <c r="F2607" s="87"/>
      <c r="H2607" s="87"/>
      <c r="I2607" s="89"/>
    </row>
    <row r="2608" spans="1:9">
      <c r="A2608" s="21"/>
      <c r="B2608"/>
      <c r="F2608" s="87"/>
      <c r="H2608" s="87"/>
      <c r="I2608" s="89"/>
    </row>
    <row r="2609" spans="1:9">
      <c r="A2609" s="21"/>
      <c r="B2609"/>
      <c r="F2609" s="87"/>
      <c r="H2609" s="87"/>
      <c r="I2609" s="89"/>
    </row>
    <row r="2610" spans="1:9">
      <c r="A2610" s="21"/>
      <c r="B2610"/>
      <c r="F2610" s="87"/>
      <c r="H2610" s="87"/>
      <c r="I2610" s="89"/>
    </row>
    <row r="2611" spans="1:9">
      <c r="A2611" s="21"/>
      <c r="B2611"/>
      <c r="F2611" s="87"/>
      <c r="H2611" s="87"/>
      <c r="I2611" s="89"/>
    </row>
    <row r="2612" spans="1:9">
      <c r="A2612" s="21"/>
      <c r="B2612"/>
      <c r="F2612" s="87"/>
      <c r="H2612" s="87"/>
      <c r="I2612" s="89"/>
    </row>
    <row r="2613" spans="1:9">
      <c r="A2613" s="21"/>
      <c r="B2613"/>
      <c r="F2613" s="87"/>
      <c r="H2613" s="87"/>
      <c r="I2613" s="89"/>
    </row>
    <row r="2614" spans="1:9">
      <c r="A2614" s="21"/>
      <c r="B2614"/>
      <c r="F2614" s="87"/>
      <c r="H2614" s="87"/>
      <c r="I2614" s="89"/>
    </row>
    <row r="2615" spans="1:9">
      <c r="A2615" s="21"/>
      <c r="B2615"/>
      <c r="F2615" s="87"/>
      <c r="H2615" s="87"/>
      <c r="I2615" s="89"/>
    </row>
    <row r="2616" spans="1:9">
      <c r="A2616" s="21"/>
      <c r="B2616"/>
      <c r="F2616" s="87"/>
      <c r="H2616" s="87"/>
      <c r="I2616" s="89"/>
    </row>
    <row r="2617" spans="1:9">
      <c r="A2617" s="21"/>
      <c r="B2617"/>
      <c r="F2617" s="87"/>
      <c r="H2617" s="87"/>
      <c r="I2617" s="89"/>
    </row>
    <row r="2618" spans="1:9">
      <c r="A2618" s="21"/>
      <c r="B2618"/>
      <c r="F2618" s="87"/>
      <c r="H2618" s="87"/>
      <c r="I2618" s="89"/>
    </row>
    <row r="2619" spans="1:9">
      <c r="A2619" s="21"/>
      <c r="B2619"/>
      <c r="F2619" s="87"/>
      <c r="H2619" s="87"/>
      <c r="I2619" s="89"/>
    </row>
    <row r="2620" spans="1:9">
      <c r="A2620" s="21"/>
      <c r="B2620"/>
      <c r="F2620" s="87"/>
      <c r="H2620" s="87"/>
      <c r="I2620" s="89"/>
    </row>
    <row r="2621" spans="1:9">
      <c r="A2621" s="21"/>
      <c r="B2621"/>
      <c r="F2621" s="87"/>
      <c r="H2621" s="87"/>
      <c r="I2621" s="89"/>
    </row>
    <row r="2622" spans="1:9">
      <c r="A2622" s="21"/>
      <c r="B2622"/>
      <c r="F2622" s="87"/>
      <c r="H2622" s="87"/>
      <c r="I2622" s="89"/>
    </row>
    <row r="2623" spans="1:9">
      <c r="A2623" s="21"/>
      <c r="B2623"/>
      <c r="F2623" s="87"/>
      <c r="H2623" s="87"/>
      <c r="I2623" s="89"/>
    </row>
    <row r="2624" spans="1:9">
      <c r="A2624" s="21"/>
      <c r="B2624"/>
      <c r="F2624" s="87"/>
      <c r="H2624" s="87"/>
      <c r="I2624" s="89"/>
    </row>
    <row r="2625" spans="1:9">
      <c r="A2625" s="21"/>
      <c r="B2625"/>
      <c r="F2625" s="87"/>
      <c r="H2625" s="87"/>
      <c r="I2625" s="89"/>
    </row>
    <row r="2626" spans="1:9">
      <c r="A2626" s="21"/>
      <c r="B2626"/>
      <c r="F2626" s="87"/>
      <c r="H2626" s="87"/>
      <c r="I2626" s="89"/>
    </row>
    <row r="2627" spans="1:9">
      <c r="A2627" s="21"/>
      <c r="B2627"/>
      <c r="F2627" s="87"/>
      <c r="H2627" s="87"/>
      <c r="I2627" s="89"/>
    </row>
    <row r="2628" spans="1:9">
      <c r="A2628" s="21"/>
      <c r="B2628"/>
      <c r="F2628" s="87"/>
      <c r="H2628" s="87"/>
      <c r="I2628" s="89"/>
    </row>
    <row r="2629" spans="1:9">
      <c r="A2629" s="21"/>
      <c r="B2629"/>
      <c r="F2629" s="87"/>
      <c r="H2629" s="87"/>
      <c r="I2629" s="89"/>
    </row>
    <row r="2630" spans="1:9">
      <c r="A2630" s="21"/>
      <c r="B2630"/>
      <c r="F2630" s="87"/>
      <c r="H2630" s="87"/>
      <c r="I2630" s="89"/>
    </row>
    <row r="2631" spans="1:9">
      <c r="A2631" s="21"/>
      <c r="B2631"/>
      <c r="F2631" s="87"/>
      <c r="H2631" s="87"/>
      <c r="I2631" s="89"/>
    </row>
    <row r="2632" spans="1:9">
      <c r="A2632" s="21"/>
      <c r="B2632"/>
      <c r="F2632" s="87"/>
      <c r="H2632" s="87"/>
      <c r="I2632" s="89"/>
    </row>
    <row r="2633" spans="1:9">
      <c r="A2633" s="21"/>
      <c r="B2633"/>
      <c r="F2633" s="87"/>
      <c r="H2633" s="87"/>
      <c r="I2633" s="89"/>
    </row>
    <row r="2634" spans="1:9">
      <c r="A2634" s="21"/>
      <c r="B2634"/>
      <c r="F2634" s="87"/>
      <c r="H2634" s="87"/>
      <c r="I2634" s="89"/>
    </row>
    <row r="2635" spans="1:9">
      <c r="A2635" s="21"/>
      <c r="B2635"/>
      <c r="F2635" s="87"/>
      <c r="H2635" s="87"/>
      <c r="I2635" s="89"/>
    </row>
    <row r="2636" spans="1:9">
      <c r="A2636" s="21"/>
      <c r="B2636"/>
      <c r="F2636" s="87"/>
      <c r="H2636" s="87"/>
      <c r="I2636" s="89"/>
    </row>
    <row r="2637" spans="1:9">
      <c r="A2637" s="21"/>
      <c r="B2637"/>
      <c r="F2637" s="87"/>
      <c r="H2637" s="87"/>
      <c r="I2637" s="89"/>
    </row>
    <row r="2638" spans="1:9">
      <c r="A2638" s="21"/>
      <c r="B2638"/>
      <c r="F2638" s="87"/>
      <c r="H2638" s="87"/>
      <c r="I2638" s="89"/>
    </row>
    <row r="2639" spans="1:9">
      <c r="A2639" s="21"/>
      <c r="B2639"/>
      <c r="F2639" s="87"/>
      <c r="H2639" s="87"/>
      <c r="I2639" s="89"/>
    </row>
    <row r="2640" spans="1:9">
      <c r="A2640" s="21"/>
      <c r="B2640"/>
      <c r="F2640" s="87"/>
      <c r="H2640" s="87"/>
      <c r="I2640" s="89"/>
    </row>
    <row r="2641" spans="1:9">
      <c r="A2641" s="21"/>
      <c r="B2641"/>
      <c r="F2641" s="87"/>
      <c r="H2641" s="87"/>
      <c r="I2641" s="89"/>
    </row>
    <row r="2642" spans="1:9">
      <c r="A2642" s="21"/>
      <c r="B2642"/>
      <c r="F2642" s="87"/>
      <c r="H2642" s="87"/>
      <c r="I2642" s="89"/>
    </row>
    <row r="2643" spans="1:9">
      <c r="A2643" s="21"/>
      <c r="B2643"/>
      <c r="F2643" s="87"/>
      <c r="H2643" s="87"/>
      <c r="I2643" s="89"/>
    </row>
    <row r="2644" spans="1:9">
      <c r="A2644" s="21"/>
      <c r="B2644"/>
      <c r="F2644" s="87"/>
      <c r="H2644" s="87"/>
      <c r="I2644" s="89"/>
    </row>
    <row r="2645" spans="1:9">
      <c r="A2645" s="21"/>
      <c r="B2645"/>
      <c r="F2645" s="87"/>
      <c r="H2645" s="87"/>
      <c r="I2645" s="89"/>
    </row>
    <row r="2646" spans="1:9">
      <c r="A2646" s="21"/>
      <c r="B2646"/>
      <c r="F2646" s="87"/>
      <c r="H2646" s="87"/>
      <c r="I2646" s="89"/>
    </row>
    <row r="2647" spans="1:9">
      <c r="A2647" s="21"/>
      <c r="B2647"/>
      <c r="F2647" s="87"/>
      <c r="H2647" s="87"/>
      <c r="I2647" s="89"/>
    </row>
    <row r="2648" spans="1:9">
      <c r="A2648" s="21"/>
      <c r="B2648"/>
      <c r="F2648" s="87"/>
      <c r="H2648" s="87"/>
      <c r="I2648" s="89"/>
    </row>
    <row r="2649" spans="1:9">
      <c r="A2649" s="21"/>
      <c r="B2649"/>
      <c r="F2649" s="87"/>
      <c r="H2649" s="87"/>
      <c r="I2649" s="89"/>
    </row>
    <row r="2650" spans="1:9">
      <c r="A2650" s="21"/>
      <c r="B2650"/>
      <c r="F2650" s="87"/>
      <c r="H2650" s="87"/>
      <c r="I2650" s="89"/>
    </row>
    <row r="2651" spans="1:9">
      <c r="A2651" s="21"/>
      <c r="B2651"/>
      <c r="F2651" s="87"/>
      <c r="H2651" s="87"/>
      <c r="I2651" s="89"/>
    </row>
    <row r="2652" spans="1:9">
      <c r="A2652" s="21"/>
      <c r="B2652"/>
      <c r="F2652" s="87"/>
      <c r="H2652" s="87"/>
      <c r="I2652" s="89"/>
    </row>
    <row r="2653" spans="1:9">
      <c r="A2653" s="21"/>
      <c r="B2653"/>
      <c r="F2653" s="87"/>
      <c r="H2653" s="87"/>
      <c r="I2653" s="89"/>
    </row>
    <row r="2654" spans="1:9">
      <c r="A2654" s="21"/>
      <c r="B2654"/>
      <c r="F2654" s="87"/>
      <c r="H2654" s="87"/>
      <c r="I2654" s="89"/>
    </row>
    <row r="2655" spans="1:9">
      <c r="A2655" s="21"/>
      <c r="B2655"/>
      <c r="F2655" s="87"/>
      <c r="H2655" s="87"/>
      <c r="I2655" s="89"/>
    </row>
    <row r="2656" spans="1:9">
      <c r="A2656" s="21"/>
      <c r="B2656"/>
      <c r="F2656" s="87"/>
      <c r="H2656" s="87"/>
      <c r="I2656" s="89"/>
    </row>
    <row r="2657" spans="1:9">
      <c r="A2657" s="21"/>
      <c r="B2657"/>
      <c r="F2657" s="87"/>
      <c r="H2657" s="87"/>
      <c r="I2657" s="89"/>
    </row>
    <row r="2658" spans="1:9">
      <c r="A2658" s="21"/>
      <c r="B2658"/>
      <c r="F2658" s="87"/>
      <c r="H2658" s="87"/>
      <c r="I2658" s="89"/>
    </row>
    <row r="2659" spans="1:9">
      <c r="A2659" s="21"/>
      <c r="B2659"/>
      <c r="F2659" s="87"/>
      <c r="H2659" s="87"/>
      <c r="I2659" s="89"/>
    </row>
    <row r="2660" spans="1:9">
      <c r="A2660" s="21"/>
      <c r="B2660"/>
      <c r="F2660" s="87"/>
      <c r="H2660" s="87"/>
      <c r="I2660" s="89"/>
    </row>
    <row r="2661" spans="1:9">
      <c r="A2661" s="21"/>
      <c r="B2661"/>
      <c r="F2661" s="87"/>
      <c r="H2661" s="87"/>
      <c r="I2661" s="89"/>
    </row>
    <row r="2662" spans="1:9">
      <c r="A2662" s="21"/>
      <c r="B2662"/>
      <c r="F2662" s="87"/>
      <c r="H2662" s="87"/>
      <c r="I2662" s="89"/>
    </row>
    <row r="2663" spans="1:9">
      <c r="A2663" s="21"/>
      <c r="B2663"/>
      <c r="F2663" s="87"/>
      <c r="H2663" s="87"/>
      <c r="I2663" s="89"/>
    </row>
    <row r="2664" spans="1:9">
      <c r="A2664" s="21"/>
      <c r="B2664"/>
      <c r="F2664" s="87"/>
      <c r="H2664" s="87"/>
      <c r="I2664" s="89"/>
    </row>
    <row r="2665" spans="1:9">
      <c r="A2665" s="21"/>
      <c r="B2665"/>
      <c r="F2665" s="87"/>
      <c r="H2665" s="87"/>
      <c r="I2665" s="89"/>
    </row>
    <row r="2666" spans="1:9">
      <c r="A2666" s="21"/>
      <c r="B2666"/>
      <c r="F2666" s="87"/>
      <c r="H2666" s="87"/>
      <c r="I2666" s="89"/>
    </row>
    <row r="2667" spans="1:9">
      <c r="A2667" s="21"/>
      <c r="B2667"/>
      <c r="F2667" s="87"/>
      <c r="H2667" s="87"/>
      <c r="I2667" s="89"/>
    </row>
    <row r="2668" spans="1:9">
      <c r="A2668" s="21"/>
      <c r="B2668"/>
      <c r="F2668" s="87"/>
      <c r="H2668" s="87"/>
      <c r="I2668" s="89"/>
    </row>
    <row r="2669" spans="1:9">
      <c r="A2669" s="21"/>
      <c r="B2669"/>
      <c r="F2669" s="87"/>
      <c r="H2669" s="87"/>
      <c r="I2669" s="89"/>
    </row>
    <row r="2670" spans="1:9">
      <c r="A2670" s="21"/>
      <c r="B2670"/>
      <c r="F2670" s="87"/>
      <c r="H2670" s="87"/>
      <c r="I2670" s="89"/>
    </row>
    <row r="2671" spans="1:9">
      <c r="A2671" s="21"/>
      <c r="B2671"/>
      <c r="F2671" s="87"/>
      <c r="H2671" s="87"/>
      <c r="I2671" s="89"/>
    </row>
    <row r="2672" spans="1:9">
      <c r="A2672" s="21"/>
      <c r="B2672"/>
      <c r="F2672" s="87"/>
      <c r="H2672" s="87"/>
      <c r="I2672" s="89"/>
    </row>
    <row r="2673" spans="1:9">
      <c r="A2673" s="21"/>
      <c r="B2673"/>
      <c r="F2673" s="87"/>
      <c r="H2673" s="87"/>
      <c r="I2673" s="89"/>
    </row>
    <row r="2674" spans="1:9">
      <c r="A2674" s="21"/>
      <c r="B2674"/>
      <c r="F2674" s="87"/>
      <c r="H2674" s="87"/>
      <c r="I2674" s="89"/>
    </row>
    <row r="2675" spans="1:9">
      <c r="A2675" s="21"/>
      <c r="B2675"/>
      <c r="F2675" s="87"/>
      <c r="H2675" s="87"/>
      <c r="I2675" s="89"/>
    </row>
    <row r="2676" spans="1:9">
      <c r="A2676" s="21"/>
      <c r="B2676"/>
      <c r="F2676" s="87"/>
      <c r="H2676" s="87"/>
      <c r="I2676" s="89"/>
    </row>
    <row r="2677" spans="1:9">
      <c r="A2677" s="21"/>
      <c r="B2677"/>
      <c r="F2677" s="87"/>
      <c r="H2677" s="87"/>
      <c r="I2677" s="89"/>
    </row>
    <row r="2678" spans="1:9">
      <c r="A2678" s="21"/>
      <c r="B2678"/>
      <c r="F2678" s="87"/>
      <c r="H2678" s="87"/>
      <c r="I2678" s="89"/>
    </row>
    <row r="2679" spans="1:9">
      <c r="A2679" s="21"/>
      <c r="B2679"/>
      <c r="F2679" s="87"/>
      <c r="H2679" s="87"/>
      <c r="I2679" s="89"/>
    </row>
    <row r="2680" spans="1:9">
      <c r="A2680" s="21"/>
      <c r="B2680"/>
      <c r="F2680" s="87"/>
      <c r="H2680" s="87"/>
      <c r="I2680" s="89"/>
    </row>
    <row r="2681" spans="1:9">
      <c r="A2681" s="21"/>
      <c r="B2681"/>
      <c r="F2681" s="87"/>
      <c r="H2681" s="87"/>
      <c r="I2681" s="89"/>
    </row>
    <row r="2682" spans="1:9">
      <c r="A2682" s="21"/>
      <c r="B2682"/>
      <c r="F2682" s="87"/>
      <c r="H2682" s="87"/>
      <c r="I2682" s="89"/>
    </row>
    <row r="2683" spans="1:9">
      <c r="A2683" s="21"/>
      <c r="B2683"/>
      <c r="F2683" s="87"/>
      <c r="H2683" s="87"/>
      <c r="I2683" s="89"/>
    </row>
    <row r="2684" spans="1:9">
      <c r="A2684" s="21"/>
      <c r="B2684"/>
      <c r="F2684" s="87"/>
      <c r="H2684" s="87"/>
      <c r="I2684" s="89"/>
    </row>
    <row r="2685" spans="1:9">
      <c r="A2685" s="21"/>
      <c r="B2685"/>
      <c r="F2685" s="87"/>
      <c r="H2685" s="87"/>
      <c r="I2685" s="89"/>
    </row>
    <row r="2686" spans="1:9">
      <c r="A2686" s="21"/>
      <c r="B2686"/>
      <c r="F2686" s="87"/>
      <c r="H2686" s="87"/>
      <c r="I2686" s="89"/>
    </row>
    <row r="2687" spans="1:9">
      <c r="A2687" s="21"/>
      <c r="B2687"/>
      <c r="F2687" s="87"/>
      <c r="H2687" s="87"/>
      <c r="I2687" s="89"/>
    </row>
    <row r="2688" spans="1:9">
      <c r="A2688" s="21"/>
      <c r="B2688"/>
      <c r="F2688" s="87"/>
      <c r="H2688" s="87"/>
      <c r="I2688" s="89"/>
    </row>
    <row r="2689" spans="1:9">
      <c r="A2689" s="21"/>
      <c r="B2689"/>
      <c r="F2689" s="87"/>
      <c r="H2689" s="87"/>
      <c r="I2689" s="89"/>
    </row>
    <row r="2690" spans="1:9">
      <c r="A2690" s="21"/>
      <c r="B2690"/>
      <c r="F2690" s="87"/>
      <c r="H2690" s="87"/>
      <c r="I2690" s="89"/>
    </row>
    <row r="2691" spans="1:9">
      <c r="A2691" s="21"/>
      <c r="B2691"/>
      <c r="F2691" s="87"/>
      <c r="H2691" s="87"/>
      <c r="I2691" s="89"/>
    </row>
    <row r="2692" spans="1:9">
      <c r="A2692" s="21"/>
      <c r="B2692"/>
      <c r="F2692" s="87"/>
      <c r="H2692" s="87"/>
      <c r="I2692" s="89"/>
    </row>
    <row r="2693" spans="1:9">
      <c r="A2693" s="21"/>
      <c r="B2693"/>
      <c r="F2693" s="87"/>
      <c r="H2693" s="87"/>
      <c r="I2693" s="89"/>
    </row>
    <row r="2694" spans="1:9">
      <c r="A2694" s="21"/>
      <c r="B2694"/>
      <c r="F2694" s="87"/>
      <c r="H2694" s="87"/>
      <c r="I2694" s="89"/>
    </row>
    <row r="2695" spans="1:9">
      <c r="A2695" s="21"/>
      <c r="B2695"/>
      <c r="F2695" s="87"/>
      <c r="H2695" s="87"/>
      <c r="I2695" s="89"/>
    </row>
    <row r="2696" spans="1:9">
      <c r="A2696" s="21"/>
      <c r="B2696"/>
      <c r="F2696" s="87"/>
      <c r="H2696" s="87"/>
      <c r="I2696" s="89"/>
    </row>
    <row r="2697" spans="1:9">
      <c r="A2697" s="21"/>
      <c r="B2697"/>
      <c r="F2697" s="87"/>
      <c r="H2697" s="87"/>
      <c r="I2697" s="89"/>
    </row>
    <row r="2698" spans="1:9">
      <c r="A2698" s="21"/>
      <c r="B2698"/>
      <c r="F2698" s="87"/>
      <c r="H2698" s="87"/>
      <c r="I2698" s="89"/>
    </row>
    <row r="2699" spans="1:9">
      <c r="A2699" s="21"/>
      <c r="B2699"/>
      <c r="F2699" s="87"/>
      <c r="H2699" s="87"/>
      <c r="I2699" s="89"/>
    </row>
    <row r="2700" spans="1:9">
      <c r="A2700" s="21"/>
      <c r="B2700"/>
      <c r="F2700" s="87"/>
      <c r="H2700" s="87"/>
      <c r="I2700" s="89"/>
    </row>
    <row r="2701" spans="1:9">
      <c r="A2701" s="21"/>
      <c r="B2701"/>
      <c r="F2701" s="87"/>
      <c r="H2701" s="87"/>
      <c r="I2701" s="89"/>
    </row>
    <row r="2702" spans="1:9">
      <c r="A2702" s="21"/>
      <c r="B2702"/>
      <c r="F2702" s="87"/>
      <c r="H2702" s="87"/>
      <c r="I2702" s="89"/>
    </row>
    <row r="2703" spans="1:9">
      <c r="A2703" s="21"/>
      <c r="B2703"/>
      <c r="F2703" s="87"/>
      <c r="H2703" s="87"/>
      <c r="I2703" s="89"/>
    </row>
    <row r="2704" spans="1:9">
      <c r="A2704" s="21"/>
      <c r="B2704"/>
      <c r="F2704" s="87"/>
      <c r="H2704" s="87"/>
      <c r="I2704" s="89"/>
    </row>
    <row r="2705" spans="1:9">
      <c r="A2705" s="21"/>
      <c r="B2705"/>
      <c r="F2705" s="87"/>
      <c r="H2705" s="87"/>
      <c r="I2705" s="89"/>
    </row>
    <row r="2706" spans="1:9">
      <c r="A2706" s="21"/>
      <c r="B2706"/>
      <c r="F2706" s="87"/>
      <c r="H2706" s="87"/>
      <c r="I2706" s="89"/>
    </row>
    <row r="2707" spans="1:9">
      <c r="A2707" s="21"/>
      <c r="B2707"/>
      <c r="F2707" s="87"/>
      <c r="H2707" s="87"/>
      <c r="I2707" s="89"/>
    </row>
    <row r="2708" spans="1:9">
      <c r="A2708" s="21"/>
      <c r="B2708"/>
      <c r="F2708" s="87"/>
      <c r="H2708" s="87"/>
      <c r="I2708" s="89"/>
    </row>
    <row r="2709" spans="1:9">
      <c r="A2709" s="21"/>
      <c r="B2709"/>
      <c r="F2709" s="87"/>
      <c r="H2709" s="87"/>
      <c r="I2709" s="89"/>
    </row>
    <row r="2710" spans="1:9">
      <c r="A2710" s="21"/>
      <c r="B2710"/>
      <c r="F2710" s="87"/>
      <c r="H2710" s="87"/>
      <c r="I2710" s="89"/>
    </row>
    <row r="2711" spans="1:9">
      <c r="A2711" s="21"/>
      <c r="B2711"/>
      <c r="F2711" s="87"/>
      <c r="H2711" s="87"/>
      <c r="I2711" s="89"/>
    </row>
    <row r="2712" spans="1:9">
      <c r="A2712" s="21"/>
      <c r="B2712"/>
      <c r="F2712" s="87"/>
      <c r="H2712" s="87"/>
      <c r="I2712" s="89"/>
    </row>
    <row r="2713" spans="1:9">
      <c r="A2713" s="21"/>
      <c r="B2713"/>
      <c r="F2713" s="87"/>
      <c r="H2713" s="87"/>
      <c r="I2713" s="89"/>
    </row>
    <row r="2714" spans="1:9">
      <c r="A2714" s="21"/>
      <c r="B2714"/>
      <c r="F2714" s="87"/>
      <c r="H2714" s="87"/>
      <c r="I2714" s="89"/>
    </row>
    <row r="2715" spans="1:9">
      <c r="A2715" s="21"/>
      <c r="B2715"/>
      <c r="F2715" s="87"/>
      <c r="H2715" s="87"/>
      <c r="I2715" s="89"/>
    </row>
    <row r="2716" spans="1:9">
      <c r="A2716" s="21"/>
      <c r="B2716"/>
      <c r="F2716" s="87"/>
      <c r="H2716" s="87"/>
      <c r="I2716" s="89"/>
    </row>
    <row r="2717" spans="1:9">
      <c r="A2717" s="21"/>
      <c r="B2717"/>
      <c r="F2717" s="87"/>
      <c r="H2717" s="87"/>
      <c r="I2717" s="89"/>
    </row>
    <row r="2718" spans="1:9">
      <c r="A2718" s="21"/>
      <c r="B2718"/>
      <c r="F2718" s="87"/>
      <c r="H2718" s="87"/>
      <c r="I2718" s="89"/>
    </row>
    <row r="2719" spans="1:9">
      <c r="A2719" s="21"/>
      <c r="B2719"/>
      <c r="F2719" s="87"/>
      <c r="H2719" s="87"/>
      <c r="I2719" s="89"/>
    </row>
    <row r="2720" spans="1:9">
      <c r="A2720" s="21"/>
      <c r="B2720"/>
      <c r="F2720" s="87"/>
      <c r="H2720" s="87"/>
      <c r="I2720" s="89"/>
    </row>
    <row r="2721" spans="1:9">
      <c r="A2721" s="21"/>
      <c r="B2721"/>
      <c r="F2721" s="87"/>
      <c r="H2721" s="87"/>
      <c r="I2721" s="89"/>
    </row>
    <row r="2722" spans="1:9">
      <c r="A2722" s="21"/>
      <c r="B2722"/>
      <c r="F2722" s="87"/>
      <c r="H2722" s="87"/>
      <c r="I2722" s="89"/>
    </row>
    <row r="2723" spans="1:9">
      <c r="A2723" s="21"/>
      <c r="B2723"/>
      <c r="F2723" s="87"/>
      <c r="H2723" s="87"/>
      <c r="I2723" s="89"/>
    </row>
    <row r="2724" spans="1:9">
      <c r="A2724" s="21"/>
      <c r="B2724"/>
      <c r="F2724" s="87"/>
      <c r="H2724" s="87"/>
      <c r="I2724" s="89"/>
    </row>
    <row r="2725" spans="1:9">
      <c r="A2725" s="21"/>
      <c r="B2725"/>
      <c r="F2725" s="87"/>
      <c r="H2725" s="87"/>
      <c r="I2725" s="89"/>
    </row>
    <row r="2726" spans="1:9">
      <c r="A2726" s="21"/>
      <c r="B2726"/>
      <c r="F2726" s="87"/>
      <c r="H2726" s="87"/>
      <c r="I2726" s="89"/>
    </row>
    <row r="2727" spans="1:9">
      <c r="A2727" s="21"/>
      <c r="B2727"/>
      <c r="F2727" s="87"/>
      <c r="H2727" s="87"/>
      <c r="I2727" s="89"/>
    </row>
    <row r="2728" spans="1:9">
      <c r="A2728" s="21"/>
      <c r="B2728"/>
      <c r="F2728" s="87"/>
      <c r="H2728" s="87"/>
      <c r="I2728" s="89"/>
    </row>
    <row r="2729" spans="1:9">
      <c r="A2729" s="21"/>
      <c r="B2729"/>
      <c r="F2729" s="87"/>
      <c r="H2729" s="87"/>
      <c r="I2729" s="89"/>
    </row>
    <row r="2730" spans="1:9">
      <c r="A2730" s="21"/>
      <c r="B2730"/>
      <c r="F2730" s="87"/>
      <c r="H2730" s="87"/>
      <c r="I2730" s="89"/>
    </row>
    <row r="2731" spans="1:9">
      <c r="A2731" s="21"/>
      <c r="B2731"/>
      <c r="F2731" s="87"/>
      <c r="H2731" s="87"/>
      <c r="I2731" s="89"/>
    </row>
    <row r="2732" spans="1:9">
      <c r="A2732" s="21"/>
      <c r="B2732"/>
      <c r="F2732" s="87"/>
      <c r="H2732" s="87"/>
      <c r="I2732" s="89"/>
    </row>
    <row r="2733" spans="1:9">
      <c r="A2733" s="21"/>
      <c r="B2733"/>
      <c r="F2733" s="87"/>
      <c r="H2733" s="87"/>
      <c r="I2733" s="89"/>
    </row>
    <row r="2734" spans="1:9">
      <c r="A2734" s="21"/>
      <c r="B2734"/>
      <c r="F2734" s="87"/>
      <c r="H2734" s="87"/>
      <c r="I2734" s="89"/>
    </row>
    <row r="2735" spans="1:9">
      <c r="A2735" s="21"/>
      <c r="B2735"/>
      <c r="F2735" s="87"/>
      <c r="H2735" s="87"/>
      <c r="I2735" s="89"/>
    </row>
    <row r="2736" spans="1:9">
      <c r="A2736" s="21"/>
      <c r="B2736"/>
      <c r="F2736" s="87"/>
      <c r="H2736" s="87"/>
      <c r="I2736" s="89"/>
    </row>
    <row r="2737" spans="1:9">
      <c r="A2737" s="21"/>
      <c r="B2737"/>
      <c r="F2737" s="87"/>
      <c r="H2737" s="87"/>
      <c r="I2737" s="89"/>
    </row>
    <row r="2738" spans="1:9">
      <c r="A2738" s="21"/>
      <c r="B2738"/>
      <c r="F2738" s="87"/>
      <c r="H2738" s="87"/>
      <c r="I2738" s="89"/>
    </row>
    <row r="2739" spans="1:9">
      <c r="A2739" s="21"/>
      <c r="B2739"/>
      <c r="F2739" s="87"/>
      <c r="H2739" s="87"/>
      <c r="I2739" s="89"/>
    </row>
    <row r="2740" spans="1:9">
      <c r="A2740" s="21"/>
      <c r="B2740"/>
      <c r="F2740" s="87"/>
      <c r="H2740" s="87"/>
      <c r="I2740" s="89"/>
    </row>
    <row r="2741" spans="1:9">
      <c r="A2741" s="21"/>
      <c r="B2741"/>
      <c r="F2741" s="87"/>
      <c r="H2741" s="87"/>
      <c r="I2741" s="89"/>
    </row>
    <row r="2742" spans="1:9">
      <c r="A2742" s="21"/>
      <c r="B2742"/>
      <c r="F2742" s="87"/>
      <c r="H2742" s="87"/>
      <c r="I2742" s="89"/>
    </row>
    <row r="2743" spans="1:9">
      <c r="A2743" s="21"/>
      <c r="B2743"/>
      <c r="F2743" s="87"/>
      <c r="H2743" s="87"/>
      <c r="I2743" s="89"/>
    </row>
    <row r="2744" spans="1:9">
      <c r="A2744" s="21"/>
      <c r="B2744"/>
      <c r="F2744" s="87"/>
      <c r="H2744" s="87"/>
      <c r="I2744" s="89"/>
    </row>
    <row r="2745" spans="1:9">
      <c r="A2745" s="21"/>
      <c r="B2745"/>
      <c r="F2745" s="87"/>
      <c r="H2745" s="87"/>
      <c r="I2745" s="89"/>
    </row>
    <row r="2746" spans="1:9">
      <c r="A2746" s="21"/>
      <c r="B2746"/>
      <c r="F2746" s="87"/>
      <c r="H2746" s="87"/>
      <c r="I2746" s="89"/>
    </row>
    <row r="2747" spans="1:9">
      <c r="A2747" s="21"/>
      <c r="B2747"/>
      <c r="F2747" s="87"/>
      <c r="H2747" s="87"/>
      <c r="I2747" s="89"/>
    </row>
    <row r="2748" spans="1:9">
      <c r="A2748" s="21"/>
      <c r="B2748"/>
      <c r="F2748" s="87"/>
      <c r="H2748" s="87"/>
      <c r="I2748" s="89"/>
    </row>
    <row r="2749" spans="1:9">
      <c r="A2749" s="21"/>
      <c r="B2749"/>
      <c r="F2749" s="87"/>
      <c r="H2749" s="87"/>
      <c r="I2749" s="89"/>
    </row>
    <row r="2750" spans="1:9">
      <c r="A2750" s="21"/>
      <c r="B2750"/>
      <c r="F2750" s="87"/>
      <c r="H2750" s="87"/>
      <c r="I2750" s="89"/>
    </row>
    <row r="2751" spans="1:9">
      <c r="A2751" s="21"/>
      <c r="B2751"/>
      <c r="F2751" s="87"/>
      <c r="H2751" s="87"/>
      <c r="I2751" s="89"/>
    </row>
    <row r="2752" spans="1:9">
      <c r="A2752" s="21"/>
      <c r="B2752"/>
      <c r="F2752" s="87"/>
      <c r="H2752" s="87"/>
      <c r="I2752" s="89"/>
    </row>
    <row r="2753" spans="1:9">
      <c r="A2753" s="21"/>
      <c r="B2753"/>
      <c r="F2753" s="87"/>
      <c r="H2753" s="87"/>
      <c r="I2753" s="89"/>
    </row>
    <row r="2754" spans="1:9">
      <c r="A2754" s="21"/>
      <c r="B2754"/>
      <c r="F2754" s="87"/>
      <c r="H2754" s="87"/>
      <c r="I2754" s="89"/>
    </row>
    <row r="2755" spans="1:9">
      <c r="A2755" s="21"/>
      <c r="B2755"/>
      <c r="F2755" s="87"/>
      <c r="H2755" s="87"/>
      <c r="I2755" s="89"/>
    </row>
    <row r="2756" spans="1:9">
      <c r="A2756" s="21"/>
      <c r="B2756"/>
      <c r="F2756" s="87"/>
      <c r="H2756" s="87"/>
      <c r="I2756" s="89"/>
    </row>
    <row r="2757" spans="1:9">
      <c r="A2757" s="21"/>
      <c r="B2757"/>
      <c r="F2757" s="87"/>
      <c r="H2757" s="87"/>
      <c r="I2757" s="89"/>
    </row>
    <row r="2758" spans="1:9">
      <c r="A2758" s="21"/>
      <c r="B2758"/>
      <c r="F2758" s="87"/>
      <c r="H2758" s="87"/>
      <c r="I2758" s="89"/>
    </row>
    <row r="2759" spans="1:9">
      <c r="A2759" s="21"/>
      <c r="B2759"/>
      <c r="F2759" s="87"/>
      <c r="H2759" s="87"/>
      <c r="I2759" s="89"/>
    </row>
    <row r="2760" spans="1:9">
      <c r="A2760" s="21"/>
      <c r="B2760"/>
      <c r="F2760" s="87"/>
      <c r="H2760" s="87"/>
      <c r="I2760" s="89"/>
    </row>
    <row r="2761" spans="1:9">
      <c r="A2761" s="21"/>
      <c r="B2761"/>
      <c r="F2761" s="87"/>
      <c r="H2761" s="87"/>
      <c r="I2761" s="89"/>
    </row>
    <row r="2762" spans="1:9">
      <c r="A2762" s="21"/>
      <c r="B2762"/>
      <c r="F2762" s="87"/>
      <c r="H2762" s="87"/>
      <c r="I2762" s="89"/>
    </row>
    <row r="2763" spans="1:9">
      <c r="A2763" s="21"/>
      <c r="B2763"/>
      <c r="F2763" s="87"/>
      <c r="H2763" s="87"/>
      <c r="I2763" s="89"/>
    </row>
    <row r="2764" spans="1:9">
      <c r="A2764" s="21"/>
      <c r="B2764"/>
      <c r="F2764" s="87"/>
      <c r="H2764" s="87"/>
      <c r="I2764" s="89"/>
    </row>
    <row r="2765" spans="1:9">
      <c r="A2765" s="21"/>
      <c r="B2765"/>
      <c r="F2765" s="87"/>
      <c r="H2765" s="87"/>
      <c r="I2765" s="89"/>
    </row>
    <row r="2766" spans="1:9">
      <c r="A2766" s="21"/>
      <c r="B2766"/>
      <c r="F2766" s="87"/>
      <c r="H2766" s="87"/>
      <c r="I2766" s="89"/>
    </row>
    <row r="2767" spans="1:9">
      <c r="A2767" s="21"/>
      <c r="B2767"/>
      <c r="F2767" s="87"/>
      <c r="H2767" s="87"/>
      <c r="I2767" s="89"/>
    </row>
    <row r="2768" spans="1:9">
      <c r="A2768" s="21"/>
      <c r="B2768"/>
      <c r="F2768" s="87"/>
      <c r="H2768" s="87"/>
      <c r="I2768" s="89"/>
    </row>
    <row r="2769" spans="1:9">
      <c r="A2769" s="21"/>
      <c r="B2769"/>
      <c r="F2769" s="87"/>
      <c r="H2769" s="87"/>
      <c r="I2769" s="89"/>
    </row>
    <row r="2770" spans="1:9">
      <c r="A2770" s="21"/>
      <c r="B2770"/>
      <c r="F2770" s="87"/>
      <c r="H2770" s="87"/>
      <c r="I2770" s="89"/>
    </row>
    <row r="2771" spans="1:9">
      <c r="A2771" s="21"/>
      <c r="B2771"/>
      <c r="F2771" s="87"/>
      <c r="H2771" s="87"/>
      <c r="I2771" s="89"/>
    </row>
    <row r="2772" spans="1:9">
      <c r="A2772" s="21"/>
      <c r="B2772"/>
      <c r="F2772" s="87"/>
      <c r="H2772" s="87"/>
      <c r="I2772" s="89"/>
    </row>
    <row r="2773" spans="1:9">
      <c r="A2773" s="21"/>
      <c r="B2773"/>
      <c r="F2773" s="87"/>
      <c r="H2773" s="87"/>
      <c r="I2773" s="89"/>
    </row>
    <row r="2774" spans="1:9">
      <c r="A2774" s="21"/>
      <c r="B2774"/>
      <c r="F2774" s="87"/>
      <c r="H2774" s="87"/>
      <c r="I2774" s="89"/>
    </row>
    <row r="2775" spans="1:9">
      <c r="A2775" s="21"/>
      <c r="B2775"/>
      <c r="F2775" s="87"/>
      <c r="H2775" s="87"/>
      <c r="I2775" s="89"/>
    </row>
    <row r="2776" spans="1:9">
      <c r="A2776" s="21"/>
      <c r="B2776"/>
      <c r="F2776" s="87"/>
      <c r="H2776" s="87"/>
      <c r="I2776" s="89"/>
    </row>
    <row r="2777" spans="1:9">
      <c r="A2777" s="21"/>
      <c r="B2777"/>
      <c r="F2777" s="87"/>
      <c r="H2777" s="87"/>
      <c r="I2777" s="89"/>
    </row>
    <row r="2778" spans="1:9">
      <c r="A2778" s="21"/>
      <c r="B2778"/>
      <c r="F2778" s="87"/>
      <c r="H2778" s="87"/>
      <c r="I2778" s="89"/>
    </row>
    <row r="2779" spans="1:9">
      <c r="A2779" s="21"/>
      <c r="B2779"/>
      <c r="F2779" s="87"/>
      <c r="H2779" s="87"/>
      <c r="I2779" s="89"/>
    </row>
    <row r="2780" spans="1:9">
      <c r="A2780" s="21"/>
      <c r="B2780"/>
      <c r="F2780" s="87"/>
      <c r="H2780" s="87"/>
      <c r="I2780" s="89"/>
    </row>
    <row r="2781" spans="1:9">
      <c r="A2781" s="21"/>
      <c r="B2781"/>
      <c r="F2781" s="87"/>
      <c r="H2781" s="87"/>
      <c r="I2781" s="89"/>
    </row>
    <row r="2782" spans="1:9">
      <c r="A2782" s="21"/>
      <c r="B2782"/>
      <c r="F2782" s="87"/>
      <c r="H2782" s="87"/>
      <c r="I2782" s="89"/>
    </row>
    <row r="2783" spans="1:9">
      <c r="A2783" s="21"/>
      <c r="B2783"/>
      <c r="F2783" s="87"/>
      <c r="H2783" s="87"/>
      <c r="I2783" s="89"/>
    </row>
    <row r="2784" spans="1:9">
      <c r="A2784" s="21"/>
      <c r="B2784"/>
      <c r="F2784" s="87"/>
      <c r="H2784" s="87"/>
      <c r="I2784" s="89"/>
    </row>
    <row r="2785" spans="1:9">
      <c r="A2785" s="21"/>
      <c r="B2785"/>
      <c r="F2785" s="87"/>
      <c r="H2785" s="87"/>
      <c r="I2785" s="89"/>
    </row>
    <row r="2786" spans="1:9">
      <c r="A2786" s="21"/>
      <c r="B2786"/>
      <c r="F2786" s="87"/>
      <c r="H2786" s="87"/>
      <c r="I2786" s="89"/>
    </row>
    <row r="2787" spans="1:9">
      <c r="A2787" s="21"/>
      <c r="B2787"/>
      <c r="F2787" s="87"/>
      <c r="H2787" s="87"/>
      <c r="I2787" s="89"/>
    </row>
    <row r="2788" spans="1:9">
      <c r="A2788" s="21"/>
      <c r="B2788"/>
      <c r="F2788" s="87"/>
      <c r="H2788" s="87"/>
      <c r="I2788" s="89"/>
    </row>
    <row r="2789" spans="1:9">
      <c r="A2789" s="21"/>
      <c r="B2789"/>
      <c r="F2789" s="87"/>
      <c r="H2789" s="87"/>
      <c r="I2789" s="89"/>
    </row>
    <row r="2790" spans="1:9">
      <c r="A2790" s="21"/>
      <c r="B2790"/>
      <c r="F2790" s="87"/>
      <c r="H2790" s="87"/>
      <c r="I2790" s="89"/>
    </row>
    <row r="2791" spans="1:9">
      <c r="A2791" s="21"/>
      <c r="B2791"/>
      <c r="F2791" s="87"/>
      <c r="H2791" s="87"/>
      <c r="I2791" s="89"/>
    </row>
    <row r="2792" spans="1:9">
      <c r="A2792" s="21"/>
      <c r="B2792"/>
      <c r="F2792" s="87"/>
      <c r="H2792" s="87"/>
      <c r="I2792" s="89"/>
    </row>
    <row r="2793" spans="1:9">
      <c r="A2793" s="21"/>
      <c r="B2793"/>
      <c r="F2793" s="87"/>
      <c r="H2793" s="87"/>
      <c r="I2793" s="89"/>
    </row>
    <row r="2794" spans="1:9">
      <c r="A2794" s="21"/>
      <c r="B2794"/>
      <c r="F2794" s="87"/>
      <c r="H2794" s="87"/>
      <c r="I2794" s="89"/>
    </row>
    <row r="2795" spans="1:9">
      <c r="A2795" s="21"/>
      <c r="B2795"/>
      <c r="F2795" s="87"/>
      <c r="H2795" s="87"/>
      <c r="I2795" s="89"/>
    </row>
    <row r="2796" spans="1:9">
      <c r="A2796" s="21"/>
      <c r="B2796"/>
      <c r="F2796" s="87"/>
      <c r="H2796" s="87"/>
      <c r="I2796" s="89"/>
    </row>
    <row r="2797" spans="1:9">
      <c r="A2797" s="21"/>
      <c r="B2797"/>
      <c r="F2797" s="87"/>
      <c r="H2797" s="87"/>
      <c r="I2797" s="89"/>
    </row>
    <row r="2798" spans="1:9">
      <c r="A2798" s="21"/>
      <c r="B2798"/>
      <c r="F2798" s="87"/>
      <c r="H2798" s="87"/>
      <c r="I2798" s="89"/>
    </row>
    <row r="2799" spans="1:9">
      <c r="A2799" s="21"/>
      <c r="B2799"/>
      <c r="F2799" s="87"/>
      <c r="H2799" s="87"/>
      <c r="I2799" s="89"/>
    </row>
    <row r="2800" spans="1:9">
      <c r="A2800" s="21"/>
      <c r="B2800"/>
      <c r="F2800" s="87"/>
      <c r="H2800" s="87"/>
      <c r="I2800" s="89"/>
    </row>
    <row r="2801" spans="1:9">
      <c r="A2801" s="21"/>
      <c r="B2801"/>
      <c r="F2801" s="87"/>
      <c r="H2801" s="87"/>
      <c r="I2801" s="89"/>
    </row>
    <row r="2802" spans="1:9">
      <c r="A2802" s="21"/>
      <c r="B2802"/>
      <c r="F2802" s="87"/>
      <c r="H2802" s="87"/>
      <c r="I2802" s="89"/>
    </row>
    <row r="2803" spans="1:9">
      <c r="A2803" s="21"/>
      <c r="B2803"/>
      <c r="F2803" s="87"/>
      <c r="H2803" s="87"/>
      <c r="I2803" s="89"/>
    </row>
    <row r="2804" spans="1:9">
      <c r="A2804" s="21"/>
      <c r="B2804"/>
      <c r="F2804" s="87"/>
      <c r="H2804" s="87"/>
      <c r="I2804" s="89"/>
    </row>
    <row r="2805" spans="1:9">
      <c r="A2805" s="21"/>
      <c r="B2805"/>
      <c r="F2805" s="87"/>
      <c r="H2805" s="87"/>
      <c r="I2805" s="89"/>
    </row>
    <row r="2806" spans="1:9">
      <c r="A2806" s="21"/>
      <c r="B2806"/>
      <c r="F2806" s="87"/>
      <c r="H2806" s="87"/>
      <c r="I2806" s="89"/>
    </row>
    <row r="2807" spans="1:9">
      <c r="A2807" s="21"/>
      <c r="B2807"/>
      <c r="F2807" s="87"/>
      <c r="H2807" s="87"/>
      <c r="I2807" s="89"/>
    </row>
    <row r="2808" spans="1:9">
      <c r="A2808" s="21"/>
      <c r="B2808"/>
      <c r="F2808" s="87"/>
      <c r="H2808" s="87"/>
      <c r="I2808" s="89"/>
    </row>
    <row r="2809" spans="1:9">
      <c r="A2809" s="21"/>
      <c r="B2809"/>
      <c r="F2809" s="87"/>
      <c r="H2809" s="87"/>
      <c r="I2809" s="89"/>
    </row>
    <row r="2810" spans="1:9">
      <c r="A2810" s="21"/>
      <c r="B2810"/>
      <c r="F2810" s="87"/>
      <c r="H2810" s="87"/>
      <c r="I2810" s="89"/>
    </row>
    <row r="2811" spans="1:9">
      <c r="A2811" s="21"/>
      <c r="B2811"/>
      <c r="F2811" s="87"/>
      <c r="H2811" s="87"/>
      <c r="I2811" s="89"/>
    </row>
    <row r="2812" spans="1:9">
      <c r="A2812" s="21"/>
      <c r="B2812"/>
      <c r="F2812" s="87"/>
      <c r="H2812" s="87"/>
      <c r="I2812" s="89"/>
    </row>
    <row r="2813" spans="1:9">
      <c r="A2813" s="21"/>
      <c r="B2813"/>
      <c r="F2813" s="87"/>
      <c r="H2813" s="87"/>
      <c r="I2813" s="89"/>
    </row>
    <row r="2814" spans="1:9">
      <c r="A2814" s="21"/>
      <c r="B2814"/>
      <c r="F2814" s="87"/>
      <c r="H2814" s="87"/>
      <c r="I2814" s="89"/>
    </row>
    <row r="2815" spans="1:9">
      <c r="A2815" s="21"/>
      <c r="B2815"/>
      <c r="F2815" s="87"/>
      <c r="H2815" s="87"/>
      <c r="I2815" s="89"/>
    </row>
    <row r="2816" spans="1:9">
      <c r="A2816" s="21"/>
      <c r="B2816"/>
      <c r="F2816" s="87"/>
      <c r="H2816" s="87"/>
      <c r="I2816" s="89"/>
    </row>
    <row r="2817" spans="1:9">
      <c r="A2817" s="21"/>
      <c r="B2817"/>
      <c r="F2817" s="87"/>
      <c r="H2817" s="87"/>
      <c r="I2817" s="89"/>
    </row>
    <row r="2818" spans="1:9">
      <c r="A2818" s="21"/>
      <c r="B2818"/>
      <c r="F2818" s="87"/>
      <c r="H2818" s="87"/>
      <c r="I2818" s="89"/>
    </row>
    <row r="2819" spans="1:9">
      <c r="A2819" s="21"/>
      <c r="B2819"/>
      <c r="F2819" s="87"/>
      <c r="H2819" s="87"/>
      <c r="I2819" s="89"/>
    </row>
    <row r="2820" spans="1:9">
      <c r="A2820" s="21"/>
      <c r="B2820"/>
      <c r="F2820" s="87"/>
      <c r="H2820" s="87"/>
      <c r="I2820" s="89"/>
    </row>
    <row r="2821" spans="1:9">
      <c r="A2821" s="21"/>
      <c r="B2821"/>
      <c r="F2821" s="87"/>
      <c r="H2821" s="87"/>
      <c r="I2821" s="89"/>
    </row>
    <row r="2822" spans="1:9">
      <c r="A2822" s="21"/>
      <c r="B2822"/>
      <c r="F2822" s="87"/>
      <c r="H2822" s="87"/>
      <c r="I2822" s="89"/>
    </row>
    <row r="2823" spans="1:9">
      <c r="A2823" s="21"/>
      <c r="B2823"/>
      <c r="F2823" s="87"/>
      <c r="H2823" s="87"/>
      <c r="I2823" s="89"/>
    </row>
    <row r="2824" spans="1:9">
      <c r="A2824" s="21"/>
      <c r="B2824"/>
      <c r="F2824" s="87"/>
      <c r="H2824" s="87"/>
      <c r="I2824" s="89"/>
    </row>
    <row r="2825" spans="1:9">
      <c r="A2825" s="21"/>
      <c r="B2825"/>
      <c r="F2825" s="87"/>
      <c r="H2825" s="87"/>
      <c r="I2825" s="89"/>
    </row>
    <row r="2826" spans="1:9">
      <c r="A2826" s="21"/>
      <c r="B2826"/>
      <c r="F2826" s="87"/>
      <c r="H2826" s="87"/>
      <c r="I2826" s="89"/>
    </row>
    <row r="2827" spans="1:9">
      <c r="A2827" s="21"/>
      <c r="B2827"/>
      <c r="F2827" s="87"/>
      <c r="H2827" s="87"/>
      <c r="I2827" s="89"/>
    </row>
    <row r="2828" spans="1:9">
      <c r="A2828" s="21"/>
      <c r="B2828"/>
      <c r="F2828" s="87"/>
      <c r="H2828" s="87"/>
      <c r="I2828" s="89"/>
    </row>
    <row r="2829" spans="1:9">
      <c r="A2829" s="21"/>
      <c r="B2829"/>
      <c r="F2829" s="87"/>
      <c r="H2829" s="87"/>
      <c r="I2829" s="89"/>
    </row>
    <row r="2830" spans="1:9">
      <c r="A2830" s="21"/>
      <c r="B2830"/>
      <c r="F2830" s="87"/>
      <c r="H2830" s="87"/>
      <c r="I2830" s="89"/>
    </row>
    <row r="2831" spans="1:9">
      <c r="A2831" s="21"/>
      <c r="B2831"/>
      <c r="F2831" s="87"/>
      <c r="H2831" s="87"/>
      <c r="I2831" s="89"/>
    </row>
    <row r="2832" spans="1:9">
      <c r="A2832" s="21"/>
      <c r="B2832"/>
      <c r="F2832" s="87"/>
      <c r="H2832" s="87"/>
      <c r="I2832" s="89"/>
    </row>
    <row r="2833" spans="1:9">
      <c r="A2833" s="21"/>
      <c r="B2833"/>
      <c r="F2833" s="87"/>
      <c r="H2833" s="87"/>
      <c r="I2833" s="89"/>
    </row>
    <row r="2834" spans="1:9">
      <c r="A2834" s="21"/>
      <c r="B2834"/>
      <c r="F2834" s="87"/>
      <c r="H2834" s="87"/>
      <c r="I2834" s="89"/>
    </row>
    <row r="2835" spans="1:9">
      <c r="A2835" s="21"/>
      <c r="B2835"/>
      <c r="F2835" s="87"/>
      <c r="H2835" s="87"/>
      <c r="I2835" s="89"/>
    </row>
    <row r="2836" spans="1:9">
      <c r="A2836" s="21"/>
      <c r="B2836"/>
      <c r="F2836" s="87"/>
      <c r="H2836" s="87"/>
      <c r="I2836" s="89"/>
    </row>
    <row r="2837" spans="1:9">
      <c r="A2837" s="21"/>
      <c r="B2837"/>
      <c r="F2837" s="87"/>
      <c r="H2837" s="87"/>
      <c r="I2837" s="89"/>
    </row>
    <row r="2838" spans="1:9">
      <c r="A2838" s="21"/>
      <c r="B2838"/>
      <c r="F2838" s="87"/>
      <c r="H2838" s="87"/>
      <c r="I2838" s="89"/>
    </row>
    <row r="2839" spans="1:9">
      <c r="A2839" s="21"/>
      <c r="B2839"/>
      <c r="F2839" s="87"/>
      <c r="H2839" s="87"/>
      <c r="I2839" s="89"/>
    </row>
    <row r="2840" spans="1:9">
      <c r="A2840" s="21"/>
      <c r="B2840"/>
      <c r="F2840" s="87"/>
      <c r="H2840" s="87"/>
      <c r="I2840" s="89"/>
    </row>
    <row r="2841" spans="1:9">
      <c r="A2841" s="21"/>
      <c r="B2841"/>
      <c r="F2841" s="87"/>
      <c r="H2841" s="87"/>
      <c r="I2841" s="89"/>
    </row>
    <row r="2842" spans="1:9">
      <c r="A2842" s="21"/>
      <c r="B2842"/>
      <c r="F2842" s="87"/>
      <c r="H2842" s="87"/>
      <c r="I2842" s="89"/>
    </row>
    <row r="2843" spans="1:9">
      <c r="A2843" s="21"/>
      <c r="B2843"/>
      <c r="F2843" s="87"/>
      <c r="H2843" s="87"/>
      <c r="I2843" s="89"/>
    </row>
    <row r="2844" spans="1:9">
      <c r="A2844" s="21"/>
      <c r="B2844"/>
      <c r="F2844" s="87"/>
      <c r="H2844" s="87"/>
      <c r="I2844" s="89"/>
    </row>
    <row r="2845" spans="1:9">
      <c r="A2845" s="21"/>
      <c r="B2845"/>
      <c r="F2845" s="87"/>
      <c r="H2845" s="87"/>
      <c r="I2845" s="89"/>
    </row>
    <row r="2846" spans="1:9">
      <c r="A2846" s="21"/>
      <c r="B2846"/>
      <c r="F2846" s="87"/>
      <c r="H2846" s="87"/>
      <c r="I2846" s="89"/>
    </row>
    <row r="2847" spans="1:9">
      <c r="A2847" s="21"/>
      <c r="B2847"/>
      <c r="F2847" s="87"/>
      <c r="H2847" s="87"/>
      <c r="I2847" s="89"/>
    </row>
    <row r="2848" spans="1:9">
      <c r="A2848" s="21"/>
      <c r="B2848"/>
      <c r="F2848" s="87"/>
      <c r="H2848" s="87"/>
      <c r="I2848" s="89"/>
    </row>
    <row r="2849" spans="1:9">
      <c r="A2849" s="21"/>
      <c r="B2849"/>
      <c r="F2849" s="87"/>
      <c r="H2849" s="87"/>
      <c r="I2849" s="89"/>
    </row>
    <row r="2850" spans="1:9">
      <c r="A2850" s="21"/>
      <c r="B2850"/>
      <c r="F2850" s="87"/>
      <c r="H2850" s="87"/>
      <c r="I2850" s="89"/>
    </row>
    <row r="2851" spans="1:9">
      <c r="A2851" s="21"/>
      <c r="B2851"/>
      <c r="F2851" s="87"/>
      <c r="H2851" s="87"/>
      <c r="I2851" s="89"/>
    </row>
    <row r="2852" spans="1:9">
      <c r="A2852" s="21"/>
      <c r="B2852"/>
      <c r="F2852" s="87"/>
      <c r="H2852" s="87"/>
      <c r="I2852" s="89"/>
    </row>
    <row r="2853" spans="1:9">
      <c r="A2853" s="21"/>
      <c r="B2853"/>
      <c r="F2853" s="87"/>
      <c r="H2853" s="87"/>
      <c r="I2853" s="89"/>
    </row>
    <row r="2854" spans="1:9">
      <c r="A2854" s="21"/>
      <c r="B2854"/>
      <c r="F2854" s="87"/>
      <c r="H2854" s="87"/>
      <c r="I2854" s="89"/>
    </row>
    <row r="2855" spans="1:9">
      <c r="A2855" s="21"/>
      <c r="B2855"/>
      <c r="F2855" s="87"/>
      <c r="H2855" s="87"/>
      <c r="I2855" s="89"/>
    </row>
    <row r="2856" spans="1:9">
      <c r="A2856" s="21"/>
      <c r="B2856"/>
      <c r="F2856" s="87"/>
      <c r="H2856" s="87"/>
      <c r="I2856" s="89"/>
    </row>
    <row r="2857" spans="1:9">
      <c r="A2857" s="21"/>
      <c r="B2857"/>
      <c r="F2857" s="87"/>
      <c r="H2857" s="87"/>
      <c r="I2857" s="89"/>
    </row>
    <row r="2858" spans="1:9">
      <c r="A2858" s="21"/>
      <c r="B2858"/>
      <c r="F2858" s="87"/>
      <c r="H2858" s="87"/>
      <c r="I2858" s="89"/>
    </row>
    <row r="2859" spans="1:9">
      <c r="A2859" s="21"/>
      <c r="B2859"/>
      <c r="F2859" s="87"/>
      <c r="H2859" s="87"/>
      <c r="I2859" s="89"/>
    </row>
    <row r="2860" spans="1:9">
      <c r="A2860" s="21"/>
      <c r="B2860"/>
      <c r="F2860" s="87"/>
      <c r="H2860" s="87"/>
      <c r="I2860" s="89"/>
    </row>
    <row r="2861" spans="1:9">
      <c r="A2861" s="21"/>
      <c r="B2861"/>
      <c r="F2861" s="87"/>
      <c r="H2861" s="87"/>
      <c r="I2861" s="89"/>
    </row>
    <row r="2862" spans="1:9">
      <c r="A2862" s="21"/>
      <c r="B2862"/>
      <c r="F2862" s="87"/>
      <c r="H2862" s="87"/>
      <c r="I2862" s="89"/>
    </row>
    <row r="2863" spans="1:9">
      <c r="A2863" s="21"/>
      <c r="B2863"/>
      <c r="F2863" s="87"/>
      <c r="H2863" s="87"/>
      <c r="I2863" s="89"/>
    </row>
    <row r="2864" spans="1:9">
      <c r="A2864" s="21"/>
      <c r="B2864"/>
      <c r="F2864" s="87"/>
      <c r="H2864" s="87"/>
      <c r="I2864" s="89"/>
    </row>
    <row r="2865" spans="1:9">
      <c r="A2865" s="21"/>
      <c r="B2865"/>
      <c r="F2865" s="87"/>
      <c r="H2865" s="87"/>
      <c r="I2865" s="89"/>
    </row>
    <row r="2866" spans="1:9">
      <c r="A2866" s="21"/>
      <c r="B2866"/>
      <c r="F2866" s="87"/>
      <c r="H2866" s="87"/>
      <c r="I2866" s="89"/>
    </row>
    <row r="2867" spans="1:9">
      <c r="A2867" s="21"/>
      <c r="B2867"/>
      <c r="F2867" s="87"/>
      <c r="H2867" s="87"/>
      <c r="I2867" s="89"/>
    </row>
    <row r="2868" spans="1:9">
      <c r="A2868" s="21"/>
      <c r="B2868"/>
      <c r="F2868" s="87"/>
      <c r="H2868" s="87"/>
      <c r="I2868" s="89"/>
    </row>
    <row r="2869" spans="1:9">
      <c r="A2869" s="21"/>
      <c r="B2869"/>
      <c r="F2869" s="87"/>
      <c r="H2869" s="87"/>
      <c r="I2869" s="89"/>
    </row>
    <row r="2870" spans="1:9">
      <c r="A2870" s="21"/>
      <c r="B2870"/>
      <c r="F2870" s="87"/>
      <c r="H2870" s="87"/>
      <c r="I2870" s="89"/>
    </row>
    <row r="2871" spans="1:9">
      <c r="A2871" s="21"/>
      <c r="B2871"/>
      <c r="F2871" s="87"/>
      <c r="H2871" s="87"/>
      <c r="I2871" s="89"/>
    </row>
    <row r="2872" spans="1:9">
      <c r="A2872" s="21"/>
      <c r="B2872"/>
      <c r="F2872" s="87"/>
      <c r="H2872" s="87"/>
      <c r="I2872" s="89"/>
    </row>
    <row r="2873" spans="1:9">
      <c r="A2873" s="21"/>
      <c r="B2873"/>
      <c r="F2873" s="87"/>
      <c r="H2873" s="87"/>
      <c r="I2873" s="89"/>
    </row>
    <row r="2874" spans="1:9">
      <c r="A2874" s="21"/>
      <c r="B2874"/>
      <c r="F2874" s="87"/>
      <c r="H2874" s="87"/>
      <c r="I2874" s="89"/>
    </row>
    <row r="2875" spans="1:9">
      <c r="A2875" s="21"/>
      <c r="B2875"/>
      <c r="F2875" s="87"/>
      <c r="H2875" s="87"/>
      <c r="I2875" s="89"/>
    </row>
    <row r="2876" spans="1:9">
      <c r="A2876" s="21"/>
      <c r="B2876"/>
      <c r="F2876" s="87"/>
      <c r="H2876" s="87"/>
      <c r="I2876" s="89"/>
    </row>
    <row r="2877" spans="1:9">
      <c r="A2877" s="21"/>
      <c r="B2877"/>
      <c r="F2877" s="87"/>
      <c r="H2877" s="87"/>
      <c r="I2877" s="89"/>
    </row>
    <row r="2878" spans="1:9">
      <c r="A2878" s="21"/>
      <c r="B2878"/>
      <c r="F2878" s="87"/>
      <c r="H2878" s="87"/>
      <c r="I2878" s="89"/>
    </row>
    <row r="2879" spans="1:9">
      <c r="A2879" s="21"/>
      <c r="B2879"/>
      <c r="F2879" s="87"/>
      <c r="H2879" s="87"/>
      <c r="I2879" s="89"/>
    </row>
    <row r="2880" spans="1:9">
      <c r="A2880" s="21"/>
      <c r="B2880"/>
      <c r="F2880" s="87"/>
      <c r="H2880" s="87"/>
      <c r="I2880" s="89"/>
    </row>
    <row r="2881" spans="1:9">
      <c r="A2881" s="21"/>
      <c r="B2881"/>
      <c r="F2881" s="87"/>
      <c r="H2881" s="87"/>
      <c r="I2881" s="89"/>
    </row>
    <row r="2882" spans="1:9">
      <c r="A2882" s="21"/>
      <c r="B2882"/>
      <c r="F2882" s="87"/>
      <c r="H2882" s="87"/>
      <c r="I2882" s="89"/>
    </row>
    <row r="2883" spans="1:9">
      <c r="A2883" s="21"/>
      <c r="B2883"/>
      <c r="F2883" s="87"/>
      <c r="H2883" s="87"/>
      <c r="I2883" s="89"/>
    </row>
    <row r="2884" spans="1:9">
      <c r="A2884" s="21"/>
      <c r="B2884"/>
      <c r="F2884" s="87"/>
      <c r="H2884" s="87"/>
      <c r="I2884" s="89"/>
    </row>
    <row r="2885" spans="1:9">
      <c r="A2885" s="21"/>
      <c r="B2885"/>
      <c r="F2885" s="87"/>
      <c r="H2885" s="87"/>
      <c r="I2885" s="89"/>
    </row>
    <row r="2886" spans="1:9">
      <c r="A2886" s="21"/>
      <c r="B2886"/>
      <c r="F2886" s="87"/>
      <c r="H2886" s="87"/>
      <c r="I2886" s="89"/>
    </row>
    <row r="2887" spans="1:9">
      <c r="A2887" s="21"/>
      <c r="B2887"/>
      <c r="F2887" s="87"/>
      <c r="H2887" s="87"/>
      <c r="I2887" s="89"/>
    </row>
    <row r="2888" spans="1:9">
      <c r="A2888" s="21"/>
      <c r="B2888"/>
      <c r="F2888" s="87"/>
      <c r="H2888" s="87"/>
      <c r="I2888" s="89"/>
    </row>
    <row r="2889" spans="1:9">
      <c r="A2889" s="21"/>
      <c r="B2889"/>
      <c r="F2889" s="87"/>
      <c r="H2889" s="87"/>
      <c r="I2889" s="89"/>
    </row>
    <row r="2890" spans="1:9">
      <c r="A2890" s="21"/>
      <c r="B2890"/>
      <c r="F2890" s="87"/>
      <c r="H2890" s="87"/>
      <c r="I2890" s="89"/>
    </row>
    <row r="2891" spans="1:9">
      <c r="A2891" s="21"/>
      <c r="B2891"/>
      <c r="F2891" s="87"/>
      <c r="H2891" s="87"/>
      <c r="I2891" s="89"/>
    </row>
    <row r="2892" spans="1:9">
      <c r="A2892" s="21"/>
      <c r="B2892"/>
      <c r="F2892" s="87"/>
      <c r="H2892" s="87"/>
      <c r="I2892" s="89"/>
    </row>
    <row r="2893" spans="1:9">
      <c r="A2893" s="21"/>
      <c r="B2893"/>
      <c r="F2893" s="87"/>
      <c r="H2893" s="87"/>
      <c r="I2893" s="89"/>
    </row>
    <row r="2894" spans="1:9">
      <c r="A2894" s="21"/>
      <c r="B2894"/>
      <c r="F2894" s="87"/>
      <c r="H2894" s="87"/>
      <c r="I2894" s="89"/>
    </row>
    <row r="2895" spans="1:9">
      <c r="A2895" s="21"/>
      <c r="B2895"/>
      <c r="F2895" s="87"/>
      <c r="H2895" s="87"/>
      <c r="I2895" s="89"/>
    </row>
    <row r="2896" spans="1:9">
      <c r="A2896" s="21"/>
      <c r="B2896"/>
      <c r="F2896" s="87"/>
      <c r="H2896" s="87"/>
      <c r="I2896" s="89"/>
    </row>
    <row r="2897" spans="1:9">
      <c r="A2897" s="21"/>
      <c r="B2897"/>
      <c r="F2897" s="87"/>
      <c r="H2897" s="87"/>
      <c r="I2897" s="89"/>
    </row>
    <row r="2898" spans="1:9">
      <c r="A2898" s="21"/>
      <c r="B2898"/>
      <c r="F2898" s="87"/>
      <c r="H2898" s="87"/>
      <c r="I2898" s="89"/>
    </row>
    <row r="2899" spans="1:9">
      <c r="A2899" s="21"/>
      <c r="B2899"/>
      <c r="F2899" s="87"/>
      <c r="H2899" s="87"/>
      <c r="I2899" s="89"/>
    </row>
    <row r="2900" spans="1:9">
      <c r="A2900" s="21"/>
      <c r="B2900"/>
      <c r="F2900" s="87"/>
      <c r="H2900" s="87"/>
      <c r="I2900" s="89"/>
    </row>
    <row r="2901" spans="1:9">
      <c r="A2901" s="21"/>
      <c r="B2901"/>
      <c r="F2901" s="87"/>
      <c r="H2901" s="87"/>
      <c r="I2901" s="89"/>
    </row>
    <row r="2902" spans="1:9">
      <c r="A2902" s="21"/>
      <c r="B2902"/>
      <c r="F2902" s="87"/>
      <c r="H2902" s="87"/>
      <c r="I2902" s="89"/>
    </row>
    <row r="2903" spans="1:9">
      <c r="A2903" s="21"/>
      <c r="B2903"/>
      <c r="F2903" s="87"/>
      <c r="H2903" s="87"/>
      <c r="I2903" s="89"/>
    </row>
    <row r="2904" spans="1:9">
      <c r="A2904" s="21"/>
      <c r="B2904"/>
      <c r="F2904" s="87"/>
      <c r="H2904" s="87"/>
      <c r="I2904" s="89"/>
    </row>
    <row r="2905" spans="1:9">
      <c r="A2905" s="21"/>
      <c r="B2905"/>
      <c r="F2905" s="87"/>
      <c r="H2905" s="87"/>
      <c r="I2905" s="89"/>
    </row>
    <row r="2906" spans="1:9">
      <c r="A2906" s="21"/>
      <c r="B2906"/>
      <c r="F2906" s="87"/>
      <c r="H2906" s="87"/>
      <c r="I2906" s="89"/>
    </row>
    <row r="2907" spans="1:9">
      <c r="A2907" s="21"/>
      <c r="B2907"/>
      <c r="F2907" s="87"/>
      <c r="H2907" s="87"/>
      <c r="I2907" s="89"/>
    </row>
    <row r="2908" spans="1:9">
      <c r="A2908" s="21"/>
      <c r="B2908"/>
      <c r="F2908" s="87"/>
      <c r="H2908" s="87"/>
      <c r="I2908" s="89"/>
    </row>
    <row r="2909" spans="1:9">
      <c r="A2909" s="21"/>
      <c r="B2909"/>
      <c r="F2909" s="87"/>
      <c r="H2909" s="87"/>
      <c r="I2909" s="89"/>
    </row>
    <row r="2910" spans="1:9">
      <c r="A2910" s="21"/>
      <c r="B2910"/>
      <c r="F2910" s="87"/>
      <c r="H2910" s="87"/>
      <c r="I2910" s="89"/>
    </row>
    <row r="2911" spans="1:9">
      <c r="A2911" s="21"/>
      <c r="B2911"/>
      <c r="F2911" s="87"/>
      <c r="H2911" s="87"/>
      <c r="I2911" s="89"/>
    </row>
    <row r="2912" spans="1:9">
      <c r="A2912" s="21"/>
      <c r="B2912"/>
      <c r="F2912" s="87"/>
      <c r="H2912" s="87"/>
      <c r="I2912" s="89"/>
    </row>
    <row r="2913" spans="1:9">
      <c r="A2913" s="21"/>
      <c r="B2913"/>
      <c r="F2913" s="87"/>
      <c r="H2913" s="87"/>
      <c r="I2913" s="89"/>
    </row>
    <row r="2914" spans="1:9">
      <c r="A2914" s="21"/>
      <c r="B2914"/>
      <c r="F2914" s="87"/>
      <c r="H2914" s="87"/>
      <c r="I2914" s="89"/>
    </row>
    <row r="2915" spans="1:9">
      <c r="A2915" s="21"/>
      <c r="B2915"/>
      <c r="F2915" s="87"/>
      <c r="H2915" s="87"/>
      <c r="I2915" s="89"/>
    </row>
    <row r="2916" spans="1:9">
      <c r="A2916" s="21"/>
      <c r="B2916"/>
      <c r="F2916" s="87"/>
      <c r="H2916" s="87"/>
      <c r="I2916" s="89"/>
    </row>
    <row r="2917" spans="1:9">
      <c r="A2917" s="21"/>
      <c r="B2917"/>
      <c r="F2917" s="87"/>
      <c r="H2917" s="87"/>
      <c r="I2917" s="89"/>
    </row>
    <row r="2918" spans="1:9">
      <c r="A2918" s="21"/>
      <c r="B2918"/>
      <c r="F2918" s="87"/>
      <c r="H2918" s="87"/>
      <c r="I2918" s="89"/>
    </row>
    <row r="2919" spans="1:9">
      <c r="A2919" s="21"/>
      <c r="B2919"/>
      <c r="F2919" s="87"/>
      <c r="H2919" s="87"/>
      <c r="I2919" s="89"/>
    </row>
    <row r="2920" spans="1:9">
      <c r="A2920" s="21"/>
      <c r="B2920"/>
      <c r="F2920" s="87"/>
      <c r="H2920" s="87"/>
      <c r="I2920" s="89"/>
    </row>
    <row r="2921" spans="1:9">
      <c r="A2921" s="21"/>
      <c r="B2921"/>
      <c r="F2921" s="87"/>
      <c r="H2921" s="87"/>
      <c r="I2921" s="89"/>
    </row>
    <row r="2922" spans="1:9">
      <c r="A2922" s="21"/>
      <c r="B2922"/>
      <c r="F2922" s="87"/>
      <c r="H2922" s="87"/>
      <c r="I2922" s="89"/>
    </row>
    <row r="2923" spans="1:9">
      <c r="A2923" s="21"/>
      <c r="B2923"/>
      <c r="F2923" s="87"/>
      <c r="H2923" s="87"/>
      <c r="I2923" s="89"/>
    </row>
    <row r="2924" spans="1:9">
      <c r="A2924" s="21"/>
      <c r="B2924"/>
      <c r="F2924" s="87"/>
      <c r="H2924" s="87"/>
      <c r="I2924" s="89"/>
    </row>
    <row r="2925" spans="1:9">
      <c r="A2925" s="21"/>
      <c r="B2925"/>
      <c r="F2925" s="87"/>
      <c r="H2925" s="87"/>
      <c r="I2925" s="89"/>
    </row>
    <row r="2926" spans="1:9">
      <c r="A2926" s="21"/>
      <c r="B2926"/>
      <c r="F2926" s="87"/>
      <c r="H2926" s="87"/>
      <c r="I2926" s="89"/>
    </row>
    <row r="2927" spans="1:9">
      <c r="A2927" s="21"/>
      <c r="B2927"/>
      <c r="F2927" s="87"/>
      <c r="H2927" s="87"/>
      <c r="I2927" s="89"/>
    </row>
    <row r="2928" spans="1:9">
      <c r="A2928" s="21"/>
      <c r="B2928"/>
      <c r="F2928" s="87"/>
      <c r="H2928" s="87"/>
      <c r="I2928" s="89"/>
    </row>
    <row r="2929" spans="1:9">
      <c r="A2929" s="21"/>
      <c r="B2929"/>
      <c r="F2929" s="87"/>
      <c r="H2929" s="87"/>
      <c r="I2929" s="89"/>
    </row>
    <row r="2930" spans="1:9">
      <c r="A2930" s="21"/>
      <c r="B2930"/>
      <c r="F2930" s="87"/>
      <c r="H2930" s="87"/>
      <c r="I2930" s="89"/>
    </row>
    <row r="2931" spans="1:9">
      <c r="A2931" s="21"/>
      <c r="B2931"/>
      <c r="F2931" s="87"/>
      <c r="H2931" s="87"/>
      <c r="I2931" s="89"/>
    </row>
    <row r="2932" spans="1:9">
      <c r="A2932" s="21"/>
      <c r="B2932"/>
      <c r="F2932" s="87"/>
      <c r="H2932" s="87"/>
      <c r="I2932" s="89"/>
    </row>
    <row r="2933" spans="1:9">
      <c r="A2933" s="21"/>
      <c r="B2933"/>
      <c r="F2933" s="87"/>
      <c r="H2933" s="87"/>
      <c r="I2933" s="89"/>
    </row>
    <row r="2934" spans="1:9">
      <c r="A2934" s="21"/>
      <c r="B2934"/>
      <c r="F2934" s="87"/>
      <c r="H2934" s="87"/>
      <c r="I2934" s="89"/>
    </row>
    <row r="2935" spans="1:9">
      <c r="A2935" s="21"/>
      <c r="B2935"/>
      <c r="F2935" s="87"/>
      <c r="H2935" s="87"/>
      <c r="I2935" s="89"/>
    </row>
    <row r="2936" spans="1:9">
      <c r="A2936" s="21"/>
      <c r="B2936"/>
      <c r="F2936" s="87"/>
      <c r="H2936" s="87"/>
      <c r="I2936" s="89"/>
    </row>
    <row r="2937" spans="1:9">
      <c r="A2937" s="21"/>
      <c r="B2937"/>
      <c r="F2937" s="87"/>
      <c r="H2937" s="87"/>
      <c r="I2937" s="89"/>
    </row>
    <row r="2938" spans="1:9">
      <c r="A2938" s="21"/>
      <c r="B2938"/>
      <c r="F2938" s="87"/>
      <c r="H2938" s="87"/>
      <c r="I2938" s="89"/>
    </row>
    <row r="2939" spans="1:9">
      <c r="A2939" s="21"/>
      <c r="B2939"/>
      <c r="F2939" s="87"/>
      <c r="H2939" s="87"/>
      <c r="I2939" s="89"/>
    </row>
    <row r="2940" spans="1:9">
      <c r="A2940" s="21"/>
      <c r="B2940"/>
      <c r="F2940" s="87"/>
      <c r="H2940" s="87"/>
      <c r="I2940" s="89"/>
    </row>
    <row r="2941" spans="1:9">
      <c r="A2941" s="21"/>
      <c r="B2941"/>
      <c r="F2941" s="87"/>
      <c r="H2941" s="87"/>
      <c r="I2941" s="89"/>
    </row>
    <row r="2942" spans="1:9">
      <c r="A2942" s="21"/>
      <c r="B2942"/>
      <c r="F2942" s="87"/>
      <c r="H2942" s="87"/>
      <c r="I2942" s="89"/>
    </row>
    <row r="2943" spans="1:9">
      <c r="A2943" s="21"/>
      <c r="B2943"/>
      <c r="F2943" s="87"/>
      <c r="H2943" s="87"/>
      <c r="I2943" s="89"/>
    </row>
    <row r="2944" spans="1:9">
      <c r="A2944" s="21"/>
      <c r="B2944"/>
      <c r="F2944" s="87"/>
      <c r="H2944" s="87"/>
      <c r="I2944" s="89"/>
    </row>
    <row r="2945" spans="1:9">
      <c r="A2945" s="21"/>
      <c r="B2945"/>
      <c r="F2945" s="87"/>
      <c r="H2945" s="87"/>
      <c r="I2945" s="89"/>
    </row>
    <row r="2946" spans="1:9">
      <c r="A2946" s="21"/>
      <c r="B2946"/>
      <c r="F2946" s="87"/>
      <c r="H2946" s="87"/>
      <c r="I2946" s="89"/>
    </row>
    <row r="2947" spans="1:9">
      <c r="A2947" s="21"/>
      <c r="B2947"/>
      <c r="F2947" s="87"/>
      <c r="H2947" s="87"/>
      <c r="I2947" s="89"/>
    </row>
    <row r="2948" spans="1:9">
      <c r="A2948" s="21"/>
      <c r="B2948"/>
      <c r="F2948" s="87"/>
      <c r="H2948" s="87"/>
      <c r="I2948" s="89"/>
    </row>
    <row r="2949" spans="1:9">
      <c r="A2949" s="21"/>
      <c r="B2949"/>
      <c r="F2949" s="87"/>
      <c r="H2949" s="87"/>
      <c r="I2949" s="89"/>
    </row>
    <row r="2950" spans="1:9">
      <c r="A2950" s="21"/>
      <c r="B2950"/>
      <c r="F2950" s="87"/>
      <c r="H2950" s="87"/>
      <c r="I2950" s="89"/>
    </row>
    <row r="2951" spans="1:9">
      <c r="A2951" s="21"/>
      <c r="B2951"/>
      <c r="F2951" s="87"/>
      <c r="H2951" s="87"/>
      <c r="I2951" s="89"/>
    </row>
    <row r="2952" spans="1:9">
      <c r="A2952" s="21"/>
      <c r="B2952"/>
      <c r="F2952" s="87"/>
      <c r="H2952" s="87"/>
      <c r="I2952" s="89"/>
    </row>
    <row r="2953" spans="1:9">
      <c r="A2953" s="21"/>
      <c r="B2953"/>
      <c r="F2953" s="87"/>
      <c r="H2953" s="87"/>
      <c r="I2953" s="89"/>
    </row>
    <row r="2954" spans="1:9">
      <c r="A2954" s="21"/>
      <c r="B2954"/>
      <c r="F2954" s="87"/>
      <c r="H2954" s="87"/>
      <c r="I2954" s="89"/>
    </row>
    <row r="2955" spans="1:9">
      <c r="A2955" s="21"/>
      <c r="B2955"/>
      <c r="F2955" s="87"/>
      <c r="H2955" s="87"/>
      <c r="I2955" s="89"/>
    </row>
    <row r="2956" spans="1:9">
      <c r="A2956" s="21"/>
      <c r="B2956"/>
      <c r="F2956" s="87"/>
      <c r="H2956" s="87"/>
      <c r="I2956" s="89"/>
    </row>
    <row r="2957" spans="1:9">
      <c r="A2957" s="21"/>
      <c r="B2957"/>
      <c r="F2957" s="87"/>
      <c r="H2957" s="87"/>
      <c r="I2957" s="89"/>
    </row>
    <row r="2958" spans="1:9">
      <c r="A2958" s="21"/>
      <c r="B2958"/>
      <c r="F2958" s="87"/>
      <c r="H2958" s="87"/>
      <c r="I2958" s="89"/>
    </row>
    <row r="2959" spans="1:9">
      <c r="A2959" s="21"/>
      <c r="B2959"/>
      <c r="F2959" s="87"/>
      <c r="H2959" s="87"/>
      <c r="I2959" s="89"/>
    </row>
    <row r="2960" spans="1:9">
      <c r="A2960" s="21"/>
      <c r="B2960"/>
      <c r="F2960" s="87"/>
      <c r="H2960" s="87"/>
      <c r="I2960" s="89"/>
    </row>
    <row r="2961" spans="1:9">
      <c r="A2961" s="21"/>
      <c r="B2961"/>
      <c r="F2961" s="87"/>
      <c r="H2961" s="87"/>
      <c r="I2961" s="89"/>
    </row>
    <row r="2962" spans="1:9">
      <c r="A2962" s="21"/>
      <c r="B2962"/>
      <c r="F2962" s="87"/>
      <c r="H2962" s="87"/>
      <c r="I2962" s="89"/>
    </row>
    <row r="2963" spans="1:9">
      <c r="A2963" s="21"/>
      <c r="B2963"/>
      <c r="F2963" s="87"/>
      <c r="H2963" s="87"/>
      <c r="I2963" s="89"/>
    </row>
    <row r="2964" spans="1:9">
      <c r="A2964" s="21"/>
      <c r="B2964"/>
      <c r="F2964" s="87"/>
      <c r="H2964" s="87"/>
      <c r="I2964" s="89"/>
    </row>
    <row r="2965" spans="1:9">
      <c r="A2965" s="21"/>
      <c r="B2965"/>
      <c r="F2965" s="87"/>
      <c r="H2965" s="87"/>
      <c r="I2965" s="89"/>
    </row>
    <row r="2966" spans="1:9">
      <c r="A2966" s="21"/>
      <c r="B2966"/>
      <c r="F2966" s="87"/>
      <c r="H2966" s="87"/>
      <c r="I2966" s="89"/>
    </row>
    <row r="2967" spans="1:9">
      <c r="A2967" s="21"/>
      <c r="B2967"/>
      <c r="F2967" s="87"/>
      <c r="H2967" s="87"/>
      <c r="I2967" s="89"/>
    </row>
    <row r="2968" spans="1:9">
      <c r="A2968" s="21"/>
      <c r="B2968"/>
      <c r="F2968" s="87"/>
      <c r="H2968" s="87"/>
      <c r="I2968" s="89"/>
    </row>
    <row r="2969" spans="1:9">
      <c r="A2969" s="21"/>
      <c r="B2969"/>
      <c r="F2969" s="87"/>
      <c r="H2969" s="87"/>
      <c r="I2969" s="89"/>
    </row>
    <row r="2970" spans="1:9">
      <c r="A2970" s="21"/>
      <c r="B2970"/>
      <c r="F2970" s="87"/>
      <c r="H2970" s="87"/>
      <c r="I2970" s="89"/>
    </row>
    <row r="2971" spans="1:9">
      <c r="A2971" s="21"/>
      <c r="B2971"/>
      <c r="F2971" s="87"/>
      <c r="H2971" s="87"/>
      <c r="I2971" s="89"/>
    </row>
    <row r="2972" spans="1:9">
      <c r="A2972" s="21"/>
      <c r="B2972"/>
      <c r="F2972" s="87"/>
      <c r="H2972" s="87"/>
      <c r="I2972" s="89"/>
    </row>
    <row r="2973" spans="1:9">
      <c r="A2973" s="21"/>
      <c r="B2973"/>
      <c r="F2973" s="87"/>
      <c r="H2973" s="87"/>
      <c r="I2973" s="89"/>
    </row>
    <row r="2974" spans="1:9">
      <c r="A2974" s="21"/>
      <c r="B2974"/>
      <c r="F2974" s="87"/>
      <c r="H2974" s="87"/>
      <c r="I2974" s="89"/>
    </row>
    <row r="2975" spans="1:9">
      <c r="A2975" s="21"/>
      <c r="B2975"/>
      <c r="F2975" s="87"/>
      <c r="H2975" s="87"/>
      <c r="I2975" s="89"/>
    </row>
    <row r="2976" spans="1:9">
      <c r="A2976" s="21"/>
      <c r="B2976"/>
      <c r="F2976" s="87"/>
      <c r="H2976" s="87"/>
      <c r="I2976" s="89"/>
    </row>
    <row r="2977" spans="1:9">
      <c r="A2977" s="21"/>
      <c r="B2977"/>
      <c r="F2977" s="87"/>
      <c r="H2977" s="87"/>
      <c r="I2977" s="89"/>
    </row>
    <row r="2978" spans="1:9">
      <c r="A2978" s="21"/>
      <c r="B2978"/>
      <c r="F2978" s="87"/>
      <c r="H2978" s="87"/>
      <c r="I2978" s="89"/>
    </row>
    <row r="2979" spans="1:9">
      <c r="A2979" s="21"/>
      <c r="B2979"/>
      <c r="F2979" s="87"/>
      <c r="H2979" s="87"/>
      <c r="I2979" s="89"/>
    </row>
    <row r="2980" spans="1:9">
      <c r="A2980" s="21"/>
      <c r="B2980"/>
      <c r="F2980" s="87"/>
      <c r="H2980" s="87"/>
      <c r="I2980" s="89"/>
    </row>
    <row r="2981" spans="1:9">
      <c r="A2981" s="21"/>
      <c r="B2981"/>
      <c r="F2981" s="87"/>
      <c r="H2981" s="87"/>
      <c r="I2981" s="89"/>
    </row>
    <row r="2982" spans="1:9">
      <c r="A2982" s="21"/>
      <c r="B2982"/>
      <c r="F2982" s="87"/>
      <c r="H2982" s="87"/>
      <c r="I2982" s="89"/>
    </row>
    <row r="2983" spans="1:9">
      <c r="A2983" s="21"/>
      <c r="B2983"/>
      <c r="F2983" s="87"/>
      <c r="H2983" s="87"/>
      <c r="I2983" s="89"/>
    </row>
    <row r="2984" spans="1:9">
      <c r="A2984" s="21"/>
      <c r="B2984"/>
      <c r="F2984" s="87"/>
      <c r="H2984" s="87"/>
      <c r="I2984" s="89"/>
    </row>
    <row r="2985" spans="1:9">
      <c r="A2985" s="21"/>
      <c r="B2985"/>
      <c r="F2985" s="87"/>
      <c r="H2985" s="87"/>
      <c r="I2985" s="89"/>
    </row>
    <row r="2986" spans="1:9">
      <c r="A2986" s="21"/>
      <c r="B2986"/>
      <c r="F2986" s="87"/>
      <c r="H2986" s="87"/>
      <c r="I2986" s="89"/>
    </row>
    <row r="2987" spans="1:9">
      <c r="A2987" s="21"/>
      <c r="B2987"/>
      <c r="F2987" s="87"/>
      <c r="H2987" s="87"/>
      <c r="I2987" s="89"/>
    </row>
    <row r="2988" spans="1:9">
      <c r="A2988" s="21"/>
      <c r="B2988"/>
      <c r="F2988" s="87"/>
      <c r="H2988" s="87"/>
      <c r="I2988" s="89"/>
    </row>
    <row r="2989" spans="1:9">
      <c r="A2989" s="21"/>
      <c r="B2989"/>
      <c r="F2989" s="87"/>
      <c r="H2989" s="87"/>
      <c r="I2989" s="89"/>
    </row>
    <row r="2990" spans="1:9">
      <c r="A2990" s="21"/>
      <c r="B2990"/>
      <c r="F2990" s="87"/>
      <c r="H2990" s="87"/>
      <c r="I2990" s="89"/>
    </row>
    <row r="2991" spans="1:9">
      <c r="A2991" s="21"/>
      <c r="B2991"/>
      <c r="F2991" s="87"/>
      <c r="H2991" s="87"/>
      <c r="I2991" s="89"/>
    </row>
    <row r="2992" spans="1:9">
      <c r="A2992" s="21"/>
      <c r="B2992"/>
      <c r="F2992" s="87"/>
      <c r="H2992" s="87"/>
      <c r="I2992" s="89"/>
    </row>
    <row r="2993" spans="1:9">
      <c r="A2993" s="21"/>
      <c r="B2993"/>
      <c r="F2993" s="87"/>
      <c r="H2993" s="87"/>
      <c r="I2993" s="89"/>
    </row>
    <row r="2994" spans="1:9">
      <c r="A2994" s="21"/>
      <c r="B2994"/>
      <c r="F2994" s="87"/>
      <c r="H2994" s="87"/>
      <c r="I2994" s="89"/>
    </row>
    <row r="2995" spans="1:9">
      <c r="A2995" s="21"/>
      <c r="B2995"/>
      <c r="F2995" s="87"/>
      <c r="H2995" s="87"/>
      <c r="I2995" s="89"/>
    </row>
    <row r="2996" spans="1:9">
      <c r="A2996" s="21"/>
      <c r="B2996"/>
      <c r="F2996" s="87"/>
      <c r="H2996" s="87"/>
      <c r="I2996" s="89"/>
    </row>
    <row r="2997" spans="1:9">
      <c r="A2997" s="21"/>
      <c r="B2997"/>
      <c r="F2997" s="87"/>
      <c r="H2997" s="87"/>
      <c r="I2997" s="89"/>
    </row>
    <row r="2998" spans="1:9">
      <c r="A2998" s="21"/>
      <c r="B2998"/>
      <c r="F2998" s="87"/>
      <c r="H2998" s="87"/>
      <c r="I2998" s="89"/>
    </row>
    <row r="2999" spans="1:9">
      <c r="A2999" s="21"/>
      <c r="B2999"/>
      <c r="F2999" s="87"/>
      <c r="H2999" s="87"/>
      <c r="I2999" s="89"/>
    </row>
    <row r="3000" spans="1:9">
      <c r="A3000" s="21"/>
      <c r="B3000"/>
      <c r="F3000" s="87"/>
      <c r="H3000" s="87"/>
      <c r="I3000" s="89"/>
    </row>
    <row r="3001" spans="1:9">
      <c r="A3001" s="21"/>
      <c r="B3001"/>
      <c r="F3001" s="87"/>
      <c r="H3001" s="87"/>
      <c r="I3001" s="89"/>
    </row>
    <row r="3002" spans="1:9">
      <c r="A3002" s="21"/>
      <c r="B3002"/>
      <c r="F3002" s="87"/>
      <c r="H3002" s="87"/>
      <c r="I3002" s="89"/>
    </row>
    <row r="3003" spans="1:9">
      <c r="A3003" s="21"/>
      <c r="B3003"/>
      <c r="F3003" s="87"/>
      <c r="H3003" s="87"/>
      <c r="I3003" s="89"/>
    </row>
    <row r="3004" spans="1:9">
      <c r="A3004" s="21"/>
      <c r="B3004"/>
      <c r="F3004" s="87"/>
      <c r="H3004" s="87"/>
      <c r="I3004" s="89"/>
    </row>
    <row r="3005" spans="1:9">
      <c r="A3005" s="21"/>
      <c r="B3005"/>
      <c r="F3005" s="87"/>
      <c r="H3005" s="87"/>
      <c r="I3005" s="89"/>
    </row>
    <row r="3006" spans="1:9">
      <c r="A3006" s="21"/>
      <c r="B3006"/>
      <c r="F3006" s="87"/>
      <c r="H3006" s="87"/>
      <c r="I3006" s="89"/>
    </row>
    <row r="3007" spans="1:9">
      <c r="A3007" s="21"/>
      <c r="B3007"/>
      <c r="F3007" s="87"/>
      <c r="H3007" s="87"/>
      <c r="I3007" s="89"/>
    </row>
    <row r="3008" spans="1:9">
      <c r="A3008" s="21"/>
      <c r="B3008"/>
      <c r="F3008" s="87"/>
      <c r="H3008" s="87"/>
      <c r="I3008" s="89"/>
    </row>
    <row r="3009" spans="1:9">
      <c r="A3009" s="21"/>
      <c r="B3009"/>
      <c r="F3009" s="87"/>
      <c r="H3009" s="87"/>
      <c r="I3009" s="89"/>
    </row>
    <row r="3010" spans="1:9">
      <c r="A3010" s="21"/>
      <c r="B3010"/>
      <c r="F3010" s="87"/>
      <c r="H3010" s="87"/>
      <c r="I3010" s="89"/>
    </row>
    <row r="3011" spans="1:9">
      <c r="A3011" s="21"/>
      <c r="B3011"/>
      <c r="F3011" s="87"/>
      <c r="H3011" s="87"/>
      <c r="I3011" s="89"/>
    </row>
    <row r="3012" spans="1:9">
      <c r="A3012" s="21"/>
      <c r="B3012"/>
      <c r="F3012" s="87"/>
      <c r="H3012" s="87"/>
      <c r="I3012" s="89"/>
    </row>
    <row r="3013" spans="1:9">
      <c r="A3013" s="21"/>
      <c r="B3013"/>
      <c r="F3013" s="87"/>
      <c r="H3013" s="87"/>
      <c r="I3013" s="89"/>
    </row>
    <row r="3014" spans="1:9">
      <c r="A3014" s="21"/>
      <c r="B3014"/>
      <c r="F3014" s="87"/>
      <c r="H3014" s="87"/>
      <c r="I3014" s="89"/>
    </row>
    <row r="3015" spans="1:9">
      <c r="A3015" s="21"/>
      <c r="B3015"/>
      <c r="F3015" s="87"/>
      <c r="H3015" s="87"/>
      <c r="I3015" s="89"/>
    </row>
    <row r="3016" spans="1:9">
      <c r="A3016" s="21"/>
      <c r="B3016"/>
      <c r="F3016" s="87"/>
      <c r="H3016" s="87"/>
      <c r="I3016" s="89"/>
    </row>
    <row r="3017" spans="1:9">
      <c r="A3017" s="21"/>
      <c r="B3017"/>
      <c r="F3017" s="87"/>
      <c r="H3017" s="87"/>
      <c r="I3017" s="89"/>
    </row>
    <row r="3018" spans="1:9">
      <c r="A3018" s="21"/>
      <c r="B3018"/>
      <c r="F3018" s="87"/>
      <c r="H3018" s="87"/>
      <c r="I3018" s="89"/>
    </row>
    <row r="3019" spans="1:9">
      <c r="A3019" s="21"/>
      <c r="B3019"/>
      <c r="F3019" s="87"/>
      <c r="H3019" s="87"/>
      <c r="I3019" s="89"/>
    </row>
    <row r="3020" spans="1:9">
      <c r="A3020" s="21"/>
      <c r="B3020"/>
      <c r="F3020" s="87"/>
      <c r="H3020" s="87"/>
      <c r="I3020" s="89"/>
    </row>
    <row r="3021" spans="1:9">
      <c r="A3021" s="21"/>
      <c r="B3021"/>
      <c r="F3021" s="87"/>
      <c r="H3021" s="87"/>
      <c r="I3021" s="89"/>
    </row>
    <row r="3022" spans="1:9">
      <c r="A3022" s="21"/>
      <c r="B3022"/>
      <c r="F3022" s="87"/>
      <c r="H3022" s="87"/>
      <c r="I3022" s="89"/>
    </row>
    <row r="3023" spans="1:9">
      <c r="A3023" s="21"/>
      <c r="B3023"/>
      <c r="F3023" s="87"/>
      <c r="H3023" s="87"/>
      <c r="I3023" s="89"/>
    </row>
    <row r="3024" spans="1:9">
      <c r="A3024" s="21"/>
      <c r="B3024"/>
      <c r="F3024" s="87"/>
      <c r="H3024" s="87"/>
      <c r="I3024" s="89"/>
    </row>
    <row r="3025" spans="1:9">
      <c r="A3025" s="21"/>
      <c r="B3025"/>
      <c r="F3025" s="87"/>
      <c r="H3025" s="87"/>
      <c r="I3025" s="89"/>
    </row>
    <row r="3026" spans="1:9">
      <c r="A3026" s="21"/>
      <c r="B3026"/>
      <c r="F3026" s="87"/>
      <c r="H3026" s="87"/>
      <c r="I3026" s="89"/>
    </row>
    <row r="3027" spans="1:9">
      <c r="A3027" s="21"/>
      <c r="B3027"/>
      <c r="F3027" s="87"/>
      <c r="H3027" s="87"/>
      <c r="I3027" s="89"/>
    </row>
    <row r="3028" spans="1:9">
      <c r="A3028" s="21"/>
      <c r="B3028"/>
      <c r="F3028" s="87"/>
      <c r="H3028" s="87"/>
      <c r="I3028" s="89"/>
    </row>
    <row r="3029" spans="1:9">
      <c r="A3029" s="21"/>
      <c r="B3029"/>
      <c r="F3029" s="87"/>
      <c r="H3029" s="87"/>
      <c r="I3029" s="89"/>
    </row>
    <row r="3030" spans="1:9">
      <c r="A3030" s="21"/>
      <c r="B3030"/>
      <c r="F3030" s="87"/>
      <c r="H3030" s="87"/>
      <c r="I3030" s="89"/>
    </row>
    <row r="3031" spans="1:9">
      <c r="A3031" s="21"/>
      <c r="B3031"/>
      <c r="F3031" s="87"/>
      <c r="H3031" s="87"/>
      <c r="I3031" s="89"/>
    </row>
    <row r="3032" spans="1:9">
      <c r="A3032" s="21"/>
      <c r="B3032"/>
      <c r="F3032" s="87"/>
      <c r="H3032" s="87"/>
      <c r="I3032" s="89"/>
    </row>
    <row r="3033" spans="1:9">
      <c r="A3033" s="21"/>
      <c r="B3033"/>
      <c r="F3033" s="87"/>
      <c r="H3033" s="87"/>
      <c r="I3033" s="89"/>
    </row>
    <row r="3034" spans="1:9">
      <c r="A3034" s="21"/>
      <c r="B3034"/>
      <c r="F3034" s="87"/>
      <c r="H3034" s="87"/>
      <c r="I3034" s="89"/>
    </row>
    <row r="3035" spans="1:9">
      <c r="A3035" s="21"/>
      <c r="B3035"/>
      <c r="F3035" s="87"/>
      <c r="H3035" s="87"/>
      <c r="I3035" s="89"/>
    </row>
    <row r="3036" spans="1:9">
      <c r="A3036" s="21"/>
      <c r="B3036"/>
      <c r="F3036" s="87"/>
      <c r="H3036" s="87"/>
      <c r="I3036" s="89"/>
    </row>
    <row r="3037" spans="1:9">
      <c r="A3037" s="21"/>
      <c r="B3037"/>
      <c r="F3037" s="87"/>
      <c r="H3037" s="87"/>
      <c r="I3037" s="89"/>
    </row>
    <row r="3038" spans="1:9">
      <c r="A3038" s="21"/>
      <c r="B3038"/>
      <c r="F3038" s="87"/>
      <c r="H3038" s="87"/>
      <c r="I3038" s="89"/>
    </row>
    <row r="3039" spans="1:9">
      <c r="A3039" s="21"/>
      <c r="B3039"/>
      <c r="F3039" s="87"/>
      <c r="H3039" s="87"/>
      <c r="I3039" s="89"/>
    </row>
    <row r="3040" spans="1:9">
      <c r="A3040" s="21"/>
      <c r="B3040"/>
      <c r="F3040" s="87"/>
      <c r="H3040" s="87"/>
      <c r="I3040" s="89"/>
    </row>
    <row r="3041" spans="1:9">
      <c r="A3041" s="21"/>
      <c r="B3041"/>
      <c r="F3041" s="87"/>
      <c r="H3041" s="87"/>
      <c r="I3041" s="89"/>
    </row>
    <row r="3042" spans="1:9">
      <c r="A3042" s="21"/>
      <c r="B3042"/>
      <c r="F3042" s="87"/>
      <c r="H3042" s="87"/>
      <c r="I3042" s="89"/>
    </row>
    <row r="3043" spans="1:9">
      <c r="A3043" s="21"/>
      <c r="B3043"/>
      <c r="F3043" s="87"/>
      <c r="H3043" s="87"/>
      <c r="I3043" s="89"/>
    </row>
    <row r="3044" spans="1:9">
      <c r="A3044" s="21"/>
      <c r="B3044"/>
      <c r="F3044" s="87"/>
      <c r="H3044" s="87"/>
      <c r="I3044" s="89"/>
    </row>
    <row r="3045" spans="1:9">
      <c r="A3045" s="21"/>
      <c r="B3045"/>
      <c r="F3045" s="87"/>
      <c r="H3045" s="87"/>
      <c r="I3045" s="89"/>
    </row>
    <row r="3046" spans="1:9">
      <c r="A3046" s="21"/>
      <c r="B3046"/>
      <c r="F3046" s="87"/>
      <c r="H3046" s="87"/>
      <c r="I3046" s="89"/>
    </row>
    <row r="3047" spans="1:9">
      <c r="A3047" s="21"/>
      <c r="B3047"/>
      <c r="F3047" s="87"/>
      <c r="H3047" s="87"/>
      <c r="I3047" s="89"/>
    </row>
    <row r="3048" spans="1:9">
      <c r="A3048" s="21"/>
      <c r="B3048"/>
      <c r="F3048" s="87"/>
      <c r="H3048" s="87"/>
      <c r="I3048" s="89"/>
    </row>
    <row r="3049" spans="1:9">
      <c r="A3049" s="21"/>
      <c r="B3049"/>
      <c r="F3049" s="87"/>
      <c r="H3049" s="87"/>
      <c r="I3049" s="89"/>
    </row>
    <row r="3050" spans="1:9">
      <c r="A3050" s="21"/>
      <c r="B3050"/>
      <c r="F3050" s="87"/>
      <c r="H3050" s="87"/>
      <c r="I3050" s="89"/>
    </row>
    <row r="3051" spans="1:9">
      <c r="A3051" s="21"/>
      <c r="B3051"/>
      <c r="F3051" s="87"/>
      <c r="H3051" s="87"/>
      <c r="I3051" s="89"/>
    </row>
    <row r="3052" spans="1:9">
      <c r="A3052" s="21"/>
      <c r="B3052"/>
      <c r="F3052" s="87"/>
      <c r="H3052" s="87"/>
      <c r="I3052" s="89"/>
    </row>
    <row r="3053" spans="1:9">
      <c r="A3053" s="21"/>
      <c r="B3053"/>
      <c r="F3053" s="87"/>
      <c r="H3053" s="87"/>
      <c r="I3053" s="89"/>
    </row>
    <row r="3054" spans="1:9">
      <c r="A3054" s="21"/>
      <c r="B3054"/>
      <c r="F3054" s="87"/>
      <c r="H3054" s="87"/>
      <c r="I3054" s="89"/>
    </row>
    <row r="3055" spans="1:9">
      <c r="A3055" s="21"/>
      <c r="B3055"/>
      <c r="F3055" s="87"/>
      <c r="H3055" s="87"/>
      <c r="I3055" s="89"/>
    </row>
    <row r="3056" spans="1:9">
      <c r="A3056" s="21"/>
      <c r="B3056"/>
      <c r="F3056" s="87"/>
      <c r="H3056" s="87"/>
      <c r="I3056" s="89"/>
    </row>
    <row r="3057" spans="1:9">
      <c r="A3057" s="21"/>
      <c r="B3057"/>
      <c r="F3057" s="87"/>
      <c r="H3057" s="87"/>
      <c r="I3057" s="89"/>
    </row>
    <row r="3058" spans="1:9">
      <c r="A3058" s="21"/>
      <c r="B3058"/>
      <c r="F3058" s="87"/>
      <c r="H3058" s="87"/>
      <c r="I3058" s="89"/>
    </row>
    <row r="3059" spans="1:9">
      <c r="A3059" s="21"/>
      <c r="B3059"/>
      <c r="F3059" s="87"/>
      <c r="H3059" s="87"/>
      <c r="I3059" s="89"/>
    </row>
    <row r="3060" spans="1:9">
      <c r="A3060" s="21"/>
      <c r="B3060"/>
      <c r="F3060" s="87"/>
      <c r="H3060" s="87"/>
      <c r="I3060" s="89"/>
    </row>
    <row r="3061" spans="1:9">
      <c r="A3061" s="21"/>
      <c r="B3061"/>
      <c r="F3061" s="87"/>
      <c r="H3061" s="87"/>
      <c r="I3061" s="89"/>
    </row>
    <row r="3062" spans="1:9">
      <c r="A3062" s="21"/>
      <c r="B3062"/>
      <c r="F3062" s="87"/>
      <c r="H3062" s="87"/>
      <c r="I3062" s="89"/>
    </row>
    <row r="3063" spans="1:9">
      <c r="A3063" s="21"/>
      <c r="B3063"/>
      <c r="F3063" s="87"/>
      <c r="H3063" s="87"/>
      <c r="I3063" s="89"/>
    </row>
    <row r="3064" spans="1:9">
      <c r="A3064" s="21"/>
      <c r="B3064"/>
      <c r="F3064" s="87"/>
      <c r="H3064" s="87"/>
      <c r="I3064" s="89"/>
    </row>
    <row r="3065" spans="1:9">
      <c r="A3065" s="21"/>
      <c r="B3065"/>
      <c r="F3065" s="87"/>
      <c r="H3065" s="87"/>
      <c r="I3065" s="89"/>
    </row>
    <row r="3066" spans="1:9">
      <c r="A3066" s="21"/>
      <c r="B3066"/>
      <c r="F3066" s="87"/>
      <c r="H3066" s="87"/>
      <c r="I3066" s="89"/>
    </row>
    <row r="3067" spans="1:9">
      <c r="A3067" s="21"/>
      <c r="B3067"/>
      <c r="F3067" s="87"/>
      <c r="H3067" s="87"/>
      <c r="I3067" s="89"/>
    </row>
    <row r="3068" spans="1:9">
      <c r="A3068" s="21"/>
      <c r="B3068"/>
      <c r="F3068" s="87"/>
      <c r="H3068" s="87"/>
      <c r="I3068" s="89"/>
    </row>
    <row r="3069" spans="1:9">
      <c r="A3069" s="21"/>
      <c r="B3069"/>
      <c r="F3069" s="87"/>
      <c r="H3069" s="87"/>
      <c r="I3069" s="89"/>
    </row>
    <row r="3070" spans="1:9">
      <c r="A3070" s="21"/>
      <c r="B3070"/>
      <c r="F3070" s="87"/>
      <c r="H3070" s="87"/>
      <c r="I3070" s="89"/>
    </row>
    <row r="3071" spans="1:9">
      <c r="A3071" s="21"/>
      <c r="B3071"/>
      <c r="F3071" s="87"/>
      <c r="H3071" s="87"/>
      <c r="I3071" s="89"/>
    </row>
    <row r="3072" spans="1:9">
      <c r="A3072" s="21"/>
      <c r="B3072"/>
      <c r="F3072" s="87"/>
      <c r="H3072" s="87"/>
      <c r="I3072" s="89"/>
    </row>
    <row r="3073" spans="1:9">
      <c r="A3073" s="21"/>
      <c r="B3073"/>
      <c r="F3073" s="87"/>
      <c r="H3073" s="87"/>
      <c r="I3073" s="89"/>
    </row>
    <row r="3074" spans="1:9">
      <c r="A3074" s="21"/>
      <c r="B3074"/>
      <c r="F3074" s="87"/>
      <c r="H3074" s="87"/>
      <c r="I3074" s="89"/>
    </row>
    <row r="3075" spans="1:9">
      <c r="A3075" s="21"/>
      <c r="B3075"/>
      <c r="F3075" s="87"/>
      <c r="H3075" s="87"/>
      <c r="I3075" s="89"/>
    </row>
    <row r="3076" spans="1:9">
      <c r="A3076" s="21"/>
      <c r="B3076"/>
      <c r="F3076" s="87"/>
      <c r="H3076" s="87"/>
      <c r="I3076" s="89"/>
    </row>
    <row r="3077" spans="1:9">
      <c r="A3077" s="21"/>
      <c r="B3077"/>
      <c r="F3077" s="87"/>
      <c r="H3077" s="87"/>
      <c r="I3077" s="89"/>
    </row>
    <row r="3078" spans="1:9">
      <c r="A3078" s="21"/>
      <c r="B3078"/>
      <c r="F3078" s="87"/>
      <c r="H3078" s="87"/>
      <c r="I3078" s="89"/>
    </row>
    <row r="3079" spans="1:9">
      <c r="A3079" s="21"/>
      <c r="B3079"/>
      <c r="F3079" s="87"/>
      <c r="H3079" s="87"/>
      <c r="I3079" s="89"/>
    </row>
    <row r="3080" spans="1:9">
      <c r="A3080" s="21"/>
      <c r="B3080"/>
      <c r="F3080" s="87"/>
      <c r="H3080" s="87"/>
      <c r="I3080" s="89"/>
    </row>
    <row r="3081" spans="1:9">
      <c r="A3081" s="21"/>
      <c r="B3081"/>
      <c r="F3081" s="87"/>
      <c r="H3081" s="87"/>
      <c r="I3081" s="89"/>
    </row>
    <row r="3082" spans="1:9">
      <c r="A3082" s="21"/>
      <c r="B3082"/>
      <c r="F3082" s="87"/>
      <c r="H3082" s="87"/>
      <c r="I3082" s="89"/>
    </row>
    <row r="3083" spans="1:9">
      <c r="A3083" s="21"/>
      <c r="B3083"/>
      <c r="F3083" s="87"/>
      <c r="H3083" s="87"/>
      <c r="I3083" s="89"/>
    </row>
    <row r="3084" spans="1:9">
      <c r="A3084" s="21"/>
      <c r="B3084"/>
      <c r="F3084" s="87"/>
      <c r="H3084" s="87"/>
      <c r="I3084" s="89"/>
    </row>
    <row r="3085" spans="1:9">
      <c r="A3085" s="21"/>
      <c r="B3085"/>
      <c r="F3085" s="87"/>
      <c r="H3085" s="87"/>
      <c r="I3085" s="89"/>
    </row>
    <row r="3086" spans="1:9">
      <c r="A3086" s="21"/>
      <c r="B3086"/>
      <c r="F3086" s="87"/>
      <c r="H3086" s="87"/>
      <c r="I3086" s="89"/>
    </row>
    <row r="3087" spans="1:9">
      <c r="A3087" s="21"/>
      <c r="B3087"/>
      <c r="F3087" s="87"/>
      <c r="H3087" s="87"/>
      <c r="I3087" s="89"/>
    </row>
    <row r="3088" spans="1:9">
      <c r="A3088" s="21"/>
      <c r="B3088"/>
      <c r="F3088" s="87"/>
      <c r="H3088" s="87"/>
      <c r="I3088" s="89"/>
    </row>
    <row r="3089" spans="1:9">
      <c r="A3089" s="21"/>
      <c r="B3089"/>
      <c r="F3089" s="87"/>
      <c r="H3089" s="87"/>
      <c r="I3089" s="89"/>
    </row>
    <row r="3090" spans="1:9">
      <c r="A3090" s="21"/>
      <c r="B3090"/>
      <c r="F3090" s="87"/>
      <c r="H3090" s="87"/>
      <c r="I3090" s="89"/>
    </row>
    <row r="3091" spans="1:9">
      <c r="A3091" s="21"/>
      <c r="B3091"/>
      <c r="F3091" s="87"/>
      <c r="H3091" s="87"/>
      <c r="I3091" s="89"/>
    </row>
    <row r="3092" spans="1:9">
      <c r="A3092" s="21"/>
      <c r="B3092"/>
      <c r="F3092" s="87"/>
      <c r="H3092" s="87"/>
      <c r="I3092" s="89"/>
    </row>
    <row r="3093" spans="1:9">
      <c r="A3093" s="21"/>
      <c r="B3093"/>
      <c r="F3093" s="87"/>
      <c r="H3093" s="87"/>
      <c r="I3093" s="89"/>
    </row>
    <row r="3094" spans="1:9">
      <c r="A3094" s="21"/>
      <c r="B3094"/>
      <c r="F3094" s="87"/>
      <c r="H3094" s="87"/>
      <c r="I3094" s="89"/>
    </row>
    <row r="3095" spans="1:9">
      <c r="A3095" s="21"/>
      <c r="B3095"/>
      <c r="F3095" s="87"/>
      <c r="H3095" s="87"/>
      <c r="I3095" s="89"/>
    </row>
    <row r="3096" spans="1:9">
      <c r="A3096" s="21"/>
      <c r="B3096"/>
      <c r="F3096" s="87"/>
      <c r="H3096" s="87"/>
      <c r="I3096" s="89"/>
    </row>
    <row r="3097" spans="1:9">
      <c r="A3097" s="21"/>
      <c r="B3097"/>
      <c r="F3097" s="87"/>
      <c r="H3097" s="87"/>
      <c r="I3097" s="89"/>
    </row>
    <row r="3098" spans="1:9">
      <c r="A3098" s="21"/>
      <c r="B3098"/>
      <c r="F3098" s="87"/>
      <c r="H3098" s="87"/>
      <c r="I3098" s="89"/>
    </row>
    <row r="3099" spans="1:9">
      <c r="A3099" s="21"/>
      <c r="B3099"/>
      <c r="F3099" s="87"/>
      <c r="H3099" s="87"/>
      <c r="I3099" s="89"/>
    </row>
    <row r="3100" spans="1:9">
      <c r="A3100" s="21"/>
      <c r="B3100"/>
      <c r="F3100" s="87"/>
      <c r="H3100" s="87"/>
      <c r="I3100" s="89"/>
    </row>
    <row r="3101" spans="1:9">
      <c r="A3101" s="21"/>
      <c r="B3101"/>
      <c r="F3101" s="87"/>
      <c r="H3101" s="87"/>
      <c r="I3101" s="89"/>
    </row>
    <row r="3102" spans="1:9">
      <c r="A3102" s="21"/>
      <c r="B3102"/>
      <c r="F3102" s="87"/>
      <c r="H3102" s="87"/>
      <c r="I3102" s="89"/>
    </row>
    <row r="3103" spans="1:9">
      <c r="A3103" s="21"/>
      <c r="B3103"/>
      <c r="F3103" s="87"/>
      <c r="H3103" s="87"/>
      <c r="I3103" s="89"/>
    </row>
    <row r="3104" spans="1:9">
      <c r="A3104" s="21"/>
      <c r="B3104"/>
      <c r="F3104" s="87"/>
      <c r="H3104" s="87"/>
      <c r="I3104" s="89"/>
    </row>
    <row r="3105" spans="1:9">
      <c r="A3105" s="21"/>
      <c r="B3105"/>
      <c r="F3105" s="87"/>
      <c r="H3105" s="87"/>
      <c r="I3105" s="89"/>
    </row>
    <row r="3106" spans="1:9">
      <c r="A3106" s="21"/>
      <c r="B3106"/>
      <c r="F3106" s="87"/>
      <c r="H3106" s="87"/>
      <c r="I3106" s="89"/>
    </row>
    <row r="3107" spans="1:9">
      <c r="A3107" s="21"/>
      <c r="B3107"/>
      <c r="F3107" s="87"/>
      <c r="H3107" s="87"/>
      <c r="I3107" s="89"/>
    </row>
    <row r="3108" spans="1:9">
      <c r="A3108" s="21"/>
      <c r="B3108"/>
      <c r="F3108" s="87"/>
      <c r="H3108" s="87"/>
      <c r="I3108" s="89"/>
    </row>
    <row r="3109" spans="1:9">
      <c r="A3109" s="21"/>
      <c r="B3109"/>
      <c r="F3109" s="87"/>
      <c r="H3109" s="87"/>
      <c r="I3109" s="89"/>
    </row>
    <row r="3110" spans="1:9">
      <c r="A3110" s="21"/>
      <c r="B3110"/>
      <c r="F3110" s="87"/>
      <c r="H3110" s="87"/>
      <c r="I3110" s="89"/>
    </row>
    <row r="3111" spans="1:9">
      <c r="A3111" s="21"/>
      <c r="B3111"/>
      <c r="F3111" s="87"/>
      <c r="H3111" s="87"/>
      <c r="I3111" s="89"/>
    </row>
    <row r="3112" spans="1:9">
      <c r="A3112" s="21"/>
      <c r="B3112"/>
      <c r="F3112" s="87"/>
      <c r="H3112" s="87"/>
      <c r="I3112" s="89"/>
    </row>
    <row r="3113" spans="1:9">
      <c r="A3113" s="21"/>
      <c r="B3113"/>
      <c r="F3113" s="87"/>
      <c r="H3113" s="87"/>
      <c r="I3113" s="89"/>
    </row>
    <row r="3114" spans="1:9">
      <c r="A3114" s="21"/>
      <c r="B3114"/>
      <c r="F3114" s="87"/>
      <c r="H3114" s="87"/>
      <c r="I3114" s="89"/>
    </row>
    <row r="3115" spans="1:9">
      <c r="A3115" s="21"/>
      <c r="B3115"/>
      <c r="F3115" s="87"/>
      <c r="H3115" s="87"/>
      <c r="I3115" s="89"/>
    </row>
    <row r="3116" spans="1:9">
      <c r="A3116" s="21"/>
      <c r="B3116"/>
      <c r="F3116" s="87"/>
      <c r="H3116" s="87"/>
      <c r="I3116" s="89"/>
    </row>
    <row r="3117" spans="1:9">
      <c r="A3117" s="21"/>
      <c r="B3117"/>
      <c r="F3117" s="87"/>
      <c r="H3117" s="87"/>
      <c r="I3117" s="89"/>
    </row>
    <row r="3118" spans="1:9">
      <c r="A3118" s="21"/>
      <c r="B3118"/>
      <c r="F3118" s="87"/>
      <c r="H3118" s="87"/>
      <c r="I3118" s="89"/>
    </row>
    <row r="3119" spans="1:9">
      <c r="A3119" s="21"/>
      <c r="B3119"/>
      <c r="F3119" s="87"/>
      <c r="H3119" s="87"/>
      <c r="I3119" s="89"/>
    </row>
    <row r="3120" spans="1:9">
      <c r="A3120" s="21"/>
      <c r="B3120"/>
      <c r="F3120" s="87"/>
      <c r="H3120" s="87"/>
      <c r="I3120" s="89"/>
    </row>
    <row r="3121" spans="1:9">
      <c r="A3121" s="21"/>
      <c r="B3121"/>
      <c r="F3121" s="87"/>
      <c r="H3121" s="87"/>
      <c r="I3121" s="89"/>
    </row>
    <row r="3122" spans="1:9">
      <c r="A3122" s="21"/>
      <c r="B3122"/>
      <c r="F3122" s="87"/>
      <c r="H3122" s="87"/>
      <c r="I3122" s="89"/>
    </row>
    <row r="3123" spans="1:9">
      <c r="A3123" s="21"/>
      <c r="B3123"/>
      <c r="F3123" s="87"/>
      <c r="H3123" s="87"/>
      <c r="I3123" s="89"/>
    </row>
    <row r="3124" spans="1:9">
      <c r="A3124" s="21"/>
      <c r="B3124"/>
      <c r="F3124" s="87"/>
      <c r="H3124" s="87"/>
      <c r="I3124" s="89"/>
    </row>
    <row r="3125" spans="1:9">
      <c r="A3125" s="21"/>
      <c r="B3125"/>
      <c r="F3125" s="87"/>
      <c r="H3125" s="87"/>
      <c r="I3125" s="89"/>
    </row>
    <row r="3126" spans="1:9">
      <c r="A3126" s="21"/>
      <c r="B3126"/>
      <c r="F3126" s="87"/>
      <c r="H3126" s="87"/>
      <c r="I3126" s="89"/>
    </row>
    <row r="3127" spans="1:9">
      <c r="A3127" s="21"/>
      <c r="B3127"/>
      <c r="F3127" s="87"/>
      <c r="H3127" s="87"/>
      <c r="I3127" s="89"/>
    </row>
    <row r="3128" spans="1:9">
      <c r="A3128" s="21"/>
      <c r="B3128"/>
      <c r="F3128" s="87"/>
      <c r="H3128" s="87"/>
      <c r="I3128" s="89"/>
    </row>
    <row r="3129" spans="1:9">
      <c r="A3129" s="21"/>
      <c r="B3129"/>
      <c r="F3129" s="87"/>
      <c r="H3129" s="87"/>
      <c r="I3129" s="89"/>
    </row>
    <row r="3130" spans="1:9">
      <c r="A3130" s="21"/>
      <c r="B3130"/>
      <c r="F3130" s="87"/>
      <c r="H3130" s="87"/>
      <c r="I3130" s="89"/>
    </row>
    <row r="3131" spans="1:9">
      <c r="A3131" s="21"/>
      <c r="B3131"/>
      <c r="F3131" s="87"/>
      <c r="H3131" s="87"/>
      <c r="I3131" s="89"/>
    </row>
    <row r="3132" spans="1:9">
      <c r="A3132" s="21"/>
      <c r="B3132"/>
      <c r="F3132" s="87"/>
      <c r="H3132" s="87"/>
      <c r="I3132" s="89"/>
    </row>
    <row r="3133" spans="1:9">
      <c r="A3133" s="21"/>
      <c r="B3133"/>
      <c r="F3133" s="87"/>
      <c r="H3133" s="87"/>
      <c r="I3133" s="89"/>
    </row>
    <row r="3134" spans="1:9">
      <c r="A3134" s="21"/>
      <c r="B3134"/>
      <c r="F3134" s="87"/>
      <c r="H3134" s="87"/>
      <c r="I3134" s="89"/>
    </row>
    <row r="3135" spans="1:9">
      <c r="A3135" s="21"/>
      <c r="B3135"/>
      <c r="F3135" s="87"/>
      <c r="H3135" s="87"/>
      <c r="I3135" s="89"/>
    </row>
    <row r="3136" spans="1:9">
      <c r="A3136" s="21"/>
      <c r="B3136"/>
      <c r="F3136" s="87"/>
      <c r="H3136" s="87"/>
      <c r="I3136" s="89"/>
    </row>
    <row r="3137" spans="1:9">
      <c r="A3137" s="21"/>
      <c r="B3137"/>
      <c r="F3137" s="87"/>
      <c r="H3137" s="87"/>
      <c r="I3137" s="89"/>
    </row>
    <row r="3138" spans="1:9">
      <c r="A3138" s="21"/>
      <c r="B3138"/>
      <c r="F3138" s="87"/>
      <c r="H3138" s="87"/>
      <c r="I3138" s="89"/>
    </row>
    <row r="3139" spans="1:9">
      <c r="A3139" s="21"/>
      <c r="B3139"/>
      <c r="F3139" s="87"/>
      <c r="H3139" s="87"/>
      <c r="I3139" s="89"/>
    </row>
    <row r="3140" spans="1:9">
      <c r="A3140" s="21"/>
      <c r="B3140"/>
      <c r="F3140" s="87"/>
      <c r="H3140" s="87"/>
      <c r="I3140" s="89"/>
    </row>
    <row r="3141" spans="1:9">
      <c r="A3141" s="21"/>
      <c r="B3141"/>
      <c r="F3141" s="87"/>
      <c r="H3141" s="87"/>
      <c r="I3141" s="89"/>
    </row>
    <row r="3142" spans="1:9">
      <c r="A3142" s="21"/>
      <c r="B3142"/>
      <c r="F3142" s="87"/>
      <c r="H3142" s="87"/>
      <c r="I3142" s="89"/>
    </row>
    <row r="3143" spans="1:9">
      <c r="A3143" s="21"/>
      <c r="B3143"/>
      <c r="F3143" s="87"/>
      <c r="H3143" s="87"/>
      <c r="I3143" s="89"/>
    </row>
    <row r="3144" spans="1:9">
      <c r="A3144" s="21"/>
      <c r="B3144"/>
      <c r="F3144" s="87"/>
      <c r="H3144" s="87"/>
      <c r="I3144" s="89"/>
    </row>
    <row r="3145" spans="1:9">
      <c r="A3145" s="21"/>
      <c r="B3145"/>
      <c r="F3145" s="87"/>
      <c r="H3145" s="87"/>
      <c r="I3145" s="89"/>
    </row>
    <row r="3146" spans="1:9">
      <c r="A3146" s="21"/>
      <c r="B3146"/>
      <c r="F3146" s="87"/>
      <c r="H3146" s="87"/>
      <c r="I3146" s="89"/>
    </row>
    <row r="3147" spans="1:9">
      <c r="A3147" s="21"/>
      <c r="B3147"/>
      <c r="F3147" s="87"/>
      <c r="H3147" s="87"/>
      <c r="I3147" s="89"/>
    </row>
    <row r="3148" spans="1:9">
      <c r="A3148" s="21"/>
      <c r="B3148"/>
      <c r="F3148" s="87"/>
      <c r="H3148" s="87"/>
      <c r="I3148" s="89"/>
    </row>
    <row r="3149" spans="1:9">
      <c r="A3149" s="21"/>
      <c r="B3149"/>
      <c r="F3149" s="87"/>
      <c r="H3149" s="87"/>
      <c r="I3149" s="89"/>
    </row>
    <row r="3150" spans="1:9">
      <c r="A3150" s="21"/>
      <c r="B3150"/>
      <c r="F3150" s="87"/>
      <c r="H3150" s="87"/>
      <c r="I3150" s="89"/>
    </row>
    <row r="3151" spans="1:9">
      <c r="A3151" s="21"/>
      <c r="B3151"/>
      <c r="F3151" s="87"/>
      <c r="H3151" s="87"/>
      <c r="I3151" s="89"/>
    </row>
    <row r="3152" spans="1:9">
      <c r="A3152" s="21"/>
      <c r="B3152"/>
      <c r="F3152" s="87"/>
      <c r="H3152" s="87"/>
      <c r="I3152" s="89"/>
    </row>
    <row r="3153" spans="1:9">
      <c r="A3153" s="21"/>
      <c r="B3153"/>
      <c r="F3153" s="87"/>
      <c r="H3153" s="87"/>
      <c r="I3153" s="89"/>
    </row>
    <row r="3154" spans="1:9">
      <c r="A3154" s="21"/>
      <c r="B3154"/>
      <c r="F3154" s="87"/>
      <c r="H3154" s="87"/>
      <c r="I3154" s="89"/>
    </row>
    <row r="3155" spans="1:9">
      <c r="A3155" s="21"/>
      <c r="B3155"/>
      <c r="F3155" s="87"/>
      <c r="H3155" s="87"/>
      <c r="I3155" s="89"/>
    </row>
    <row r="3156" spans="1:9">
      <c r="A3156" s="21"/>
      <c r="B3156"/>
      <c r="F3156" s="87"/>
      <c r="H3156" s="87"/>
      <c r="I3156" s="89"/>
    </row>
    <row r="3157" spans="1:9">
      <c r="A3157" s="21"/>
      <c r="B3157"/>
      <c r="F3157" s="87"/>
      <c r="H3157" s="87"/>
      <c r="I3157" s="89"/>
    </row>
    <row r="3158" spans="1:9">
      <c r="A3158" s="21"/>
      <c r="B3158"/>
      <c r="F3158" s="87"/>
      <c r="H3158" s="87"/>
      <c r="I3158" s="89"/>
    </row>
    <row r="3159" spans="1:9">
      <c r="A3159" s="21"/>
      <c r="B3159"/>
      <c r="F3159" s="87"/>
      <c r="H3159" s="87"/>
      <c r="I3159" s="89"/>
    </row>
    <row r="3160" spans="1:9">
      <c r="A3160" s="21"/>
      <c r="B3160"/>
      <c r="F3160" s="87"/>
      <c r="H3160" s="87"/>
      <c r="I3160" s="89"/>
    </row>
    <row r="3161" spans="1:9">
      <c r="A3161" s="21"/>
      <c r="B3161"/>
      <c r="F3161" s="87"/>
      <c r="H3161" s="87"/>
      <c r="I3161" s="89"/>
    </row>
    <row r="3162" spans="1:9">
      <c r="A3162" s="21"/>
      <c r="B3162"/>
      <c r="F3162" s="87"/>
      <c r="H3162" s="87"/>
      <c r="I3162" s="89"/>
    </row>
    <row r="3163" spans="1:9">
      <c r="A3163" s="21"/>
      <c r="B3163"/>
      <c r="F3163" s="87"/>
      <c r="H3163" s="87"/>
      <c r="I3163" s="89"/>
    </row>
    <row r="3164" spans="1:9">
      <c r="A3164" s="21"/>
      <c r="B3164"/>
      <c r="F3164" s="87"/>
      <c r="H3164" s="87"/>
      <c r="I3164" s="89"/>
    </row>
    <row r="3165" spans="1:9">
      <c r="A3165" s="21"/>
      <c r="B3165"/>
      <c r="F3165" s="87"/>
      <c r="H3165" s="87"/>
      <c r="I3165" s="89"/>
    </row>
    <row r="3166" spans="1:9">
      <c r="A3166" s="21"/>
      <c r="B3166"/>
      <c r="F3166" s="87"/>
      <c r="H3166" s="87"/>
      <c r="I3166" s="89"/>
    </row>
    <row r="3167" spans="1:9">
      <c r="A3167" s="21"/>
      <c r="B3167"/>
      <c r="F3167" s="87"/>
      <c r="H3167" s="87"/>
      <c r="I3167" s="89"/>
    </row>
    <row r="3168" spans="1:9">
      <c r="A3168" s="21"/>
      <c r="B3168"/>
      <c r="F3168" s="87"/>
      <c r="H3168" s="87"/>
      <c r="I3168" s="89"/>
    </row>
    <row r="3169" spans="1:9">
      <c r="A3169" s="21"/>
      <c r="B3169"/>
      <c r="F3169" s="87"/>
      <c r="H3169" s="87"/>
      <c r="I3169" s="89"/>
    </row>
    <row r="3170" spans="1:9">
      <c r="A3170" s="21"/>
      <c r="B3170"/>
      <c r="F3170" s="87"/>
      <c r="H3170" s="87"/>
      <c r="I3170" s="89"/>
    </row>
    <row r="3171" spans="1:9">
      <c r="A3171" s="21"/>
      <c r="B3171"/>
      <c r="F3171" s="87"/>
      <c r="H3171" s="87"/>
      <c r="I3171" s="89"/>
    </row>
    <row r="3172" spans="1:9">
      <c r="A3172" s="21"/>
      <c r="B3172"/>
      <c r="F3172" s="87"/>
      <c r="H3172" s="87"/>
      <c r="I3172" s="89"/>
    </row>
    <row r="3173" spans="1:9">
      <c r="A3173" s="21"/>
      <c r="B3173"/>
      <c r="F3173" s="87"/>
      <c r="H3173" s="87"/>
      <c r="I3173" s="89"/>
    </row>
    <row r="3174" spans="1:9">
      <c r="A3174" s="21"/>
      <c r="B3174"/>
      <c r="F3174" s="87"/>
      <c r="H3174" s="87"/>
      <c r="I3174" s="89"/>
    </row>
    <row r="3175" spans="1:9">
      <c r="A3175" s="21"/>
      <c r="B3175"/>
      <c r="F3175" s="87"/>
      <c r="H3175" s="87"/>
      <c r="I3175" s="89"/>
    </row>
    <row r="3176" spans="1:9">
      <c r="A3176" s="21"/>
      <c r="B3176"/>
      <c r="F3176" s="87"/>
      <c r="H3176" s="87"/>
      <c r="I3176" s="89"/>
    </row>
    <row r="3177" spans="1:9">
      <c r="A3177" s="21"/>
      <c r="B3177"/>
      <c r="F3177" s="87"/>
      <c r="H3177" s="87"/>
      <c r="I3177" s="89"/>
    </row>
    <row r="3178" spans="1:9">
      <c r="A3178" s="21"/>
      <c r="B3178"/>
      <c r="F3178" s="87"/>
      <c r="H3178" s="87"/>
      <c r="I3178" s="89"/>
    </row>
    <row r="3179" spans="1:9">
      <c r="A3179" s="21"/>
      <c r="B3179"/>
      <c r="F3179" s="87"/>
      <c r="H3179" s="87"/>
      <c r="I3179" s="89"/>
    </row>
    <row r="3180" spans="1:9">
      <c r="A3180" s="21"/>
      <c r="B3180"/>
      <c r="F3180" s="87"/>
      <c r="H3180" s="87"/>
      <c r="I3180" s="89"/>
    </row>
    <row r="3181" spans="1:9">
      <c r="A3181" s="21"/>
      <c r="B3181"/>
      <c r="F3181" s="87"/>
      <c r="H3181" s="87"/>
      <c r="I3181" s="89"/>
    </row>
    <row r="3182" spans="1:9">
      <c r="A3182" s="21"/>
      <c r="B3182"/>
      <c r="F3182" s="87"/>
      <c r="H3182" s="87"/>
      <c r="I3182" s="89"/>
    </row>
    <row r="3183" spans="1:9">
      <c r="A3183" s="21"/>
      <c r="B3183"/>
      <c r="F3183" s="87"/>
      <c r="H3183" s="87"/>
      <c r="I3183" s="89"/>
    </row>
    <row r="3184" spans="1:9">
      <c r="A3184" s="21"/>
      <c r="B3184"/>
      <c r="F3184" s="87"/>
      <c r="H3184" s="87"/>
      <c r="I3184" s="89"/>
    </row>
    <row r="3185" spans="1:9">
      <c r="A3185" s="21"/>
      <c r="B3185"/>
      <c r="F3185" s="87"/>
      <c r="H3185" s="87"/>
      <c r="I3185" s="89"/>
    </row>
    <row r="3186" spans="1:9">
      <c r="A3186" s="21"/>
      <c r="B3186"/>
      <c r="F3186" s="87"/>
      <c r="H3186" s="87"/>
      <c r="I3186" s="89"/>
    </row>
    <row r="3187" spans="1:9">
      <c r="A3187" s="21"/>
      <c r="B3187"/>
      <c r="F3187" s="87"/>
      <c r="H3187" s="87"/>
      <c r="I3187" s="89"/>
    </row>
    <row r="3188" spans="1:9">
      <c r="A3188" s="21"/>
      <c r="B3188"/>
      <c r="F3188" s="87"/>
      <c r="H3188" s="87"/>
      <c r="I3188" s="89"/>
    </row>
    <row r="3189" spans="1:9">
      <c r="A3189" s="21"/>
      <c r="B3189"/>
      <c r="F3189" s="87"/>
      <c r="H3189" s="87"/>
      <c r="I3189" s="89"/>
    </row>
    <row r="3190" spans="1:9">
      <c r="A3190" s="21"/>
      <c r="B3190"/>
      <c r="F3190" s="87"/>
      <c r="H3190" s="87"/>
      <c r="I3190" s="89"/>
    </row>
    <row r="3191" spans="1:9">
      <c r="A3191" s="21"/>
      <c r="B3191"/>
      <c r="F3191" s="87"/>
      <c r="H3191" s="87"/>
      <c r="I3191" s="89"/>
    </row>
    <row r="3192" spans="1:9">
      <c r="A3192" s="21"/>
      <c r="B3192"/>
      <c r="F3192" s="87"/>
      <c r="H3192" s="87"/>
      <c r="I3192" s="89"/>
    </row>
    <row r="3193" spans="1:9">
      <c r="A3193" s="21"/>
      <c r="B3193"/>
      <c r="F3193" s="87"/>
      <c r="H3193" s="87"/>
      <c r="I3193" s="89"/>
    </row>
    <row r="3194" spans="1:9">
      <c r="A3194" s="21"/>
      <c r="B3194"/>
      <c r="F3194" s="87"/>
      <c r="H3194" s="87"/>
      <c r="I3194" s="89"/>
    </row>
    <row r="3195" spans="1:9">
      <c r="A3195" s="21"/>
      <c r="B3195"/>
      <c r="F3195" s="87"/>
      <c r="H3195" s="87"/>
      <c r="I3195" s="89"/>
    </row>
    <row r="3196" spans="1:9">
      <c r="A3196" s="21"/>
      <c r="B3196"/>
      <c r="F3196" s="87"/>
      <c r="H3196" s="87"/>
      <c r="I3196" s="89"/>
    </row>
    <row r="3197" spans="1:9">
      <c r="A3197" s="21"/>
      <c r="B3197"/>
      <c r="F3197" s="87"/>
      <c r="H3197" s="87"/>
      <c r="I3197" s="89"/>
    </row>
    <row r="3198" spans="1:9">
      <c r="A3198" s="21"/>
      <c r="B3198"/>
      <c r="F3198" s="87"/>
      <c r="H3198" s="87"/>
      <c r="I3198" s="89"/>
    </row>
    <row r="3199" spans="1:9">
      <c r="A3199" s="21"/>
      <c r="B3199"/>
      <c r="F3199" s="87"/>
      <c r="H3199" s="87"/>
      <c r="I3199" s="89"/>
    </row>
    <row r="3200" spans="1:9">
      <c r="A3200" s="21"/>
      <c r="B3200"/>
      <c r="F3200" s="87"/>
      <c r="H3200" s="87"/>
      <c r="I3200" s="89"/>
    </row>
    <row r="3201" spans="1:9">
      <c r="A3201" s="21"/>
      <c r="B3201"/>
      <c r="F3201" s="87"/>
      <c r="H3201" s="87"/>
      <c r="I3201" s="89"/>
    </row>
    <row r="3202" spans="1:9">
      <c r="A3202" s="21"/>
      <c r="B3202"/>
      <c r="F3202" s="87"/>
      <c r="H3202" s="87"/>
      <c r="I3202" s="89"/>
    </row>
    <row r="3203" spans="1:9">
      <c r="A3203" s="21"/>
      <c r="B3203"/>
      <c r="F3203" s="87"/>
      <c r="H3203" s="87"/>
      <c r="I3203" s="89"/>
    </row>
    <row r="3204" spans="1:9">
      <c r="A3204" s="21"/>
      <c r="B3204"/>
      <c r="F3204" s="87"/>
      <c r="H3204" s="87"/>
      <c r="I3204" s="89"/>
    </row>
    <row r="3205" spans="1:9">
      <c r="A3205" s="21"/>
      <c r="B3205"/>
      <c r="F3205" s="87"/>
      <c r="H3205" s="87"/>
      <c r="I3205" s="89"/>
    </row>
    <row r="3206" spans="1:9">
      <c r="A3206" s="21"/>
      <c r="B3206"/>
      <c r="F3206" s="87"/>
      <c r="H3206" s="87"/>
      <c r="I3206" s="89"/>
    </row>
    <row r="3207" spans="1:9">
      <c r="A3207" s="21"/>
      <c r="B3207"/>
      <c r="F3207" s="87"/>
      <c r="H3207" s="87"/>
      <c r="I3207" s="89"/>
    </row>
    <row r="3208" spans="1:9">
      <c r="A3208" s="21"/>
      <c r="B3208"/>
      <c r="F3208" s="87"/>
      <c r="H3208" s="87"/>
      <c r="I3208" s="89"/>
    </row>
    <row r="3209" spans="1:9">
      <c r="A3209" s="21"/>
      <c r="B3209"/>
      <c r="F3209" s="87"/>
      <c r="H3209" s="87"/>
      <c r="I3209" s="89"/>
    </row>
    <row r="3210" spans="1:9">
      <c r="A3210" s="21"/>
      <c r="B3210"/>
      <c r="F3210" s="87"/>
      <c r="H3210" s="87"/>
      <c r="I3210" s="89"/>
    </row>
    <row r="3211" spans="1:9">
      <c r="A3211" s="21"/>
      <c r="B3211"/>
      <c r="F3211" s="87"/>
      <c r="H3211" s="87"/>
      <c r="I3211" s="89"/>
    </row>
    <row r="3212" spans="1:9">
      <c r="A3212" s="21"/>
      <c r="B3212"/>
      <c r="F3212" s="87"/>
      <c r="H3212" s="87"/>
      <c r="I3212" s="89"/>
    </row>
    <row r="3213" spans="1:9">
      <c r="A3213" s="21"/>
      <c r="B3213"/>
      <c r="F3213" s="87"/>
      <c r="H3213" s="87"/>
      <c r="I3213" s="89"/>
    </row>
    <row r="3214" spans="1:9">
      <c r="A3214" s="21"/>
      <c r="B3214"/>
      <c r="F3214" s="87"/>
      <c r="H3214" s="87"/>
      <c r="I3214" s="89"/>
    </row>
    <row r="3215" spans="1:9">
      <c r="A3215" s="21"/>
      <c r="B3215"/>
      <c r="F3215" s="87"/>
      <c r="H3215" s="87"/>
      <c r="I3215" s="89"/>
    </row>
    <row r="3216" spans="1:9">
      <c r="A3216" s="21"/>
      <c r="B3216"/>
      <c r="F3216" s="87"/>
      <c r="H3216" s="87"/>
      <c r="I3216" s="89"/>
    </row>
    <row r="3217" spans="1:9">
      <c r="A3217" s="21"/>
      <c r="B3217"/>
      <c r="F3217" s="87"/>
      <c r="H3217" s="87"/>
      <c r="I3217" s="89"/>
    </row>
    <row r="3218" spans="1:9">
      <c r="A3218" s="21"/>
      <c r="B3218"/>
      <c r="F3218" s="87"/>
      <c r="H3218" s="87"/>
      <c r="I3218" s="89"/>
    </row>
    <row r="3219" spans="1:9">
      <c r="A3219" s="21"/>
      <c r="B3219"/>
      <c r="F3219" s="87"/>
      <c r="H3219" s="87"/>
      <c r="I3219" s="89"/>
    </row>
    <row r="3220" spans="1:9">
      <c r="A3220" s="21"/>
      <c r="B3220"/>
      <c r="F3220" s="87"/>
      <c r="H3220" s="87"/>
      <c r="I3220" s="89"/>
    </row>
    <row r="3221" spans="1:9">
      <c r="A3221" s="21"/>
      <c r="B3221"/>
      <c r="F3221" s="87"/>
      <c r="H3221" s="87"/>
      <c r="I3221" s="89"/>
    </row>
    <row r="3222" spans="1:9">
      <c r="A3222" s="21"/>
      <c r="B3222"/>
      <c r="F3222" s="87"/>
      <c r="H3222" s="87"/>
      <c r="I3222" s="89"/>
    </row>
    <row r="3223" spans="1:9">
      <c r="A3223" s="21"/>
      <c r="B3223"/>
      <c r="F3223" s="87"/>
      <c r="H3223" s="87"/>
      <c r="I3223" s="89"/>
    </row>
    <row r="3224" spans="1:9">
      <c r="A3224" s="21"/>
      <c r="B3224"/>
      <c r="F3224" s="87"/>
      <c r="H3224" s="87"/>
      <c r="I3224" s="89"/>
    </row>
    <row r="3225" spans="1:9">
      <c r="A3225" s="21"/>
      <c r="B3225"/>
      <c r="F3225" s="87"/>
      <c r="H3225" s="87"/>
      <c r="I3225" s="89"/>
    </row>
    <row r="3226" spans="1:9">
      <c r="A3226" s="21"/>
      <c r="B3226"/>
      <c r="F3226" s="87"/>
      <c r="H3226" s="87"/>
      <c r="I3226" s="89"/>
    </row>
    <row r="3227" spans="1:9">
      <c r="A3227" s="21"/>
      <c r="B3227"/>
      <c r="F3227" s="87"/>
      <c r="H3227" s="87"/>
      <c r="I3227" s="89"/>
    </row>
    <row r="3228" spans="1:9">
      <c r="A3228" s="21"/>
      <c r="B3228"/>
      <c r="F3228" s="87"/>
      <c r="H3228" s="87"/>
      <c r="I3228" s="89"/>
    </row>
    <row r="3229" spans="1:9">
      <c r="A3229" s="21"/>
      <c r="B3229"/>
      <c r="F3229" s="87"/>
      <c r="H3229" s="87"/>
      <c r="I3229" s="89"/>
    </row>
    <row r="3230" spans="1:9">
      <c r="A3230" s="21"/>
      <c r="B3230"/>
      <c r="F3230" s="87"/>
      <c r="H3230" s="87"/>
      <c r="I3230" s="89"/>
    </row>
    <row r="3231" spans="1:9">
      <c r="A3231" s="21"/>
      <c r="B3231"/>
      <c r="F3231" s="87"/>
      <c r="H3231" s="87"/>
      <c r="I3231" s="89"/>
    </row>
    <row r="3232" spans="1:9">
      <c r="A3232" s="21"/>
      <c r="B3232"/>
      <c r="F3232" s="87"/>
      <c r="H3232" s="87"/>
      <c r="I3232" s="89"/>
    </row>
    <row r="3233" spans="1:9">
      <c r="A3233" s="21"/>
      <c r="B3233"/>
      <c r="F3233" s="87"/>
      <c r="H3233" s="87"/>
      <c r="I3233" s="89"/>
    </row>
    <row r="3234" spans="1:9">
      <c r="A3234" s="21"/>
      <c r="B3234"/>
      <c r="F3234" s="87"/>
      <c r="H3234" s="87"/>
      <c r="I3234" s="89"/>
    </row>
    <row r="3235" spans="1:9">
      <c r="A3235" s="21"/>
      <c r="B3235"/>
      <c r="F3235" s="87"/>
      <c r="H3235" s="87"/>
      <c r="I3235" s="89"/>
    </row>
    <row r="3236" spans="1:9">
      <c r="A3236" s="21"/>
      <c r="B3236"/>
      <c r="F3236" s="87"/>
      <c r="H3236" s="87"/>
      <c r="I3236" s="89"/>
    </row>
    <row r="3237" spans="1:9">
      <c r="A3237" s="21"/>
      <c r="B3237"/>
      <c r="F3237" s="87"/>
      <c r="H3237" s="87"/>
      <c r="I3237" s="89"/>
    </row>
    <row r="3238" spans="1:9">
      <c r="A3238" s="21"/>
      <c r="B3238"/>
      <c r="F3238" s="87"/>
      <c r="H3238" s="87"/>
      <c r="I3238" s="89"/>
    </row>
    <row r="3239" spans="1:9">
      <c r="A3239" s="21"/>
      <c r="B3239"/>
      <c r="F3239" s="87"/>
      <c r="H3239" s="87"/>
      <c r="I3239" s="89"/>
    </row>
    <row r="3240" spans="1:9">
      <c r="A3240" s="21"/>
      <c r="B3240"/>
      <c r="F3240" s="87"/>
      <c r="H3240" s="87"/>
      <c r="I3240" s="89"/>
    </row>
    <row r="3241" spans="1:9">
      <c r="A3241" s="21"/>
      <c r="B3241"/>
      <c r="F3241" s="87"/>
      <c r="H3241" s="87"/>
      <c r="I3241" s="89"/>
    </row>
    <row r="3242" spans="1:9">
      <c r="A3242" s="21"/>
      <c r="B3242"/>
      <c r="F3242" s="87"/>
      <c r="H3242" s="87"/>
      <c r="I3242" s="89"/>
    </row>
    <row r="3243" spans="1:9">
      <c r="A3243" s="21"/>
      <c r="B3243"/>
      <c r="F3243" s="87"/>
      <c r="H3243" s="87"/>
      <c r="I3243" s="89"/>
    </row>
    <row r="3244" spans="1:9">
      <c r="A3244" s="21"/>
      <c r="B3244"/>
      <c r="F3244" s="87"/>
      <c r="H3244" s="87"/>
      <c r="I3244" s="89"/>
    </row>
    <row r="3245" spans="1:9">
      <c r="A3245" s="21"/>
      <c r="B3245"/>
      <c r="F3245" s="87"/>
      <c r="H3245" s="87"/>
      <c r="I3245" s="89"/>
    </row>
    <row r="3246" spans="1:9">
      <c r="A3246" s="21"/>
      <c r="B3246"/>
      <c r="F3246" s="87"/>
      <c r="H3246" s="87"/>
      <c r="I3246" s="89"/>
    </row>
    <row r="3247" spans="1:9">
      <c r="A3247" s="21"/>
      <c r="B3247"/>
      <c r="F3247" s="87"/>
      <c r="H3247" s="87"/>
      <c r="I3247" s="89"/>
    </row>
    <row r="3248" spans="1:9">
      <c r="A3248" s="21"/>
      <c r="B3248"/>
      <c r="F3248" s="87"/>
      <c r="H3248" s="87"/>
      <c r="I3248" s="89"/>
    </row>
    <row r="3249" spans="1:9">
      <c r="A3249" s="21"/>
      <c r="B3249"/>
      <c r="F3249" s="87"/>
      <c r="H3249" s="87"/>
      <c r="I3249" s="89"/>
    </row>
    <row r="3250" spans="1:9">
      <c r="A3250" s="21"/>
      <c r="B3250"/>
      <c r="F3250" s="87"/>
      <c r="H3250" s="87"/>
      <c r="I3250" s="89"/>
    </row>
    <row r="3251" spans="1:9">
      <c r="A3251" s="21"/>
      <c r="B3251"/>
      <c r="F3251" s="87"/>
      <c r="H3251" s="87"/>
      <c r="I3251" s="89"/>
    </row>
    <row r="3252" spans="1:9">
      <c r="A3252" s="21"/>
      <c r="B3252"/>
      <c r="F3252" s="87"/>
      <c r="H3252" s="87"/>
      <c r="I3252" s="89"/>
    </row>
    <row r="3253" spans="1:9">
      <c r="A3253" s="21"/>
      <c r="B3253"/>
      <c r="F3253" s="87"/>
      <c r="H3253" s="87"/>
      <c r="I3253" s="89"/>
    </row>
    <row r="3254" spans="1:9">
      <c r="A3254" s="21"/>
      <c r="B3254"/>
      <c r="F3254" s="87"/>
      <c r="H3254" s="87"/>
      <c r="I3254" s="89"/>
    </row>
    <row r="3255" spans="1:9">
      <c r="A3255" s="21"/>
      <c r="B3255"/>
      <c r="F3255" s="87"/>
      <c r="H3255" s="87"/>
      <c r="I3255" s="89"/>
    </row>
    <row r="3256" spans="1:9">
      <c r="A3256" s="21"/>
      <c r="B3256"/>
      <c r="F3256" s="87"/>
      <c r="H3256" s="87"/>
      <c r="I3256" s="89"/>
    </row>
    <row r="3257" spans="1:9">
      <c r="A3257" s="21"/>
      <c r="B3257"/>
      <c r="F3257" s="87"/>
      <c r="H3257" s="87"/>
      <c r="I3257" s="89"/>
    </row>
    <row r="3258" spans="1:9">
      <c r="A3258" s="21"/>
      <c r="B3258"/>
      <c r="F3258" s="87"/>
      <c r="H3258" s="87"/>
      <c r="I3258" s="89"/>
    </row>
    <row r="3259" spans="1:9">
      <c r="A3259" s="21"/>
      <c r="B3259"/>
      <c r="F3259" s="87"/>
      <c r="H3259" s="87"/>
      <c r="I3259" s="89"/>
    </row>
    <row r="3260" spans="1:9">
      <c r="A3260" s="21"/>
      <c r="B3260"/>
      <c r="F3260" s="87"/>
      <c r="H3260" s="87"/>
      <c r="I3260" s="89"/>
    </row>
    <row r="3261" spans="1:9">
      <c r="A3261" s="21"/>
      <c r="B3261"/>
      <c r="F3261" s="87"/>
      <c r="H3261" s="87"/>
      <c r="I3261" s="89"/>
    </row>
    <row r="3262" spans="1:9">
      <c r="A3262" s="21"/>
      <c r="B3262"/>
      <c r="F3262" s="87"/>
      <c r="H3262" s="87"/>
      <c r="I3262" s="89"/>
    </row>
    <row r="3263" spans="1:9">
      <c r="A3263" s="21"/>
      <c r="B3263"/>
      <c r="F3263" s="87"/>
      <c r="H3263" s="87"/>
      <c r="I3263" s="89"/>
    </row>
    <row r="3264" spans="1:9">
      <c r="A3264" s="21"/>
      <c r="B3264"/>
      <c r="F3264" s="87"/>
      <c r="H3264" s="87"/>
      <c r="I3264" s="89"/>
    </row>
    <row r="3265" spans="1:9">
      <c r="A3265" s="21"/>
      <c r="B3265"/>
      <c r="F3265" s="87"/>
      <c r="H3265" s="87"/>
      <c r="I3265" s="89"/>
    </row>
    <row r="3266" spans="1:9">
      <c r="A3266" s="21"/>
      <c r="B3266"/>
      <c r="F3266" s="87"/>
      <c r="H3266" s="87"/>
      <c r="I3266" s="89"/>
    </row>
    <row r="3267" spans="1:9">
      <c r="A3267" s="21"/>
      <c r="B3267"/>
      <c r="F3267" s="87"/>
      <c r="H3267" s="87"/>
      <c r="I3267" s="89"/>
    </row>
    <row r="3268" spans="1:9">
      <c r="A3268" s="21"/>
      <c r="B3268"/>
      <c r="F3268" s="87"/>
      <c r="H3268" s="87"/>
      <c r="I3268" s="89"/>
    </row>
    <row r="3269" spans="1:9">
      <c r="A3269" s="21"/>
      <c r="B3269"/>
      <c r="F3269" s="87"/>
      <c r="H3269" s="87"/>
      <c r="I3269" s="89"/>
    </row>
    <row r="3270" spans="1:9">
      <c r="A3270" s="21"/>
      <c r="B3270"/>
      <c r="F3270" s="87"/>
      <c r="H3270" s="87"/>
      <c r="I3270" s="89"/>
    </row>
    <row r="3271" spans="1:9">
      <c r="A3271" s="21"/>
      <c r="B3271"/>
      <c r="F3271" s="87"/>
      <c r="H3271" s="87"/>
      <c r="I3271" s="89"/>
    </row>
    <row r="3272" spans="1:9">
      <c r="A3272" s="21"/>
      <c r="B3272"/>
      <c r="F3272" s="87"/>
      <c r="H3272" s="87"/>
      <c r="I3272" s="89"/>
    </row>
    <row r="3273" spans="1:9">
      <c r="A3273" s="21"/>
      <c r="B3273"/>
      <c r="F3273" s="87"/>
      <c r="H3273" s="87"/>
      <c r="I3273" s="89"/>
    </row>
    <row r="3274" spans="1:9">
      <c r="A3274" s="21"/>
      <c r="B3274"/>
      <c r="F3274" s="87"/>
      <c r="H3274" s="87"/>
      <c r="I3274" s="89"/>
    </row>
    <row r="3275" spans="1:9">
      <c r="A3275" s="21"/>
      <c r="B3275"/>
      <c r="F3275" s="87"/>
      <c r="H3275" s="87"/>
      <c r="I3275" s="89"/>
    </row>
    <row r="3276" spans="1:9">
      <c r="A3276" s="21"/>
      <c r="B3276"/>
      <c r="F3276" s="87"/>
      <c r="H3276" s="87"/>
      <c r="I3276" s="89"/>
    </row>
    <row r="3277" spans="1:9">
      <c r="A3277" s="21"/>
      <c r="B3277"/>
      <c r="F3277" s="87"/>
      <c r="H3277" s="87"/>
      <c r="I3277" s="89"/>
    </row>
    <row r="3278" spans="1:9">
      <c r="A3278" s="21"/>
      <c r="B3278"/>
      <c r="F3278" s="87"/>
      <c r="H3278" s="87"/>
      <c r="I3278" s="89"/>
    </row>
    <row r="3279" spans="1:9">
      <c r="A3279" s="21"/>
      <c r="B3279"/>
      <c r="F3279" s="87"/>
      <c r="H3279" s="87"/>
      <c r="I3279" s="89"/>
    </row>
    <row r="3280" spans="1:9">
      <c r="A3280" s="21"/>
      <c r="B3280"/>
      <c r="F3280" s="87"/>
      <c r="H3280" s="87"/>
      <c r="I3280" s="89"/>
    </row>
    <row r="3281" spans="1:9">
      <c r="A3281" s="21"/>
      <c r="B3281"/>
      <c r="F3281" s="87"/>
      <c r="H3281" s="87"/>
      <c r="I3281" s="89"/>
    </row>
    <row r="3282" spans="1:9">
      <c r="A3282" s="21"/>
      <c r="B3282"/>
      <c r="F3282" s="87"/>
      <c r="H3282" s="87"/>
      <c r="I3282" s="89"/>
    </row>
    <row r="3283" spans="1:9">
      <c r="A3283" s="21"/>
      <c r="B3283"/>
      <c r="F3283" s="87"/>
      <c r="H3283" s="87"/>
      <c r="I3283" s="89"/>
    </row>
    <row r="3284" spans="1:9">
      <c r="A3284" s="21"/>
      <c r="B3284"/>
      <c r="F3284" s="87"/>
      <c r="H3284" s="87"/>
      <c r="I3284" s="89"/>
    </row>
    <row r="3285" spans="1:9">
      <c r="A3285" s="21"/>
      <c r="B3285"/>
      <c r="F3285" s="87"/>
      <c r="H3285" s="87"/>
      <c r="I3285" s="89"/>
    </row>
    <row r="3286" spans="1:9">
      <c r="A3286" s="21"/>
      <c r="B3286"/>
      <c r="F3286" s="87"/>
      <c r="H3286" s="87"/>
      <c r="I3286" s="89"/>
    </row>
    <row r="3287" spans="1:9">
      <c r="A3287" s="21"/>
      <c r="B3287"/>
      <c r="F3287" s="87"/>
      <c r="H3287" s="87"/>
      <c r="I3287" s="89"/>
    </row>
    <row r="3288" spans="1:9">
      <c r="A3288" s="21"/>
      <c r="B3288"/>
      <c r="F3288" s="87"/>
      <c r="H3288" s="87"/>
      <c r="I3288" s="89"/>
    </row>
    <row r="3289" spans="1:9">
      <c r="A3289" s="21"/>
      <c r="B3289"/>
      <c r="F3289" s="87"/>
      <c r="H3289" s="87"/>
      <c r="I3289" s="89"/>
    </row>
    <row r="3290" spans="1:9">
      <c r="A3290" s="21"/>
      <c r="B3290"/>
      <c r="F3290" s="87"/>
      <c r="H3290" s="87"/>
      <c r="I3290" s="89"/>
    </row>
    <row r="3291" spans="1:9">
      <c r="A3291" s="21"/>
      <c r="B3291"/>
      <c r="F3291" s="87"/>
      <c r="H3291" s="87"/>
      <c r="I3291" s="89"/>
    </row>
    <row r="3292" spans="1:9">
      <c r="A3292" s="21"/>
      <c r="B3292"/>
      <c r="F3292" s="87"/>
      <c r="H3292" s="87"/>
      <c r="I3292" s="89"/>
    </row>
    <row r="3293" spans="1:9">
      <c r="A3293" s="21"/>
      <c r="B3293"/>
      <c r="F3293" s="87"/>
      <c r="H3293" s="87"/>
      <c r="I3293" s="89"/>
    </row>
    <row r="3294" spans="1:9">
      <c r="A3294" s="21"/>
      <c r="B3294"/>
      <c r="F3294" s="87"/>
      <c r="H3294" s="87"/>
      <c r="I3294" s="89"/>
    </row>
    <row r="3295" spans="1:9">
      <c r="A3295" s="21"/>
      <c r="B3295"/>
      <c r="F3295" s="87"/>
      <c r="H3295" s="87"/>
      <c r="I3295" s="89"/>
    </row>
    <row r="3296" spans="1:9">
      <c r="A3296" s="21"/>
      <c r="B3296"/>
      <c r="F3296" s="87"/>
      <c r="H3296" s="87"/>
      <c r="I3296" s="89"/>
    </row>
    <row r="3297" spans="1:9">
      <c r="A3297" s="21"/>
      <c r="B3297"/>
      <c r="F3297" s="87"/>
      <c r="H3297" s="87"/>
      <c r="I3297" s="89"/>
    </row>
    <row r="3298" spans="1:9">
      <c r="A3298" s="21"/>
      <c r="B3298"/>
      <c r="F3298" s="87"/>
      <c r="H3298" s="87"/>
      <c r="I3298" s="89"/>
    </row>
    <row r="3299" spans="1:9">
      <c r="A3299" s="21"/>
      <c r="B3299"/>
      <c r="F3299" s="87"/>
      <c r="H3299" s="87"/>
      <c r="I3299" s="89"/>
    </row>
    <row r="3300" spans="1:9">
      <c r="A3300" s="21"/>
      <c r="B3300"/>
      <c r="F3300" s="87"/>
      <c r="H3300" s="87"/>
      <c r="I3300" s="89"/>
    </row>
    <row r="3301" spans="1:9">
      <c r="A3301" s="21"/>
      <c r="B3301"/>
      <c r="F3301" s="87"/>
      <c r="H3301" s="87"/>
      <c r="I3301" s="89"/>
    </row>
    <row r="3302" spans="1:9">
      <c r="A3302" s="21"/>
      <c r="B3302"/>
      <c r="F3302" s="87"/>
      <c r="H3302" s="87"/>
      <c r="I3302" s="89"/>
    </row>
    <row r="3303" spans="1:9">
      <c r="A3303" s="21"/>
      <c r="B3303"/>
      <c r="F3303" s="87"/>
      <c r="H3303" s="87"/>
      <c r="I3303" s="89"/>
    </row>
    <row r="3304" spans="1:9">
      <c r="A3304" s="21"/>
      <c r="B3304"/>
      <c r="F3304" s="87"/>
      <c r="H3304" s="87"/>
      <c r="I3304" s="89"/>
    </row>
    <row r="3305" spans="1:9">
      <c r="A3305" s="21"/>
      <c r="B3305"/>
      <c r="F3305" s="87"/>
      <c r="H3305" s="87"/>
      <c r="I3305" s="89"/>
    </row>
    <row r="3306" spans="1:9">
      <c r="A3306" s="21"/>
      <c r="B3306"/>
      <c r="F3306" s="87"/>
      <c r="H3306" s="87"/>
      <c r="I3306" s="89"/>
    </row>
    <row r="3307" spans="1:9">
      <c r="A3307" s="21"/>
      <c r="B3307"/>
      <c r="F3307" s="87"/>
      <c r="H3307" s="87"/>
      <c r="I3307" s="89"/>
    </row>
    <row r="3308" spans="1:9">
      <c r="A3308" s="21"/>
      <c r="B3308"/>
      <c r="F3308" s="87"/>
      <c r="H3308" s="87"/>
      <c r="I3308" s="89"/>
    </row>
    <row r="3309" spans="1:9">
      <c r="A3309" s="21"/>
      <c r="B3309"/>
      <c r="F3309" s="87"/>
      <c r="H3309" s="87"/>
      <c r="I3309" s="89"/>
    </row>
    <row r="3310" spans="1:9">
      <c r="A3310" s="21"/>
      <c r="B3310"/>
      <c r="F3310" s="87"/>
      <c r="H3310" s="87"/>
      <c r="I3310" s="89"/>
    </row>
    <row r="3311" spans="1:9">
      <c r="A3311" s="21"/>
      <c r="B3311"/>
      <c r="F3311" s="87"/>
      <c r="H3311" s="87"/>
      <c r="I3311" s="89"/>
    </row>
    <row r="3312" spans="1:9">
      <c r="A3312" s="21"/>
      <c r="B3312"/>
      <c r="F3312" s="87"/>
      <c r="H3312" s="87"/>
      <c r="I3312" s="89"/>
    </row>
    <row r="3313" spans="1:9">
      <c r="A3313" s="21"/>
      <c r="B3313"/>
      <c r="F3313" s="87"/>
      <c r="H3313" s="87"/>
      <c r="I3313" s="89"/>
    </row>
    <row r="3314" spans="1:9">
      <c r="A3314" s="21"/>
      <c r="B3314"/>
      <c r="F3314" s="87"/>
      <c r="H3314" s="87"/>
      <c r="I3314" s="89"/>
    </row>
    <row r="3315" spans="1:9">
      <c r="A3315" s="21"/>
      <c r="B3315"/>
      <c r="F3315" s="87"/>
      <c r="H3315" s="87"/>
      <c r="I3315" s="89"/>
    </row>
    <row r="3316" spans="1:9">
      <c r="A3316" s="21"/>
      <c r="B3316"/>
      <c r="F3316" s="87"/>
      <c r="H3316" s="87"/>
      <c r="I3316" s="89"/>
    </row>
    <row r="3317" spans="1:9">
      <c r="A3317" s="21"/>
      <c r="B3317"/>
      <c r="F3317" s="87"/>
      <c r="H3317" s="87"/>
      <c r="I3317" s="89"/>
    </row>
    <row r="3318" spans="1:9">
      <c r="A3318" s="21"/>
      <c r="B3318"/>
      <c r="F3318" s="87"/>
      <c r="H3318" s="87"/>
      <c r="I3318" s="89"/>
    </row>
    <row r="3319" spans="1:9">
      <c r="A3319" s="21"/>
      <c r="B3319"/>
      <c r="F3319" s="87"/>
      <c r="H3319" s="87"/>
      <c r="I3319" s="89"/>
    </row>
    <row r="3320" spans="1:9">
      <c r="A3320" s="21"/>
      <c r="B3320"/>
      <c r="F3320" s="87"/>
      <c r="H3320" s="87"/>
      <c r="I3320" s="89"/>
    </row>
    <row r="3321" spans="1:9">
      <c r="A3321" s="21"/>
      <c r="B3321"/>
      <c r="F3321" s="87"/>
      <c r="H3321" s="87"/>
      <c r="I3321" s="89"/>
    </row>
    <row r="3322" spans="1:9">
      <c r="A3322" s="21"/>
      <c r="B3322"/>
      <c r="F3322" s="87"/>
      <c r="H3322" s="87"/>
      <c r="I3322" s="89"/>
    </row>
    <row r="3323" spans="1:9">
      <c r="A3323" s="21"/>
      <c r="B3323"/>
      <c r="F3323" s="87"/>
      <c r="H3323" s="87"/>
      <c r="I3323" s="89"/>
    </row>
    <row r="3324" spans="1:9">
      <c r="A3324" s="21"/>
      <c r="B3324"/>
      <c r="F3324" s="87"/>
      <c r="H3324" s="87"/>
      <c r="I3324" s="89"/>
    </row>
    <row r="3325" spans="1:9">
      <c r="A3325" s="21"/>
      <c r="B3325"/>
      <c r="F3325" s="87"/>
      <c r="H3325" s="87"/>
      <c r="I3325" s="89"/>
    </row>
    <row r="3326" spans="1:9">
      <c r="A3326" s="21"/>
      <c r="B3326"/>
      <c r="F3326" s="87"/>
      <c r="H3326" s="87"/>
      <c r="I3326" s="89"/>
    </row>
    <row r="3327" spans="1:9">
      <c r="A3327" s="21"/>
      <c r="B3327"/>
      <c r="F3327" s="87"/>
      <c r="H3327" s="87"/>
      <c r="I3327" s="89"/>
    </row>
    <row r="3328" spans="1:9">
      <c r="A3328" s="21"/>
      <c r="B3328"/>
      <c r="F3328" s="87"/>
      <c r="H3328" s="87"/>
      <c r="I3328" s="89"/>
    </row>
    <row r="3329" spans="1:9">
      <c r="A3329" s="21"/>
      <c r="B3329"/>
      <c r="F3329" s="87"/>
      <c r="H3329" s="87"/>
      <c r="I3329" s="89"/>
    </row>
    <row r="3330" spans="1:9">
      <c r="A3330" s="21"/>
      <c r="B3330"/>
      <c r="F3330" s="87"/>
      <c r="H3330" s="87"/>
      <c r="I3330" s="89"/>
    </row>
    <row r="3331" spans="1:9">
      <c r="A3331" s="21"/>
      <c r="B3331"/>
      <c r="F3331" s="87"/>
      <c r="H3331" s="87"/>
      <c r="I3331" s="89"/>
    </row>
    <row r="3332" spans="1:9">
      <c r="A3332" s="21"/>
      <c r="B3332"/>
      <c r="F3332" s="87"/>
      <c r="H3332" s="87"/>
      <c r="I3332" s="89"/>
    </row>
    <row r="3333" spans="1:9">
      <c r="A3333" s="21"/>
      <c r="B3333"/>
      <c r="F3333" s="87"/>
      <c r="H3333" s="87"/>
      <c r="I3333" s="89"/>
    </row>
    <row r="3334" spans="1:9">
      <c r="A3334" s="21"/>
      <c r="B3334"/>
      <c r="F3334" s="87"/>
      <c r="H3334" s="87"/>
      <c r="I3334" s="89"/>
    </row>
    <row r="3335" spans="1:9">
      <c r="A3335" s="21"/>
      <c r="B3335"/>
      <c r="F3335" s="87"/>
      <c r="H3335" s="87"/>
      <c r="I3335" s="89"/>
    </row>
    <row r="3336" spans="1:9">
      <c r="A3336" s="21"/>
      <c r="B3336"/>
      <c r="F3336" s="87"/>
      <c r="H3336" s="87"/>
      <c r="I3336" s="89"/>
    </row>
    <row r="3337" spans="1:9">
      <c r="A3337" s="21"/>
      <c r="B3337"/>
      <c r="F3337" s="87"/>
      <c r="H3337" s="87"/>
      <c r="I3337" s="89"/>
    </row>
    <row r="3338" spans="1:9">
      <c r="A3338" s="21"/>
      <c r="B3338"/>
      <c r="F3338" s="87"/>
      <c r="H3338" s="87"/>
      <c r="I3338" s="89"/>
    </row>
    <row r="3339" spans="1:9">
      <c r="A3339" s="21"/>
      <c r="B3339"/>
      <c r="F3339" s="87"/>
      <c r="H3339" s="87"/>
      <c r="I3339" s="89"/>
    </row>
    <row r="3340" spans="1:9">
      <c r="A3340" s="21"/>
      <c r="B3340"/>
      <c r="F3340" s="87"/>
      <c r="H3340" s="87"/>
      <c r="I3340" s="89"/>
    </row>
    <row r="3341" spans="1:9">
      <c r="A3341" s="21"/>
      <c r="B3341"/>
      <c r="F3341" s="87"/>
      <c r="H3341" s="87"/>
      <c r="I3341" s="89"/>
    </row>
    <row r="3342" spans="1:9">
      <c r="A3342" s="21"/>
      <c r="B3342"/>
      <c r="F3342" s="87"/>
      <c r="H3342" s="87"/>
      <c r="I3342" s="89"/>
    </row>
    <row r="3343" spans="1:9">
      <c r="A3343" s="21"/>
      <c r="B3343"/>
      <c r="F3343" s="87"/>
      <c r="H3343" s="87"/>
      <c r="I3343" s="89"/>
    </row>
    <row r="3344" spans="1:9">
      <c r="A3344" s="21"/>
      <c r="B3344"/>
      <c r="F3344" s="87"/>
      <c r="H3344" s="87"/>
      <c r="I3344" s="89"/>
    </row>
    <row r="3345" spans="1:9">
      <c r="A3345" s="21"/>
      <c r="B3345"/>
      <c r="F3345" s="87"/>
      <c r="H3345" s="87"/>
      <c r="I3345" s="89"/>
    </row>
    <row r="3346" spans="1:9">
      <c r="A3346" s="21"/>
      <c r="B3346"/>
      <c r="F3346" s="87"/>
      <c r="H3346" s="87"/>
      <c r="I3346" s="89"/>
    </row>
    <row r="3347" spans="1:9">
      <c r="A3347" s="21"/>
      <c r="B3347"/>
      <c r="F3347" s="87"/>
      <c r="H3347" s="87"/>
      <c r="I3347" s="89"/>
    </row>
    <row r="3348" spans="1:9">
      <c r="A3348" s="21"/>
      <c r="B3348"/>
      <c r="F3348" s="87"/>
      <c r="H3348" s="87"/>
      <c r="I3348" s="89"/>
    </row>
    <row r="3349" spans="1:9">
      <c r="A3349" s="21"/>
      <c r="B3349"/>
      <c r="F3349" s="87"/>
      <c r="H3349" s="87"/>
      <c r="I3349" s="89"/>
    </row>
    <row r="3350" spans="1:9">
      <c r="A3350" s="21"/>
      <c r="B3350"/>
      <c r="F3350" s="87"/>
      <c r="H3350" s="87"/>
      <c r="I3350" s="89"/>
    </row>
    <row r="3351" spans="1:9">
      <c r="A3351" s="21"/>
      <c r="B3351"/>
      <c r="F3351" s="87"/>
      <c r="H3351" s="87"/>
      <c r="I3351" s="89"/>
    </row>
    <row r="3352" spans="1:9">
      <c r="A3352" s="21"/>
      <c r="B3352"/>
      <c r="F3352" s="87"/>
      <c r="H3352" s="87"/>
      <c r="I3352" s="89"/>
    </row>
    <row r="3353" spans="1:9">
      <c r="A3353" s="21"/>
      <c r="B3353"/>
      <c r="F3353" s="87"/>
      <c r="H3353" s="87"/>
      <c r="I3353" s="89"/>
    </row>
    <row r="3354" spans="1:9">
      <c r="A3354" s="21"/>
      <c r="B3354"/>
      <c r="F3354" s="87"/>
      <c r="H3354" s="87"/>
      <c r="I3354" s="89"/>
    </row>
    <row r="3355" spans="1:9">
      <c r="A3355" s="21"/>
      <c r="B3355"/>
      <c r="F3355" s="87"/>
      <c r="H3355" s="87"/>
      <c r="I3355" s="89"/>
    </row>
    <row r="3356" spans="1:9">
      <c r="A3356" s="21"/>
      <c r="B3356"/>
      <c r="F3356" s="87"/>
      <c r="H3356" s="87"/>
      <c r="I3356" s="89"/>
    </row>
    <row r="3357" spans="1:9">
      <c r="A3357" s="21"/>
      <c r="B3357"/>
      <c r="F3357" s="87"/>
      <c r="H3357" s="87"/>
      <c r="I3357" s="89"/>
    </row>
    <row r="3358" spans="1:9">
      <c r="A3358" s="21"/>
      <c r="B3358"/>
      <c r="F3358" s="87"/>
      <c r="H3358" s="87"/>
      <c r="I3358" s="89"/>
    </row>
    <row r="3359" spans="1:9">
      <c r="A3359" s="21"/>
      <c r="B3359"/>
      <c r="F3359" s="87"/>
      <c r="H3359" s="87"/>
      <c r="I3359" s="89"/>
    </row>
    <row r="3360" spans="1:9">
      <c r="A3360" s="21"/>
      <c r="B3360"/>
      <c r="F3360" s="87"/>
      <c r="H3360" s="87"/>
      <c r="I3360" s="89"/>
    </row>
    <row r="3361" spans="1:9">
      <c r="A3361" s="21"/>
      <c r="B3361"/>
      <c r="F3361" s="87"/>
      <c r="H3361" s="87"/>
      <c r="I3361" s="89"/>
    </row>
    <row r="3362" spans="1:9">
      <c r="A3362" s="21"/>
      <c r="B3362"/>
      <c r="F3362" s="87"/>
      <c r="H3362" s="87"/>
      <c r="I3362" s="89"/>
    </row>
    <row r="3363" spans="1:9">
      <c r="A3363" s="21"/>
      <c r="B3363"/>
      <c r="F3363" s="87"/>
      <c r="H3363" s="87"/>
      <c r="I3363" s="89"/>
    </row>
    <row r="3364" spans="1:9">
      <c r="A3364" s="21"/>
      <c r="B3364"/>
      <c r="F3364" s="87"/>
      <c r="H3364" s="87"/>
      <c r="I3364" s="89"/>
    </row>
    <row r="3365" spans="1:9">
      <c r="A3365" s="21"/>
      <c r="B3365"/>
      <c r="F3365" s="87"/>
      <c r="H3365" s="87"/>
      <c r="I3365" s="89"/>
    </row>
    <row r="3366" spans="1:9">
      <c r="A3366" s="21"/>
      <c r="B3366"/>
      <c r="F3366" s="87"/>
      <c r="H3366" s="87"/>
      <c r="I3366" s="89"/>
    </row>
    <row r="3367" spans="1:9">
      <c r="A3367" s="21"/>
      <c r="B3367"/>
      <c r="F3367" s="87"/>
      <c r="H3367" s="87"/>
      <c r="I3367" s="89"/>
    </row>
    <row r="3368" spans="1:9">
      <c r="A3368" s="21"/>
      <c r="B3368"/>
      <c r="F3368" s="87"/>
      <c r="H3368" s="87"/>
      <c r="I3368" s="89"/>
    </row>
    <row r="3369" spans="1:9">
      <c r="A3369" s="21"/>
      <c r="B3369"/>
      <c r="F3369" s="87"/>
      <c r="H3369" s="87"/>
      <c r="I3369" s="89"/>
    </row>
    <row r="3370" spans="1:9">
      <c r="A3370" s="21"/>
      <c r="B3370"/>
      <c r="F3370" s="87"/>
      <c r="H3370" s="87"/>
      <c r="I3370" s="89"/>
    </row>
    <row r="3371" spans="1:9">
      <c r="A3371" s="21"/>
      <c r="B3371"/>
      <c r="F3371" s="87"/>
      <c r="H3371" s="87"/>
      <c r="I3371" s="89"/>
    </row>
    <row r="3372" spans="1:9">
      <c r="A3372" s="21"/>
      <c r="B3372"/>
      <c r="F3372" s="87"/>
      <c r="H3372" s="87"/>
      <c r="I3372" s="89"/>
    </row>
    <row r="3373" spans="1:9">
      <c r="A3373" s="21"/>
      <c r="B3373"/>
      <c r="F3373" s="87"/>
      <c r="H3373" s="87"/>
      <c r="I3373" s="89"/>
    </row>
    <row r="3374" spans="1:9">
      <c r="A3374" s="21"/>
      <c r="B3374"/>
      <c r="F3374" s="87"/>
      <c r="H3374" s="87"/>
      <c r="I3374" s="89"/>
    </row>
    <row r="3375" spans="1:9">
      <c r="A3375" s="21"/>
      <c r="B3375"/>
      <c r="F3375" s="87"/>
      <c r="H3375" s="87"/>
      <c r="I3375" s="89"/>
    </row>
    <row r="3376" spans="1:9">
      <c r="A3376" s="21"/>
      <c r="B3376"/>
      <c r="F3376" s="87"/>
      <c r="H3376" s="87"/>
      <c r="I3376" s="89"/>
    </row>
    <row r="3377" spans="1:9">
      <c r="A3377" s="21"/>
      <c r="B3377"/>
      <c r="F3377" s="87"/>
      <c r="H3377" s="87"/>
      <c r="I3377" s="89"/>
    </row>
    <row r="3378" spans="1:9">
      <c r="A3378" s="21"/>
      <c r="B3378"/>
      <c r="F3378" s="87"/>
      <c r="H3378" s="87"/>
      <c r="I3378" s="89"/>
    </row>
    <row r="3379" spans="1:9">
      <c r="A3379" s="21"/>
      <c r="B3379"/>
      <c r="F3379" s="87"/>
      <c r="H3379" s="87"/>
      <c r="I3379" s="89"/>
    </row>
    <row r="3380" spans="1:9">
      <c r="A3380" s="21"/>
      <c r="B3380"/>
      <c r="F3380" s="87"/>
      <c r="H3380" s="87"/>
      <c r="I3380" s="89"/>
    </row>
    <row r="3381" spans="1:9">
      <c r="A3381" s="21"/>
      <c r="B3381"/>
      <c r="F3381" s="87"/>
      <c r="H3381" s="87"/>
      <c r="I3381" s="89"/>
    </row>
    <row r="3382" spans="1:9">
      <c r="A3382" s="21"/>
      <c r="B3382"/>
      <c r="F3382" s="87"/>
      <c r="H3382" s="87"/>
      <c r="I3382" s="89"/>
    </row>
    <row r="3383" spans="1:9">
      <c r="A3383" s="21"/>
      <c r="B3383"/>
      <c r="F3383" s="87"/>
      <c r="H3383" s="87"/>
      <c r="I3383" s="89"/>
    </row>
    <row r="3384" spans="1:9">
      <c r="A3384" s="21"/>
      <c r="B3384"/>
      <c r="F3384" s="87"/>
      <c r="H3384" s="87"/>
      <c r="I3384" s="89"/>
    </row>
    <row r="3385" spans="1:9">
      <c r="A3385" s="21"/>
      <c r="B3385"/>
      <c r="F3385" s="87"/>
      <c r="H3385" s="87"/>
      <c r="I3385" s="89"/>
    </row>
    <row r="3386" spans="1:9">
      <c r="A3386" s="21"/>
      <c r="B3386"/>
      <c r="F3386" s="87"/>
      <c r="H3386" s="87"/>
      <c r="I3386" s="89"/>
    </row>
    <row r="3387" spans="1:9">
      <c r="A3387" s="21"/>
      <c r="B3387"/>
      <c r="F3387" s="87"/>
      <c r="H3387" s="87"/>
      <c r="I3387" s="89"/>
    </row>
    <row r="3388" spans="1:9">
      <c r="A3388" s="21"/>
      <c r="B3388"/>
      <c r="F3388" s="87"/>
      <c r="H3388" s="87"/>
      <c r="I3388" s="89"/>
    </row>
    <row r="3389" spans="1:9">
      <c r="A3389" s="21"/>
      <c r="B3389"/>
      <c r="F3389" s="87"/>
      <c r="H3389" s="87"/>
      <c r="I3389" s="89"/>
    </row>
    <row r="3390" spans="1:9">
      <c r="A3390" s="21"/>
      <c r="B3390"/>
      <c r="F3390" s="87"/>
      <c r="H3390" s="87"/>
      <c r="I3390" s="89"/>
    </row>
    <row r="3391" spans="1:9">
      <c r="A3391" s="21"/>
      <c r="B3391"/>
      <c r="F3391" s="87"/>
      <c r="H3391" s="87"/>
      <c r="I3391" s="89"/>
    </row>
    <row r="3392" spans="1:9">
      <c r="A3392" s="21"/>
      <c r="B3392"/>
      <c r="F3392" s="87"/>
      <c r="H3392" s="87"/>
      <c r="I3392" s="89"/>
    </row>
    <row r="3393" spans="1:9">
      <c r="A3393" s="21"/>
      <c r="B3393"/>
      <c r="F3393" s="87"/>
      <c r="H3393" s="87"/>
      <c r="I3393" s="89"/>
    </row>
    <row r="3394" spans="1:9">
      <c r="A3394" s="21"/>
      <c r="B3394"/>
      <c r="F3394" s="87"/>
      <c r="H3394" s="87"/>
      <c r="I3394" s="89"/>
    </row>
    <row r="3395" spans="1:9">
      <c r="A3395" s="21"/>
      <c r="B3395"/>
      <c r="F3395" s="87"/>
      <c r="H3395" s="87"/>
      <c r="I3395" s="89"/>
    </row>
    <row r="3396" spans="1:9">
      <c r="A3396" s="21"/>
      <c r="B3396"/>
      <c r="F3396" s="87"/>
      <c r="H3396" s="87"/>
      <c r="I3396" s="89"/>
    </row>
    <row r="3397" spans="1:9">
      <c r="A3397" s="21"/>
      <c r="B3397"/>
      <c r="F3397" s="87"/>
      <c r="H3397" s="87"/>
      <c r="I3397" s="89"/>
    </row>
    <row r="3398" spans="1:9">
      <c r="A3398" s="21"/>
      <c r="B3398"/>
      <c r="F3398" s="87"/>
      <c r="H3398" s="87"/>
      <c r="I3398" s="89"/>
    </row>
    <row r="3399" spans="1:9">
      <c r="A3399" s="21"/>
      <c r="B3399"/>
      <c r="F3399" s="87"/>
      <c r="H3399" s="87"/>
      <c r="I3399" s="89"/>
    </row>
    <row r="3400" spans="1:9">
      <c r="A3400" s="21"/>
      <c r="B3400"/>
      <c r="F3400" s="87"/>
      <c r="H3400" s="87"/>
      <c r="I3400" s="89"/>
    </row>
    <row r="3401" spans="1:9">
      <c r="A3401" s="21"/>
      <c r="B3401"/>
      <c r="F3401" s="87"/>
      <c r="H3401" s="87"/>
      <c r="I3401" s="89"/>
    </row>
    <row r="3402" spans="1:9">
      <c r="A3402" s="21"/>
      <c r="B3402"/>
      <c r="F3402" s="87"/>
      <c r="H3402" s="87"/>
      <c r="I3402" s="89"/>
    </row>
    <row r="3403" spans="1:9">
      <c r="A3403" s="21"/>
      <c r="B3403"/>
      <c r="F3403" s="87"/>
      <c r="H3403" s="87"/>
      <c r="I3403" s="89"/>
    </row>
    <row r="3404" spans="1:9">
      <c r="A3404" s="21"/>
      <c r="B3404"/>
      <c r="F3404" s="87"/>
      <c r="H3404" s="87"/>
      <c r="I3404" s="89"/>
    </row>
    <row r="3405" spans="1:9">
      <c r="A3405" s="21"/>
      <c r="B3405"/>
      <c r="F3405" s="87"/>
      <c r="H3405" s="87"/>
      <c r="I3405" s="89"/>
    </row>
    <row r="3406" spans="1:9">
      <c r="A3406" s="21"/>
      <c r="B3406"/>
      <c r="F3406" s="87"/>
      <c r="H3406" s="87"/>
      <c r="I3406" s="89"/>
    </row>
    <row r="3407" spans="1:9">
      <c r="A3407" s="21"/>
      <c r="B3407"/>
      <c r="F3407" s="87"/>
      <c r="H3407" s="87"/>
      <c r="I3407" s="89"/>
    </row>
    <row r="3408" spans="1:9">
      <c r="A3408" s="21"/>
      <c r="B3408"/>
      <c r="F3408" s="87"/>
      <c r="H3408" s="87"/>
      <c r="I3408" s="89"/>
    </row>
    <row r="3409" spans="1:9">
      <c r="A3409" s="21"/>
      <c r="B3409"/>
      <c r="F3409" s="87"/>
      <c r="H3409" s="87"/>
      <c r="I3409" s="89"/>
    </row>
    <row r="3410" spans="1:9">
      <c r="A3410" s="21"/>
      <c r="B3410"/>
      <c r="F3410" s="87"/>
      <c r="H3410" s="87"/>
      <c r="I3410" s="89"/>
    </row>
    <row r="3411" spans="1:9">
      <c r="A3411" s="21"/>
      <c r="B3411"/>
      <c r="F3411" s="87"/>
      <c r="H3411" s="87"/>
      <c r="I3411" s="89"/>
    </row>
    <row r="3412" spans="1:9">
      <c r="A3412" s="21"/>
      <c r="B3412"/>
      <c r="F3412" s="87"/>
      <c r="H3412" s="87"/>
      <c r="I3412" s="89"/>
    </row>
    <row r="3413" spans="1:9">
      <c r="A3413" s="21"/>
      <c r="B3413"/>
      <c r="F3413" s="87"/>
      <c r="H3413" s="87"/>
      <c r="I3413" s="89"/>
    </row>
    <row r="3414" spans="1:9">
      <c r="A3414" s="21"/>
      <c r="B3414"/>
      <c r="F3414" s="87"/>
      <c r="H3414" s="87"/>
      <c r="I3414" s="89"/>
    </row>
    <row r="3415" spans="1:9">
      <c r="A3415" s="21"/>
      <c r="B3415"/>
      <c r="F3415" s="87"/>
      <c r="H3415" s="87"/>
      <c r="I3415" s="89"/>
    </row>
    <row r="3416" spans="1:9">
      <c r="A3416" s="21"/>
      <c r="B3416"/>
      <c r="F3416" s="87"/>
      <c r="H3416" s="87"/>
      <c r="I3416" s="89"/>
    </row>
    <row r="3417" spans="1:9">
      <c r="A3417" s="21"/>
      <c r="B3417"/>
      <c r="F3417" s="87"/>
      <c r="H3417" s="87"/>
      <c r="I3417" s="89"/>
    </row>
    <row r="3418" spans="1:9">
      <c r="A3418" s="21"/>
      <c r="B3418"/>
      <c r="F3418" s="87"/>
      <c r="H3418" s="87"/>
      <c r="I3418" s="89"/>
    </row>
    <row r="3419" spans="1:9">
      <c r="A3419" s="21"/>
      <c r="B3419"/>
      <c r="F3419" s="87"/>
      <c r="H3419" s="87"/>
      <c r="I3419" s="89"/>
    </row>
    <row r="3420" spans="1:9">
      <c r="A3420" s="21"/>
      <c r="B3420"/>
      <c r="F3420" s="87"/>
      <c r="H3420" s="87"/>
      <c r="I3420" s="89"/>
    </row>
    <row r="3421" spans="1:9">
      <c r="A3421" s="21"/>
      <c r="B3421"/>
      <c r="F3421" s="87"/>
      <c r="H3421" s="87"/>
      <c r="I3421" s="89"/>
    </row>
    <row r="3422" spans="1:9">
      <c r="A3422" s="21"/>
      <c r="B3422"/>
      <c r="F3422" s="87"/>
      <c r="H3422" s="87"/>
      <c r="I3422" s="89"/>
    </row>
    <row r="3423" spans="1:9">
      <c r="A3423" s="21"/>
      <c r="B3423"/>
      <c r="F3423" s="87"/>
      <c r="H3423" s="87"/>
      <c r="I3423" s="89"/>
    </row>
    <row r="3424" spans="1:9">
      <c r="A3424" s="21"/>
      <c r="B3424"/>
      <c r="F3424" s="87"/>
      <c r="H3424" s="87"/>
      <c r="I3424" s="89"/>
    </row>
    <row r="3425" spans="1:9">
      <c r="A3425" s="21"/>
      <c r="B3425"/>
      <c r="F3425" s="87"/>
      <c r="H3425" s="87"/>
      <c r="I3425" s="89"/>
    </row>
    <row r="3426" spans="1:9">
      <c r="A3426" s="21"/>
      <c r="B3426"/>
      <c r="F3426" s="87"/>
      <c r="H3426" s="87"/>
      <c r="I3426" s="89"/>
    </row>
    <row r="3427" spans="1:9">
      <c r="A3427" s="21"/>
      <c r="B3427"/>
      <c r="F3427" s="87"/>
      <c r="H3427" s="87"/>
      <c r="I3427" s="89"/>
    </row>
    <row r="3428" spans="1:9">
      <c r="A3428" s="21"/>
      <c r="B3428"/>
      <c r="F3428" s="87"/>
      <c r="H3428" s="87"/>
      <c r="I3428" s="89"/>
    </row>
    <row r="3429" spans="1:9">
      <c r="A3429" s="21"/>
      <c r="B3429"/>
      <c r="F3429" s="87"/>
      <c r="H3429" s="87"/>
      <c r="I3429" s="89"/>
    </row>
    <row r="3430" spans="1:9">
      <c r="A3430" s="21"/>
      <c r="B3430"/>
      <c r="F3430" s="87"/>
      <c r="H3430" s="87"/>
      <c r="I3430" s="89"/>
    </row>
    <row r="3431" spans="1:9">
      <c r="A3431" s="21"/>
      <c r="B3431"/>
      <c r="F3431" s="87"/>
      <c r="H3431" s="87"/>
      <c r="I3431" s="89"/>
    </row>
    <row r="3432" spans="1:9">
      <c r="A3432" s="21"/>
      <c r="B3432"/>
      <c r="F3432" s="87"/>
      <c r="H3432" s="87"/>
      <c r="I3432" s="89"/>
    </row>
    <row r="3433" spans="1:9">
      <c r="A3433" s="21"/>
      <c r="B3433"/>
      <c r="F3433" s="87"/>
      <c r="H3433" s="87"/>
      <c r="I3433" s="89"/>
    </row>
    <row r="3434" spans="1:9">
      <c r="A3434" s="21"/>
      <c r="B3434"/>
      <c r="F3434" s="87"/>
      <c r="H3434" s="87"/>
      <c r="I3434" s="89"/>
    </row>
    <row r="3435" spans="1:9">
      <c r="A3435" s="21"/>
      <c r="B3435"/>
      <c r="F3435" s="87"/>
      <c r="H3435" s="87"/>
      <c r="I3435" s="89"/>
    </row>
    <row r="3436" spans="1:9">
      <c r="A3436" s="21"/>
      <c r="B3436"/>
      <c r="F3436" s="87"/>
      <c r="H3436" s="87"/>
      <c r="I3436" s="89"/>
    </row>
    <row r="3437" spans="1:9">
      <c r="A3437" s="21"/>
      <c r="B3437"/>
      <c r="F3437" s="87"/>
      <c r="H3437" s="87"/>
      <c r="I3437" s="89"/>
    </row>
    <row r="3438" spans="1:9">
      <c r="A3438" s="21"/>
      <c r="B3438"/>
      <c r="F3438" s="87"/>
      <c r="H3438" s="87"/>
      <c r="I3438" s="89"/>
    </row>
    <row r="3439" spans="1:9">
      <c r="A3439" s="21"/>
      <c r="B3439"/>
      <c r="F3439" s="87"/>
      <c r="H3439" s="87"/>
      <c r="I3439" s="89"/>
    </row>
    <row r="3440" spans="1:9">
      <c r="A3440" s="21"/>
      <c r="B3440"/>
      <c r="F3440" s="87"/>
      <c r="H3440" s="87"/>
      <c r="I3440" s="89"/>
    </row>
    <row r="3441" spans="1:9">
      <c r="A3441" s="21"/>
      <c r="B3441"/>
      <c r="F3441" s="87"/>
      <c r="H3441" s="87"/>
      <c r="I3441" s="89"/>
    </row>
    <row r="3442" spans="1:9">
      <c r="A3442" s="21"/>
      <c r="B3442"/>
      <c r="F3442" s="87"/>
      <c r="H3442" s="87"/>
      <c r="I3442" s="89"/>
    </row>
    <row r="3443" spans="1:9">
      <c r="A3443" s="21"/>
      <c r="B3443"/>
      <c r="F3443" s="87"/>
      <c r="H3443" s="87"/>
      <c r="I3443" s="89"/>
    </row>
    <row r="3444" spans="1:9">
      <c r="A3444" s="21"/>
      <c r="B3444"/>
      <c r="F3444" s="87"/>
      <c r="H3444" s="87"/>
      <c r="I3444" s="89"/>
    </row>
    <row r="3445" spans="1:9">
      <c r="A3445" s="21"/>
      <c r="B3445"/>
      <c r="F3445" s="87"/>
      <c r="H3445" s="87"/>
      <c r="I3445" s="89"/>
    </row>
    <row r="3446" spans="1:9">
      <c r="A3446" s="21"/>
      <c r="B3446"/>
      <c r="F3446" s="87"/>
      <c r="H3446" s="87"/>
      <c r="I3446" s="89"/>
    </row>
    <row r="3447" spans="1:9">
      <c r="A3447" s="21"/>
      <c r="B3447"/>
      <c r="F3447" s="87"/>
      <c r="H3447" s="87"/>
      <c r="I3447" s="89"/>
    </row>
    <row r="3448" spans="1:9">
      <c r="A3448" s="21"/>
      <c r="B3448"/>
      <c r="F3448" s="87"/>
      <c r="H3448" s="87"/>
      <c r="I3448" s="89"/>
    </row>
    <row r="3449" spans="1:9">
      <c r="A3449" s="21"/>
      <c r="B3449"/>
      <c r="F3449" s="87"/>
      <c r="H3449" s="87"/>
      <c r="I3449" s="89"/>
    </row>
    <row r="3450" spans="1:9">
      <c r="A3450" s="21"/>
      <c r="B3450"/>
      <c r="F3450" s="87"/>
      <c r="H3450" s="87"/>
      <c r="I3450" s="89"/>
    </row>
    <row r="3451" spans="1:9">
      <c r="A3451" s="21"/>
      <c r="B3451"/>
      <c r="F3451" s="87"/>
      <c r="H3451" s="87"/>
      <c r="I3451" s="89"/>
    </row>
    <row r="3452" spans="1:9">
      <c r="A3452" s="21"/>
      <c r="B3452"/>
      <c r="F3452" s="87"/>
      <c r="H3452" s="87"/>
      <c r="I3452" s="89"/>
    </row>
    <row r="3453" spans="1:9">
      <c r="A3453" s="21"/>
      <c r="B3453"/>
      <c r="F3453" s="87"/>
      <c r="H3453" s="87"/>
      <c r="I3453" s="89"/>
    </row>
    <row r="3454" spans="1:9">
      <c r="A3454" s="21"/>
      <c r="B3454"/>
      <c r="F3454" s="87"/>
      <c r="H3454" s="87"/>
      <c r="I3454" s="89"/>
    </row>
    <row r="3455" spans="1:9">
      <c r="A3455" s="21"/>
      <c r="B3455"/>
      <c r="F3455" s="87"/>
      <c r="H3455" s="87"/>
      <c r="I3455" s="89"/>
    </row>
    <row r="3456" spans="1:9">
      <c r="A3456" s="21"/>
      <c r="B3456"/>
      <c r="F3456" s="87"/>
      <c r="H3456" s="87"/>
      <c r="I3456" s="89"/>
    </row>
    <row r="3457" spans="1:9">
      <c r="A3457" s="21"/>
      <c r="B3457"/>
      <c r="F3457" s="87"/>
      <c r="H3457" s="87"/>
      <c r="I3457" s="89"/>
    </row>
    <row r="3458" spans="1:9">
      <c r="A3458" s="21"/>
      <c r="B3458"/>
      <c r="F3458" s="87"/>
      <c r="H3458" s="87"/>
      <c r="I3458" s="89"/>
    </row>
    <row r="3459" spans="1:9">
      <c r="A3459" s="21"/>
      <c r="B3459"/>
      <c r="F3459" s="87"/>
      <c r="H3459" s="87"/>
      <c r="I3459" s="89"/>
    </row>
    <row r="3460" spans="1:9">
      <c r="A3460" s="21"/>
      <c r="B3460"/>
      <c r="F3460" s="87"/>
      <c r="H3460" s="87"/>
      <c r="I3460" s="89"/>
    </row>
    <row r="3461" spans="1:9">
      <c r="A3461" s="21"/>
      <c r="B3461"/>
      <c r="F3461" s="87"/>
      <c r="H3461" s="87"/>
      <c r="I3461" s="89"/>
    </row>
    <row r="3462" spans="1:9">
      <c r="A3462" s="21"/>
      <c r="B3462"/>
      <c r="F3462" s="87"/>
      <c r="H3462" s="87"/>
      <c r="I3462" s="89"/>
    </row>
    <row r="3463" spans="1:9">
      <c r="A3463" s="21"/>
      <c r="B3463"/>
      <c r="F3463" s="87"/>
      <c r="H3463" s="87"/>
      <c r="I3463" s="89"/>
    </row>
    <row r="3464" spans="1:9">
      <c r="A3464" s="21"/>
      <c r="B3464"/>
      <c r="F3464" s="87"/>
      <c r="H3464" s="87"/>
      <c r="I3464" s="89"/>
    </row>
    <row r="3465" spans="1:9">
      <c r="A3465" s="21"/>
      <c r="B3465"/>
      <c r="F3465" s="87"/>
      <c r="H3465" s="87"/>
      <c r="I3465" s="89"/>
    </row>
    <row r="3466" spans="1:9">
      <c r="A3466" s="21"/>
      <c r="B3466"/>
      <c r="F3466" s="87"/>
      <c r="H3466" s="87"/>
      <c r="I3466" s="89"/>
    </row>
    <row r="3467" spans="1:9">
      <c r="A3467" s="21"/>
      <c r="B3467"/>
      <c r="F3467" s="87"/>
      <c r="H3467" s="87"/>
      <c r="I3467" s="89"/>
    </row>
    <row r="3468" spans="1:9">
      <c r="A3468" s="21"/>
      <c r="B3468"/>
      <c r="F3468" s="87"/>
      <c r="H3468" s="87"/>
      <c r="I3468" s="89"/>
    </row>
    <row r="3469" spans="1:9">
      <c r="A3469" s="21"/>
      <c r="B3469"/>
      <c r="F3469" s="87"/>
      <c r="H3469" s="87"/>
      <c r="I3469" s="89"/>
    </row>
    <row r="3470" spans="1:9">
      <c r="A3470" s="21"/>
      <c r="B3470"/>
      <c r="F3470" s="87"/>
      <c r="H3470" s="87"/>
      <c r="I3470" s="89"/>
    </row>
    <row r="3471" spans="1:9">
      <c r="A3471" s="21"/>
      <c r="B3471"/>
      <c r="F3471" s="87"/>
      <c r="H3471" s="87"/>
      <c r="I3471" s="89"/>
    </row>
    <row r="3472" spans="1:9">
      <c r="A3472" s="21"/>
      <c r="B3472"/>
      <c r="F3472" s="87"/>
      <c r="H3472" s="87"/>
      <c r="I3472" s="89"/>
    </row>
    <row r="3473" spans="1:9">
      <c r="A3473" s="21"/>
      <c r="B3473"/>
      <c r="F3473" s="87"/>
      <c r="H3473" s="87"/>
      <c r="I3473" s="89"/>
    </row>
    <row r="3474" spans="1:9">
      <c r="A3474" s="21"/>
      <c r="B3474"/>
      <c r="F3474" s="87"/>
      <c r="H3474" s="87"/>
      <c r="I3474" s="89"/>
    </row>
    <row r="3475" spans="1:9">
      <c r="A3475" s="21"/>
      <c r="B3475"/>
      <c r="F3475" s="87"/>
      <c r="H3475" s="87"/>
      <c r="I3475" s="89"/>
    </row>
    <row r="3476" spans="1:9">
      <c r="A3476" s="21"/>
      <c r="B3476"/>
      <c r="F3476" s="87"/>
      <c r="H3476" s="87"/>
      <c r="I3476" s="89"/>
    </row>
    <row r="3477" spans="1:9">
      <c r="A3477" s="21"/>
      <c r="B3477"/>
      <c r="F3477" s="87"/>
      <c r="H3477" s="87"/>
      <c r="I3477" s="89"/>
    </row>
    <row r="3478" spans="1:9">
      <c r="A3478" s="21"/>
      <c r="B3478"/>
      <c r="F3478" s="87"/>
      <c r="H3478" s="87"/>
      <c r="I3478" s="89"/>
    </row>
    <row r="3479" spans="1:9">
      <c r="A3479" s="21"/>
      <c r="B3479"/>
      <c r="F3479" s="87"/>
      <c r="H3479" s="87"/>
      <c r="I3479" s="89"/>
    </row>
    <row r="3480" spans="1:9">
      <c r="A3480" s="21"/>
      <c r="B3480"/>
      <c r="F3480" s="87"/>
      <c r="H3480" s="87"/>
      <c r="I3480" s="89"/>
    </row>
    <row r="3481" spans="1:9">
      <c r="A3481" s="21"/>
      <c r="B3481"/>
      <c r="F3481" s="87"/>
      <c r="H3481" s="87"/>
      <c r="I3481" s="89"/>
    </row>
    <row r="3482" spans="1:9">
      <c r="A3482" s="21"/>
      <c r="B3482"/>
      <c r="F3482" s="87"/>
      <c r="H3482" s="87"/>
      <c r="I3482" s="89"/>
    </row>
    <row r="3483" spans="1:9">
      <c r="A3483" s="21"/>
      <c r="B3483"/>
      <c r="F3483" s="87"/>
      <c r="H3483" s="87"/>
      <c r="I3483" s="89"/>
    </row>
    <row r="3484" spans="1:9">
      <c r="A3484" s="21"/>
      <c r="B3484"/>
      <c r="F3484" s="87"/>
      <c r="H3484" s="87"/>
      <c r="I3484" s="89"/>
    </row>
    <row r="3485" spans="1:9">
      <c r="A3485" s="21"/>
      <c r="B3485"/>
      <c r="F3485" s="87"/>
      <c r="H3485" s="87"/>
      <c r="I3485" s="89"/>
    </row>
    <row r="3486" spans="1:9">
      <c r="A3486" s="21"/>
      <c r="B3486"/>
      <c r="F3486" s="87"/>
      <c r="H3486" s="87"/>
      <c r="I3486" s="89"/>
    </row>
    <row r="3487" spans="1:9">
      <c r="A3487" s="21"/>
      <c r="B3487"/>
      <c r="F3487" s="87"/>
      <c r="H3487" s="87"/>
      <c r="I3487" s="89"/>
    </row>
    <row r="3488" spans="1:9">
      <c r="A3488" s="21"/>
      <c r="B3488"/>
      <c r="F3488" s="87"/>
      <c r="H3488" s="87"/>
      <c r="I3488" s="89"/>
    </row>
    <row r="3489" spans="1:9">
      <c r="A3489" s="21"/>
      <c r="B3489"/>
      <c r="F3489" s="87"/>
      <c r="H3489" s="87"/>
      <c r="I3489" s="89"/>
    </row>
    <row r="3490" spans="1:9">
      <c r="A3490" s="21"/>
      <c r="B3490"/>
      <c r="F3490" s="87"/>
      <c r="H3490" s="87"/>
      <c r="I3490" s="89"/>
    </row>
    <row r="3491" spans="1:9">
      <c r="A3491" s="21"/>
      <c r="B3491"/>
      <c r="F3491" s="87"/>
      <c r="H3491" s="87"/>
      <c r="I3491" s="89"/>
    </row>
    <row r="3492" spans="1:9">
      <c r="A3492" s="21"/>
      <c r="B3492"/>
      <c r="F3492" s="87"/>
      <c r="H3492" s="87"/>
      <c r="I3492" s="89"/>
    </row>
    <row r="3493" spans="1:9">
      <c r="A3493" s="21"/>
      <c r="B3493"/>
      <c r="F3493" s="87"/>
      <c r="H3493" s="87"/>
      <c r="I3493" s="89"/>
    </row>
    <row r="3494" spans="1:9">
      <c r="A3494" s="21"/>
      <c r="B3494"/>
      <c r="F3494" s="87"/>
      <c r="H3494" s="87"/>
      <c r="I3494" s="89"/>
    </row>
    <row r="3495" spans="1:9">
      <c r="A3495" s="21"/>
      <c r="B3495"/>
      <c r="F3495" s="87"/>
      <c r="H3495" s="87"/>
      <c r="I3495" s="89"/>
    </row>
    <row r="3496" spans="1:9">
      <c r="A3496" s="21"/>
      <c r="B3496"/>
      <c r="F3496" s="87"/>
      <c r="H3496" s="87"/>
      <c r="I3496" s="89"/>
    </row>
    <row r="3497" spans="1:9">
      <c r="A3497" s="21"/>
      <c r="B3497"/>
      <c r="F3497" s="87"/>
      <c r="H3497" s="87"/>
      <c r="I3497" s="89"/>
    </row>
    <row r="3498" spans="1:9">
      <c r="A3498" s="21"/>
      <c r="B3498"/>
      <c r="F3498" s="87"/>
      <c r="H3498" s="87"/>
      <c r="I3498" s="89"/>
    </row>
    <row r="3499" spans="1:9">
      <c r="A3499" s="21"/>
      <c r="B3499"/>
      <c r="F3499" s="87"/>
      <c r="H3499" s="87"/>
      <c r="I3499" s="89"/>
    </row>
    <row r="3500" spans="1:9">
      <c r="A3500" s="21"/>
      <c r="B3500"/>
      <c r="F3500" s="87"/>
      <c r="H3500" s="87"/>
      <c r="I3500" s="89"/>
    </row>
    <row r="3501" spans="1:9">
      <c r="A3501" s="21"/>
      <c r="B3501"/>
      <c r="F3501" s="87"/>
      <c r="H3501" s="87"/>
      <c r="I3501" s="89"/>
    </row>
    <row r="3502" spans="1:9">
      <c r="A3502" s="21"/>
      <c r="B3502"/>
      <c r="F3502" s="87"/>
      <c r="H3502" s="87"/>
      <c r="I3502" s="89"/>
    </row>
    <row r="3503" spans="1:9">
      <c r="A3503" s="21"/>
      <c r="B3503"/>
      <c r="F3503" s="87"/>
      <c r="H3503" s="87"/>
      <c r="I3503" s="89"/>
    </row>
    <row r="3504" spans="1:9">
      <c r="A3504" s="21"/>
      <c r="B3504"/>
      <c r="F3504" s="87"/>
      <c r="H3504" s="87"/>
      <c r="I3504" s="89"/>
    </row>
    <row r="3505" spans="1:9">
      <c r="A3505" s="21"/>
      <c r="B3505"/>
      <c r="F3505" s="87"/>
      <c r="H3505" s="87"/>
      <c r="I3505" s="89"/>
    </row>
    <row r="3506" spans="1:9">
      <c r="A3506" s="21"/>
      <c r="B3506"/>
      <c r="F3506" s="87"/>
      <c r="H3506" s="87"/>
      <c r="I3506" s="89"/>
    </row>
    <row r="3507" spans="1:9">
      <c r="A3507" s="21"/>
      <c r="B3507"/>
      <c r="F3507" s="87"/>
      <c r="H3507" s="87"/>
      <c r="I3507" s="89"/>
    </row>
    <row r="3508" spans="1:9">
      <c r="A3508" s="21"/>
      <c r="B3508"/>
      <c r="F3508" s="87"/>
      <c r="H3508" s="87"/>
      <c r="I3508" s="89"/>
    </row>
    <row r="3509" spans="1:9">
      <c r="A3509" s="21"/>
      <c r="B3509"/>
      <c r="F3509" s="87"/>
      <c r="H3509" s="87"/>
      <c r="I3509" s="89"/>
    </row>
    <row r="3510" spans="1:9">
      <c r="A3510" s="21"/>
      <c r="B3510"/>
      <c r="F3510" s="87"/>
      <c r="H3510" s="87"/>
      <c r="I3510" s="89"/>
    </row>
    <row r="3511" spans="1:9">
      <c r="A3511" s="21"/>
      <c r="B3511"/>
      <c r="F3511" s="87"/>
      <c r="H3511" s="87"/>
      <c r="I3511" s="89"/>
    </row>
    <row r="3512" spans="1:9">
      <c r="A3512" s="21"/>
      <c r="B3512"/>
      <c r="F3512" s="87"/>
      <c r="H3512" s="87"/>
      <c r="I3512" s="89"/>
    </row>
    <row r="3513" spans="1:9">
      <c r="A3513" s="21"/>
      <c r="B3513"/>
      <c r="F3513" s="87"/>
      <c r="H3513" s="87"/>
      <c r="I3513" s="89"/>
    </row>
    <row r="3514" spans="1:9">
      <c r="A3514" s="21"/>
      <c r="B3514"/>
      <c r="F3514" s="87"/>
      <c r="H3514" s="87"/>
      <c r="I3514" s="89"/>
    </row>
    <row r="3515" spans="1:9">
      <c r="A3515" s="21"/>
      <c r="B3515"/>
      <c r="F3515" s="87"/>
      <c r="H3515" s="87"/>
      <c r="I3515" s="89"/>
    </row>
    <row r="3516" spans="1:9">
      <c r="A3516" s="21"/>
      <c r="B3516"/>
      <c r="F3516" s="87"/>
      <c r="H3516" s="87"/>
      <c r="I3516" s="89"/>
    </row>
    <row r="3517" spans="1:9">
      <c r="A3517" s="21"/>
      <c r="B3517"/>
      <c r="F3517" s="87"/>
      <c r="H3517" s="87"/>
      <c r="I3517" s="89"/>
    </row>
    <row r="3518" spans="1:9">
      <c r="A3518" s="21"/>
      <c r="B3518"/>
      <c r="F3518" s="87"/>
      <c r="H3518" s="87"/>
      <c r="I3518" s="89"/>
    </row>
    <row r="3519" spans="1:9">
      <c r="A3519" s="21"/>
      <c r="B3519"/>
      <c r="F3519" s="87"/>
      <c r="H3519" s="87"/>
      <c r="I3519" s="89"/>
    </row>
    <row r="3520" spans="1:9">
      <c r="A3520" s="21"/>
      <c r="B3520"/>
      <c r="F3520" s="87"/>
      <c r="H3520" s="87"/>
      <c r="I3520" s="89"/>
    </row>
    <row r="3521" spans="1:9">
      <c r="A3521" s="21"/>
      <c r="B3521"/>
      <c r="F3521" s="87"/>
      <c r="H3521" s="87"/>
      <c r="I3521" s="89"/>
    </row>
    <row r="3522" spans="1:9">
      <c r="A3522" s="21"/>
      <c r="B3522"/>
      <c r="F3522" s="87"/>
      <c r="H3522" s="87"/>
      <c r="I3522" s="89"/>
    </row>
    <row r="3523" spans="1:9">
      <c r="A3523" s="21"/>
      <c r="B3523"/>
      <c r="F3523" s="87"/>
      <c r="H3523" s="87"/>
      <c r="I3523" s="89"/>
    </row>
    <row r="3524" spans="1:9">
      <c r="A3524" s="21"/>
      <c r="B3524"/>
      <c r="F3524" s="87"/>
      <c r="H3524" s="87"/>
      <c r="I3524" s="89"/>
    </row>
    <row r="3525" spans="1:9">
      <c r="A3525" s="21"/>
      <c r="B3525"/>
      <c r="F3525" s="87"/>
      <c r="H3525" s="87"/>
      <c r="I3525" s="89"/>
    </row>
    <row r="3526" spans="1:9">
      <c r="A3526" s="21"/>
      <c r="B3526"/>
      <c r="F3526" s="87"/>
      <c r="H3526" s="87"/>
      <c r="I3526" s="89"/>
    </row>
    <row r="3527" spans="1:9">
      <c r="A3527" s="21"/>
      <c r="B3527"/>
      <c r="F3527" s="87"/>
      <c r="H3527" s="87"/>
      <c r="I3527" s="89"/>
    </row>
    <row r="3528" spans="1:9">
      <c r="A3528" s="21"/>
      <c r="B3528"/>
      <c r="F3528" s="87"/>
      <c r="H3528" s="87"/>
      <c r="I3528" s="89"/>
    </row>
    <row r="3529" spans="1:9">
      <c r="A3529" s="21"/>
      <c r="B3529"/>
      <c r="F3529" s="87"/>
      <c r="H3529" s="87"/>
      <c r="I3529" s="89"/>
    </row>
    <row r="3530" spans="1:9">
      <c r="A3530" s="21"/>
      <c r="B3530"/>
      <c r="F3530" s="87"/>
      <c r="H3530" s="87"/>
      <c r="I3530" s="89"/>
    </row>
    <row r="3531" spans="1:9">
      <c r="A3531" s="21"/>
      <c r="B3531"/>
      <c r="F3531" s="87"/>
      <c r="H3531" s="87"/>
      <c r="I3531" s="89"/>
    </row>
    <row r="3532" spans="1:9">
      <c r="A3532" s="21"/>
      <c r="B3532"/>
      <c r="F3532" s="87"/>
      <c r="H3532" s="87"/>
      <c r="I3532" s="89"/>
    </row>
    <row r="3533" spans="1:9">
      <c r="A3533" s="21"/>
      <c r="B3533"/>
      <c r="F3533" s="87"/>
      <c r="H3533" s="87"/>
      <c r="I3533" s="89"/>
    </row>
    <row r="3534" spans="1:9">
      <c r="A3534" s="21"/>
      <c r="B3534"/>
      <c r="F3534" s="87"/>
      <c r="H3534" s="87"/>
      <c r="I3534" s="89"/>
    </row>
    <row r="3535" spans="1:9">
      <c r="A3535" s="21"/>
      <c r="B3535"/>
      <c r="F3535" s="87"/>
      <c r="H3535" s="87"/>
      <c r="I3535" s="89"/>
    </row>
    <row r="3536" spans="1:9">
      <c r="A3536" s="21"/>
      <c r="B3536"/>
      <c r="F3536" s="87"/>
      <c r="H3536" s="87"/>
      <c r="I3536" s="89"/>
    </row>
    <row r="3537" spans="1:9">
      <c r="A3537" s="21"/>
      <c r="B3537"/>
      <c r="F3537" s="87"/>
      <c r="H3537" s="87"/>
      <c r="I3537" s="89"/>
    </row>
    <row r="3538" spans="1:9">
      <c r="A3538" s="21"/>
      <c r="B3538"/>
      <c r="F3538" s="87"/>
      <c r="H3538" s="87"/>
      <c r="I3538" s="89"/>
    </row>
    <row r="3539" spans="1:9">
      <c r="A3539" s="21"/>
      <c r="B3539"/>
      <c r="F3539" s="87"/>
      <c r="H3539" s="87"/>
      <c r="I3539" s="89"/>
    </row>
    <row r="3540" spans="1:9">
      <c r="A3540" s="21"/>
      <c r="B3540"/>
      <c r="F3540" s="87"/>
      <c r="H3540" s="87"/>
      <c r="I3540" s="89"/>
    </row>
    <row r="3541" spans="1:9">
      <c r="A3541" s="21"/>
      <c r="B3541"/>
      <c r="F3541" s="87"/>
      <c r="H3541" s="87"/>
      <c r="I3541" s="89"/>
    </row>
    <row r="3542" spans="1:9">
      <c r="A3542" s="21"/>
      <c r="B3542"/>
      <c r="F3542" s="87"/>
      <c r="H3542" s="87"/>
      <c r="I3542" s="89"/>
    </row>
    <row r="3543" spans="1:9">
      <c r="A3543" s="21"/>
      <c r="B3543"/>
      <c r="F3543" s="87"/>
      <c r="H3543" s="87"/>
      <c r="I3543" s="89"/>
    </row>
    <row r="3544" spans="1:9">
      <c r="A3544" s="21"/>
      <c r="B3544"/>
      <c r="F3544" s="87"/>
      <c r="H3544" s="87"/>
      <c r="I3544" s="89"/>
    </row>
    <row r="3545" spans="1:9">
      <c r="A3545" s="21"/>
      <c r="B3545"/>
      <c r="F3545" s="87"/>
      <c r="H3545" s="87"/>
      <c r="I3545" s="89"/>
    </row>
    <row r="3546" spans="1:9">
      <c r="A3546" s="21"/>
      <c r="B3546"/>
      <c r="F3546" s="87"/>
      <c r="H3546" s="87"/>
      <c r="I3546" s="89"/>
    </row>
    <row r="3547" spans="1:9">
      <c r="A3547" s="21"/>
      <c r="B3547"/>
      <c r="F3547" s="87"/>
      <c r="H3547" s="87"/>
      <c r="I3547" s="89"/>
    </row>
    <row r="3548" spans="1:9">
      <c r="A3548" s="21"/>
      <c r="B3548"/>
      <c r="F3548" s="87"/>
      <c r="H3548" s="87"/>
      <c r="I3548" s="89"/>
    </row>
    <row r="3549" spans="1:9">
      <c r="A3549" s="21"/>
      <c r="B3549"/>
      <c r="F3549" s="87"/>
      <c r="H3549" s="87"/>
      <c r="I3549" s="89"/>
    </row>
    <row r="3550" spans="1:9">
      <c r="A3550" s="21"/>
      <c r="B3550"/>
      <c r="F3550" s="87"/>
      <c r="H3550" s="87"/>
      <c r="I3550" s="89"/>
    </row>
    <row r="3551" spans="1:9">
      <c r="A3551" s="21"/>
      <c r="B3551"/>
      <c r="F3551" s="87"/>
      <c r="H3551" s="87"/>
      <c r="I3551" s="89"/>
    </row>
    <row r="3552" spans="1:9">
      <c r="A3552" s="21"/>
      <c r="B3552"/>
      <c r="F3552" s="87"/>
      <c r="H3552" s="87"/>
      <c r="I3552" s="89"/>
    </row>
    <row r="3553" spans="1:9">
      <c r="A3553" s="21"/>
      <c r="B3553"/>
      <c r="F3553" s="87"/>
      <c r="H3553" s="87"/>
      <c r="I3553" s="89"/>
    </row>
    <row r="3554" spans="1:9">
      <c r="A3554" s="21"/>
      <c r="B3554"/>
      <c r="F3554" s="87"/>
      <c r="H3554" s="87"/>
      <c r="I3554" s="89"/>
    </row>
    <row r="3555" spans="1:9">
      <c r="A3555" s="21"/>
      <c r="B3555"/>
      <c r="F3555" s="87"/>
      <c r="H3555" s="87"/>
      <c r="I3555" s="89"/>
    </row>
    <row r="3556" spans="1:9">
      <c r="A3556" s="21"/>
      <c r="B3556"/>
      <c r="F3556" s="87"/>
      <c r="H3556" s="87"/>
      <c r="I3556" s="89"/>
    </row>
    <row r="3557" spans="1:9">
      <c r="A3557" s="21"/>
      <c r="B3557"/>
      <c r="F3557" s="87"/>
      <c r="H3557" s="87"/>
      <c r="I3557" s="89"/>
    </row>
    <row r="3558" spans="1:9">
      <c r="A3558" s="21"/>
      <c r="B3558"/>
      <c r="F3558" s="87"/>
      <c r="H3558" s="87"/>
      <c r="I3558" s="89"/>
    </row>
    <row r="3559" spans="1:9">
      <c r="A3559" s="21"/>
      <c r="B3559"/>
      <c r="F3559" s="87"/>
      <c r="H3559" s="87"/>
      <c r="I3559" s="89"/>
    </row>
    <row r="3560" spans="1:9">
      <c r="A3560" s="21"/>
      <c r="B3560"/>
      <c r="F3560" s="87"/>
      <c r="H3560" s="87"/>
      <c r="I3560" s="89"/>
    </row>
    <row r="3561" spans="1:9">
      <c r="A3561" s="21"/>
      <c r="B3561"/>
      <c r="F3561" s="87"/>
      <c r="H3561" s="87"/>
      <c r="I3561" s="89"/>
    </row>
    <row r="3562" spans="1:9">
      <c r="A3562" s="21"/>
      <c r="B3562"/>
      <c r="F3562" s="87"/>
      <c r="H3562" s="87"/>
      <c r="I3562" s="89"/>
    </row>
    <row r="3563" spans="1:9">
      <c r="A3563" s="21"/>
      <c r="B3563"/>
      <c r="F3563" s="87"/>
      <c r="H3563" s="87"/>
      <c r="I3563" s="89"/>
    </row>
    <row r="3564" spans="1:9">
      <c r="A3564" s="21"/>
      <c r="B3564"/>
      <c r="F3564" s="87"/>
      <c r="H3564" s="87"/>
      <c r="I3564" s="89"/>
    </row>
    <row r="3565" spans="1:9">
      <c r="A3565" s="21"/>
      <c r="B3565"/>
      <c r="F3565" s="87"/>
      <c r="H3565" s="87"/>
      <c r="I3565" s="89"/>
    </row>
    <row r="3566" spans="1:9">
      <c r="A3566" s="21"/>
      <c r="B3566"/>
      <c r="F3566" s="87"/>
      <c r="H3566" s="87"/>
      <c r="I3566" s="89"/>
    </row>
    <row r="3567" spans="1:9">
      <c r="A3567" s="21"/>
      <c r="B3567"/>
      <c r="F3567" s="87"/>
      <c r="H3567" s="87"/>
      <c r="I3567" s="89"/>
    </row>
    <row r="3568" spans="1:9">
      <c r="A3568" s="21"/>
      <c r="B3568"/>
      <c r="F3568" s="87"/>
      <c r="H3568" s="87"/>
      <c r="I3568" s="89"/>
    </row>
    <row r="3569" spans="1:9">
      <c r="A3569" s="21"/>
      <c r="B3569"/>
      <c r="F3569" s="87"/>
      <c r="H3569" s="87"/>
      <c r="I3569" s="89"/>
    </row>
    <row r="3570" spans="1:9">
      <c r="A3570" s="21"/>
      <c r="B3570"/>
      <c r="F3570" s="87"/>
      <c r="H3570" s="87"/>
      <c r="I3570" s="89"/>
    </row>
    <row r="3571" spans="1:9">
      <c r="A3571" s="21"/>
      <c r="B3571"/>
      <c r="F3571" s="87"/>
      <c r="H3571" s="87"/>
      <c r="I3571" s="89"/>
    </row>
    <row r="3572" spans="1:9">
      <c r="A3572" s="21"/>
      <c r="B3572"/>
      <c r="F3572" s="87"/>
      <c r="H3572" s="87"/>
      <c r="I3572" s="89"/>
    </row>
    <row r="3573" spans="1:9">
      <c r="A3573" s="21"/>
      <c r="B3573"/>
      <c r="F3573" s="87"/>
      <c r="H3573" s="87"/>
      <c r="I3573" s="89"/>
    </row>
    <row r="3574" spans="1:9">
      <c r="A3574" s="21"/>
      <c r="B3574"/>
      <c r="F3574" s="87"/>
      <c r="H3574" s="87"/>
      <c r="I3574" s="89"/>
    </row>
    <row r="3575" spans="1:9">
      <c r="A3575" s="21"/>
      <c r="B3575"/>
      <c r="F3575" s="87"/>
      <c r="H3575" s="87"/>
      <c r="I3575" s="89"/>
    </row>
    <row r="3576" spans="1:9">
      <c r="A3576" s="21"/>
      <c r="B3576"/>
      <c r="F3576" s="87"/>
      <c r="H3576" s="87"/>
      <c r="I3576" s="89"/>
    </row>
    <row r="3577" spans="1:9">
      <c r="A3577" s="21"/>
      <c r="B3577"/>
      <c r="F3577" s="87"/>
      <c r="H3577" s="87"/>
      <c r="I3577" s="89"/>
    </row>
    <row r="3578" spans="1:9">
      <c r="A3578" s="21"/>
      <c r="B3578"/>
      <c r="F3578" s="87"/>
      <c r="H3578" s="87"/>
      <c r="I3578" s="89"/>
    </row>
    <row r="3579" spans="1:9">
      <c r="A3579" s="21"/>
      <c r="B3579"/>
      <c r="F3579" s="87"/>
      <c r="H3579" s="87"/>
      <c r="I3579" s="89"/>
    </row>
    <row r="3580" spans="1:9">
      <c r="A3580" s="21"/>
      <c r="B3580"/>
      <c r="F3580" s="87"/>
      <c r="H3580" s="87"/>
      <c r="I3580" s="89"/>
    </row>
    <row r="3581" spans="1:9">
      <c r="A3581" s="21"/>
      <c r="B3581"/>
      <c r="F3581" s="87"/>
      <c r="H3581" s="87"/>
      <c r="I3581" s="89"/>
    </row>
    <row r="3582" spans="1:9">
      <c r="A3582" s="21"/>
      <c r="B3582"/>
      <c r="F3582" s="87"/>
      <c r="H3582" s="87"/>
      <c r="I3582" s="89"/>
    </row>
    <row r="3583" spans="1:9">
      <c r="A3583" s="21"/>
      <c r="B3583"/>
      <c r="F3583" s="87"/>
      <c r="H3583" s="87"/>
      <c r="I3583" s="89"/>
    </row>
    <row r="3584" spans="1:9">
      <c r="A3584" s="21"/>
      <c r="B3584"/>
      <c r="F3584" s="87"/>
      <c r="H3584" s="87"/>
      <c r="I3584" s="89"/>
    </row>
    <row r="3585" spans="1:9">
      <c r="A3585" s="21"/>
      <c r="B3585"/>
      <c r="F3585" s="87"/>
      <c r="H3585" s="87"/>
      <c r="I3585" s="89"/>
    </row>
    <row r="3586" spans="1:9">
      <c r="A3586" s="21"/>
      <c r="B3586"/>
      <c r="F3586" s="87"/>
      <c r="H3586" s="87"/>
      <c r="I3586" s="89"/>
    </row>
    <row r="3587" spans="1:9">
      <c r="A3587" s="21"/>
      <c r="B3587"/>
      <c r="F3587" s="87"/>
      <c r="H3587" s="87"/>
      <c r="I3587" s="89"/>
    </row>
    <row r="3588" spans="1:9">
      <c r="A3588" s="21"/>
      <c r="B3588"/>
      <c r="F3588" s="87"/>
      <c r="H3588" s="87"/>
      <c r="I3588" s="89"/>
    </row>
    <row r="3589" spans="1:9">
      <c r="A3589" s="21"/>
      <c r="B3589"/>
      <c r="F3589" s="87"/>
      <c r="H3589" s="87"/>
      <c r="I3589" s="89"/>
    </row>
    <row r="3590" spans="1:9">
      <c r="A3590" s="21"/>
      <c r="B3590"/>
      <c r="F3590" s="87"/>
      <c r="H3590" s="87"/>
      <c r="I3590" s="89"/>
    </row>
    <row r="3591" spans="1:9">
      <c r="A3591" s="21"/>
      <c r="B3591"/>
      <c r="F3591" s="87"/>
      <c r="H3591" s="87"/>
      <c r="I3591" s="89"/>
    </row>
    <row r="3592" spans="1:9">
      <c r="A3592" s="21"/>
      <c r="B3592"/>
      <c r="F3592" s="87"/>
      <c r="H3592" s="87"/>
      <c r="I3592" s="89"/>
    </row>
    <row r="3593" spans="1:9">
      <c r="A3593" s="21"/>
      <c r="B3593"/>
      <c r="F3593" s="87"/>
      <c r="H3593" s="87"/>
      <c r="I3593" s="89"/>
    </row>
    <row r="3594" spans="1:9">
      <c r="A3594" s="21"/>
      <c r="B3594"/>
      <c r="F3594" s="87"/>
      <c r="H3594" s="87"/>
      <c r="I3594" s="89"/>
    </row>
    <row r="3595" spans="1:9">
      <c r="A3595" s="21"/>
      <c r="B3595"/>
      <c r="F3595" s="87"/>
      <c r="H3595" s="87"/>
      <c r="I3595" s="89"/>
    </row>
    <row r="3596" spans="1:9">
      <c r="A3596" s="21"/>
      <c r="B3596"/>
      <c r="F3596" s="87"/>
      <c r="H3596" s="87"/>
      <c r="I3596" s="89"/>
    </row>
    <row r="3597" spans="1:9">
      <c r="A3597" s="21"/>
      <c r="B3597"/>
      <c r="F3597" s="87"/>
      <c r="H3597" s="87"/>
      <c r="I3597" s="89"/>
    </row>
    <row r="3598" spans="1:9">
      <c r="A3598" s="21"/>
      <c r="B3598"/>
      <c r="F3598" s="87"/>
      <c r="H3598" s="87"/>
      <c r="I3598" s="89"/>
    </row>
    <row r="3599" spans="1:9">
      <c r="A3599" s="21"/>
      <c r="B3599"/>
      <c r="F3599" s="87"/>
      <c r="H3599" s="87"/>
      <c r="I3599" s="89"/>
    </row>
    <row r="3600" spans="1:9">
      <c r="A3600" s="21"/>
      <c r="B3600"/>
      <c r="F3600" s="87"/>
      <c r="H3600" s="87"/>
      <c r="I3600" s="89"/>
    </row>
    <row r="3601" spans="1:9">
      <c r="A3601" s="21"/>
      <c r="B3601"/>
      <c r="F3601" s="87"/>
      <c r="H3601" s="87"/>
      <c r="I3601" s="89"/>
    </row>
    <row r="3602" spans="1:9">
      <c r="A3602" s="21"/>
      <c r="B3602"/>
      <c r="F3602" s="87"/>
      <c r="H3602" s="87"/>
      <c r="I3602" s="89"/>
    </row>
    <row r="3603" spans="1:9">
      <c r="A3603" s="21"/>
      <c r="B3603"/>
      <c r="F3603" s="87"/>
      <c r="H3603" s="87"/>
      <c r="I3603" s="89"/>
    </row>
    <row r="3604" spans="1:9">
      <c r="A3604" s="21"/>
      <c r="B3604"/>
      <c r="F3604" s="87"/>
      <c r="H3604" s="87"/>
      <c r="I3604" s="89"/>
    </row>
    <row r="3605" spans="1:9">
      <c r="A3605" s="21"/>
      <c r="B3605"/>
      <c r="F3605" s="87"/>
      <c r="H3605" s="87"/>
      <c r="I3605" s="89"/>
    </row>
    <row r="3606" spans="1:9">
      <c r="A3606" s="21"/>
      <c r="B3606"/>
      <c r="F3606" s="87"/>
      <c r="H3606" s="87"/>
      <c r="I3606" s="89"/>
    </row>
    <row r="3607" spans="1:9">
      <c r="A3607" s="21"/>
      <c r="B3607"/>
      <c r="F3607" s="87"/>
      <c r="H3607" s="87"/>
      <c r="I3607" s="89"/>
    </row>
    <row r="3608" spans="1:9">
      <c r="A3608" s="21"/>
      <c r="B3608"/>
      <c r="F3608" s="87"/>
      <c r="H3608" s="87"/>
      <c r="I3608" s="89"/>
    </row>
    <row r="3609" spans="1:9">
      <c r="A3609" s="21"/>
      <c r="B3609"/>
      <c r="F3609" s="87"/>
      <c r="H3609" s="87"/>
      <c r="I3609" s="89"/>
    </row>
    <row r="3610" spans="1:9">
      <c r="A3610" s="21"/>
      <c r="B3610"/>
      <c r="F3610" s="87"/>
      <c r="H3610" s="87"/>
      <c r="I3610" s="89"/>
    </row>
    <row r="3611" spans="1:9">
      <c r="A3611" s="21"/>
      <c r="B3611"/>
      <c r="F3611" s="87"/>
      <c r="H3611" s="87"/>
      <c r="I3611" s="89"/>
    </row>
    <row r="3612" spans="1:9">
      <c r="A3612" s="21"/>
      <c r="B3612"/>
      <c r="F3612" s="87"/>
      <c r="H3612" s="87"/>
      <c r="I3612" s="89"/>
    </row>
    <row r="3613" spans="1:9">
      <c r="A3613" s="21"/>
      <c r="B3613"/>
      <c r="F3613" s="87"/>
      <c r="H3613" s="87"/>
      <c r="I3613" s="89"/>
    </row>
    <row r="3614" spans="1:9">
      <c r="A3614" s="21"/>
      <c r="B3614"/>
      <c r="F3614" s="87"/>
      <c r="H3614" s="87"/>
      <c r="I3614" s="89"/>
    </row>
    <row r="3615" spans="1:9">
      <c r="A3615" s="21"/>
      <c r="B3615"/>
      <c r="F3615" s="87"/>
      <c r="H3615" s="87"/>
      <c r="I3615" s="89"/>
    </row>
    <row r="3616" spans="1:9">
      <c r="A3616" s="21"/>
      <c r="B3616"/>
      <c r="F3616" s="87"/>
      <c r="H3616" s="87"/>
      <c r="I3616" s="89"/>
    </row>
    <row r="3617" spans="1:9">
      <c r="A3617" s="21"/>
      <c r="B3617"/>
      <c r="F3617" s="87"/>
      <c r="H3617" s="87"/>
      <c r="I3617" s="89"/>
    </row>
    <row r="3618" spans="1:9">
      <c r="A3618" s="21"/>
      <c r="B3618"/>
      <c r="F3618" s="87"/>
      <c r="H3618" s="87"/>
      <c r="I3618" s="89"/>
    </row>
    <row r="3619" spans="1:9">
      <c r="A3619" s="21"/>
      <c r="B3619"/>
      <c r="F3619" s="87"/>
      <c r="H3619" s="87"/>
      <c r="I3619" s="89"/>
    </row>
    <row r="3620" spans="1:9">
      <c r="A3620" s="21"/>
      <c r="B3620"/>
      <c r="F3620" s="87"/>
      <c r="H3620" s="87"/>
      <c r="I3620" s="89"/>
    </row>
    <row r="3621" spans="1:9">
      <c r="A3621" s="21"/>
      <c r="B3621"/>
      <c r="F3621" s="87"/>
      <c r="H3621" s="87"/>
      <c r="I3621" s="89"/>
    </row>
    <row r="3622" spans="1:9">
      <c r="A3622" s="21"/>
      <c r="B3622"/>
      <c r="F3622" s="87"/>
      <c r="H3622" s="87"/>
      <c r="I3622" s="89"/>
    </row>
    <row r="3623" spans="1:9">
      <c r="A3623" s="21"/>
      <c r="B3623"/>
      <c r="F3623" s="87"/>
      <c r="H3623" s="87"/>
      <c r="I3623" s="89"/>
    </row>
    <row r="3624" spans="1:9">
      <c r="A3624" s="21"/>
      <c r="B3624"/>
      <c r="F3624" s="87"/>
      <c r="H3624" s="87"/>
      <c r="I3624" s="89"/>
    </row>
    <row r="3625" spans="1:9">
      <c r="A3625" s="21"/>
      <c r="B3625"/>
      <c r="F3625" s="87"/>
      <c r="H3625" s="87"/>
      <c r="I3625" s="89"/>
    </row>
    <row r="3626" spans="1:9">
      <c r="A3626" s="21"/>
      <c r="B3626"/>
      <c r="F3626" s="87"/>
      <c r="H3626" s="87"/>
      <c r="I3626" s="89"/>
    </row>
    <row r="3627" spans="1:9">
      <c r="A3627" s="21"/>
      <c r="B3627"/>
      <c r="F3627" s="87"/>
      <c r="H3627" s="87"/>
      <c r="I3627" s="89"/>
    </row>
    <row r="3628" spans="1:9">
      <c r="A3628" s="21"/>
      <c r="B3628"/>
      <c r="F3628" s="87"/>
      <c r="H3628" s="87"/>
      <c r="I3628" s="89"/>
    </row>
    <row r="3629" spans="1:9">
      <c r="A3629" s="21"/>
      <c r="B3629"/>
      <c r="F3629" s="87"/>
      <c r="H3629" s="87"/>
      <c r="I3629" s="89"/>
    </row>
    <row r="3630" spans="1:9">
      <c r="A3630" s="21"/>
      <c r="B3630"/>
      <c r="F3630" s="87"/>
      <c r="H3630" s="87"/>
      <c r="I3630" s="89"/>
    </row>
    <row r="3631" spans="1:9">
      <c r="A3631" s="21"/>
      <c r="B3631"/>
      <c r="F3631" s="87"/>
      <c r="H3631" s="87"/>
      <c r="I3631" s="89"/>
    </row>
    <row r="3632" spans="1:9">
      <c r="A3632" s="21"/>
      <c r="B3632"/>
      <c r="F3632" s="87"/>
      <c r="H3632" s="87"/>
      <c r="I3632" s="89"/>
    </row>
    <row r="3633" spans="1:9">
      <c r="A3633" s="21"/>
      <c r="B3633"/>
      <c r="F3633" s="87"/>
      <c r="H3633" s="87"/>
      <c r="I3633" s="89"/>
    </row>
    <row r="3634" spans="1:9">
      <c r="A3634" s="21"/>
      <c r="B3634"/>
      <c r="F3634" s="87"/>
      <c r="H3634" s="87"/>
      <c r="I3634" s="89"/>
    </row>
    <row r="3635" spans="1:9">
      <c r="A3635" s="21"/>
      <c r="B3635"/>
      <c r="F3635" s="87"/>
      <c r="H3635" s="87"/>
      <c r="I3635" s="89"/>
    </row>
    <row r="3636" spans="1:9">
      <c r="A3636" s="21"/>
      <c r="B3636"/>
      <c r="F3636" s="87"/>
      <c r="H3636" s="87"/>
      <c r="I3636" s="89"/>
    </row>
    <row r="3637" spans="1:9">
      <c r="A3637" s="21"/>
      <c r="B3637"/>
      <c r="F3637" s="87"/>
      <c r="H3637" s="87"/>
      <c r="I3637" s="89"/>
    </row>
    <row r="3638" spans="1:9">
      <c r="A3638" s="21"/>
      <c r="B3638"/>
      <c r="F3638" s="87"/>
      <c r="H3638" s="87"/>
      <c r="I3638" s="89"/>
    </row>
    <row r="3639" spans="1:9">
      <c r="A3639" s="21"/>
      <c r="B3639"/>
      <c r="F3639" s="87"/>
      <c r="H3639" s="87"/>
      <c r="I3639" s="89"/>
    </row>
    <row r="3640" spans="1:9">
      <c r="A3640" s="21"/>
      <c r="B3640"/>
      <c r="F3640" s="87"/>
      <c r="H3640" s="87"/>
      <c r="I3640" s="89"/>
    </row>
    <row r="3641" spans="1:9">
      <c r="A3641" s="21"/>
      <c r="B3641"/>
      <c r="F3641" s="87"/>
      <c r="H3641" s="87"/>
      <c r="I3641" s="89"/>
    </row>
    <row r="3642" spans="1:9">
      <c r="A3642" s="21"/>
      <c r="B3642"/>
      <c r="F3642" s="87"/>
      <c r="H3642" s="87"/>
      <c r="I3642" s="89"/>
    </row>
    <row r="3643" spans="1:9">
      <c r="A3643" s="21"/>
      <c r="B3643"/>
      <c r="F3643" s="87"/>
      <c r="H3643" s="87"/>
      <c r="I3643" s="89"/>
    </row>
    <row r="3644" spans="1:9">
      <c r="A3644" s="21"/>
      <c r="B3644"/>
      <c r="F3644" s="87"/>
      <c r="H3644" s="87"/>
      <c r="I3644" s="89"/>
    </row>
    <row r="3645" spans="1:9">
      <c r="A3645" s="21"/>
      <c r="B3645"/>
      <c r="F3645" s="87"/>
      <c r="H3645" s="87"/>
      <c r="I3645" s="89"/>
    </row>
    <row r="3646" spans="1:9">
      <c r="A3646" s="21"/>
      <c r="B3646"/>
      <c r="F3646" s="87"/>
      <c r="H3646" s="87"/>
      <c r="I3646" s="89"/>
    </row>
    <row r="3647" spans="1:9">
      <c r="A3647" s="21"/>
      <c r="B3647"/>
      <c r="F3647" s="87"/>
      <c r="H3647" s="87"/>
      <c r="I3647" s="89"/>
    </row>
    <row r="3648" spans="1:9">
      <c r="A3648" s="21"/>
      <c r="B3648"/>
      <c r="F3648" s="87"/>
      <c r="H3648" s="87"/>
      <c r="I3648" s="89"/>
    </row>
    <row r="3649" spans="1:9">
      <c r="A3649" s="21"/>
      <c r="B3649"/>
      <c r="F3649" s="87"/>
      <c r="H3649" s="87"/>
      <c r="I3649" s="89"/>
    </row>
    <row r="3650" spans="1:9">
      <c r="A3650" s="21"/>
      <c r="B3650"/>
      <c r="F3650" s="87"/>
      <c r="H3650" s="87"/>
      <c r="I3650" s="89"/>
    </row>
    <row r="3651" spans="1:9">
      <c r="A3651" s="21"/>
      <c r="B3651"/>
      <c r="F3651" s="87"/>
      <c r="H3651" s="87"/>
      <c r="I3651" s="89"/>
    </row>
    <row r="3652" spans="1:9">
      <c r="A3652" s="21"/>
      <c r="B3652"/>
      <c r="F3652" s="87"/>
      <c r="H3652" s="87"/>
      <c r="I3652" s="89"/>
    </row>
    <row r="3653" spans="1:9">
      <c r="A3653" s="21"/>
      <c r="B3653"/>
      <c r="F3653" s="87"/>
      <c r="H3653" s="87"/>
      <c r="I3653" s="89"/>
    </row>
    <row r="3654" spans="1:9">
      <c r="A3654" s="21"/>
      <c r="B3654"/>
      <c r="F3654" s="87"/>
      <c r="H3654" s="87"/>
      <c r="I3654" s="89"/>
    </row>
    <row r="3655" spans="1:9">
      <c r="A3655" s="21"/>
      <c r="B3655"/>
      <c r="F3655" s="87"/>
      <c r="H3655" s="87"/>
      <c r="I3655" s="89"/>
    </row>
    <row r="3656" spans="1:9">
      <c r="A3656" s="21"/>
      <c r="B3656"/>
      <c r="F3656" s="87"/>
      <c r="H3656" s="87"/>
      <c r="I3656" s="89"/>
    </row>
    <row r="3657" spans="1:9">
      <c r="A3657" s="21"/>
      <c r="B3657"/>
      <c r="F3657" s="87"/>
      <c r="H3657" s="87"/>
      <c r="I3657" s="89"/>
    </row>
    <row r="3658" spans="1:9">
      <c r="A3658" s="21"/>
      <c r="B3658"/>
      <c r="F3658" s="87"/>
      <c r="H3658" s="87"/>
      <c r="I3658" s="89"/>
    </row>
    <row r="3659" spans="1:9">
      <c r="A3659" s="21"/>
      <c r="B3659"/>
      <c r="F3659" s="87"/>
      <c r="H3659" s="87"/>
      <c r="I3659" s="89"/>
    </row>
    <row r="3660" spans="1:9">
      <c r="A3660" s="21"/>
      <c r="B3660"/>
      <c r="F3660" s="87"/>
      <c r="H3660" s="87"/>
      <c r="I3660" s="89"/>
    </row>
    <row r="3661" spans="1:9">
      <c r="A3661" s="21"/>
      <c r="B3661"/>
      <c r="F3661" s="87"/>
      <c r="H3661" s="87"/>
      <c r="I3661" s="89"/>
    </row>
    <row r="3662" spans="1:9">
      <c r="A3662" s="21"/>
      <c r="B3662"/>
      <c r="F3662" s="87"/>
      <c r="H3662" s="87"/>
      <c r="I3662" s="89"/>
    </row>
    <row r="3663" spans="1:9">
      <c r="A3663" s="21"/>
      <c r="B3663"/>
      <c r="F3663" s="87"/>
      <c r="H3663" s="87"/>
      <c r="I3663" s="89"/>
    </row>
    <row r="3664" spans="1:9">
      <c r="A3664" s="21"/>
      <c r="B3664"/>
      <c r="F3664" s="87"/>
      <c r="H3664" s="87"/>
      <c r="I3664" s="89"/>
    </row>
    <row r="3665" spans="1:9">
      <c r="A3665" s="21"/>
      <c r="B3665"/>
      <c r="F3665" s="87"/>
      <c r="H3665" s="87"/>
      <c r="I3665" s="89"/>
    </row>
    <row r="3666" spans="1:9">
      <c r="A3666" s="21"/>
      <c r="B3666"/>
      <c r="F3666" s="87"/>
      <c r="H3666" s="87"/>
      <c r="I3666" s="89"/>
    </row>
    <row r="3667" spans="1:9">
      <c r="A3667" s="21"/>
      <c r="B3667"/>
      <c r="F3667" s="87"/>
      <c r="H3667" s="87"/>
      <c r="I3667" s="89"/>
    </row>
    <row r="3668" spans="1:9">
      <c r="A3668" s="21"/>
      <c r="B3668"/>
      <c r="F3668" s="87"/>
      <c r="H3668" s="87"/>
      <c r="I3668" s="89"/>
    </row>
    <row r="3669" spans="1:9">
      <c r="A3669" s="21"/>
      <c r="B3669"/>
      <c r="F3669" s="87"/>
      <c r="H3669" s="87"/>
      <c r="I3669" s="89"/>
    </row>
    <row r="3670" spans="1:9">
      <c r="A3670" s="21"/>
      <c r="B3670"/>
      <c r="F3670" s="87"/>
      <c r="H3670" s="87"/>
      <c r="I3670" s="89"/>
    </row>
    <row r="3671" spans="1:9">
      <c r="A3671" s="21"/>
      <c r="B3671"/>
      <c r="F3671" s="87"/>
      <c r="H3671" s="87"/>
      <c r="I3671" s="89"/>
    </row>
    <row r="3672" spans="1:9">
      <c r="A3672" s="21"/>
      <c r="B3672"/>
      <c r="F3672" s="87"/>
      <c r="H3672" s="87"/>
      <c r="I3672" s="89"/>
    </row>
    <row r="3673" spans="1:9">
      <c r="A3673" s="21"/>
      <c r="B3673"/>
      <c r="F3673" s="87"/>
      <c r="H3673" s="87"/>
      <c r="I3673" s="89"/>
    </row>
    <row r="3674" spans="1:9">
      <c r="A3674" s="21"/>
      <c r="B3674"/>
      <c r="F3674" s="87"/>
      <c r="H3674" s="87"/>
      <c r="I3674" s="89"/>
    </row>
    <row r="3675" spans="1:9">
      <c r="A3675" s="21"/>
      <c r="B3675"/>
      <c r="F3675" s="87"/>
      <c r="H3675" s="87"/>
      <c r="I3675" s="89"/>
    </row>
    <row r="3676" spans="1:9">
      <c r="A3676" s="21"/>
      <c r="B3676"/>
      <c r="F3676" s="87"/>
      <c r="H3676" s="87"/>
      <c r="I3676" s="89"/>
    </row>
    <row r="3677" spans="1:9">
      <c r="A3677" s="21"/>
      <c r="B3677"/>
      <c r="F3677" s="87"/>
      <c r="H3677" s="87"/>
      <c r="I3677" s="89"/>
    </row>
    <row r="3678" spans="1:9">
      <c r="A3678" s="21"/>
      <c r="B3678"/>
      <c r="F3678" s="87"/>
      <c r="H3678" s="87"/>
      <c r="I3678" s="89"/>
    </row>
    <row r="3679" spans="1:9">
      <c r="A3679" s="21"/>
      <c r="B3679"/>
      <c r="F3679" s="87"/>
      <c r="H3679" s="87"/>
      <c r="I3679" s="89"/>
    </row>
    <row r="3680" spans="1:9">
      <c r="A3680" s="21"/>
      <c r="B3680"/>
      <c r="F3680" s="87"/>
      <c r="H3680" s="87"/>
      <c r="I3680" s="89"/>
    </row>
    <row r="3681" spans="1:9">
      <c r="A3681" s="21"/>
      <c r="B3681"/>
      <c r="F3681" s="87"/>
      <c r="H3681" s="87"/>
      <c r="I3681" s="89"/>
    </row>
    <row r="3682" spans="1:9">
      <c r="A3682" s="21"/>
      <c r="B3682"/>
      <c r="F3682" s="87"/>
      <c r="H3682" s="87"/>
      <c r="I3682" s="89"/>
    </row>
    <row r="3683" spans="1:9">
      <c r="A3683" s="21"/>
      <c r="B3683"/>
      <c r="F3683" s="87"/>
      <c r="H3683" s="87"/>
      <c r="I3683" s="89"/>
    </row>
    <row r="3684" spans="1:9">
      <c r="A3684" s="21"/>
      <c r="B3684"/>
      <c r="F3684" s="87"/>
      <c r="H3684" s="87"/>
      <c r="I3684" s="89"/>
    </row>
    <row r="3685" spans="1:9">
      <c r="A3685" s="21"/>
      <c r="B3685"/>
      <c r="F3685" s="87"/>
      <c r="H3685" s="87"/>
      <c r="I3685" s="89"/>
    </row>
    <row r="3686" spans="1:9">
      <c r="A3686" s="21"/>
      <c r="B3686"/>
      <c r="F3686" s="87"/>
      <c r="H3686" s="87"/>
      <c r="I3686" s="89"/>
    </row>
    <row r="3687" spans="1:9">
      <c r="A3687" s="21"/>
      <c r="B3687"/>
      <c r="F3687" s="87"/>
      <c r="H3687" s="87"/>
      <c r="I3687" s="89"/>
    </row>
    <row r="3688" spans="1:9">
      <c r="A3688" s="21"/>
      <c r="B3688"/>
      <c r="F3688" s="87"/>
      <c r="H3688" s="87"/>
      <c r="I3688" s="89"/>
    </row>
    <row r="3689" spans="1:9">
      <c r="A3689" s="21"/>
      <c r="B3689"/>
      <c r="F3689" s="87"/>
      <c r="H3689" s="87"/>
      <c r="I3689" s="89"/>
    </row>
    <row r="3690" spans="1:9">
      <c r="A3690" s="21"/>
      <c r="B3690"/>
      <c r="F3690" s="87"/>
      <c r="H3690" s="87"/>
      <c r="I3690" s="89"/>
    </row>
    <row r="3691" spans="1:9">
      <c r="A3691" s="21"/>
      <c r="B3691"/>
      <c r="F3691" s="87"/>
      <c r="H3691" s="87"/>
      <c r="I3691" s="89"/>
    </row>
    <row r="3692" spans="1:9">
      <c r="A3692" s="21"/>
      <c r="B3692"/>
      <c r="F3692" s="87"/>
      <c r="H3692" s="87"/>
      <c r="I3692" s="89"/>
    </row>
    <row r="3693" spans="1:9">
      <c r="A3693" s="21"/>
      <c r="B3693"/>
      <c r="F3693" s="87"/>
      <c r="H3693" s="87"/>
      <c r="I3693" s="89"/>
    </row>
    <row r="3694" spans="1:9">
      <c r="A3694" s="21"/>
      <c r="B3694"/>
      <c r="F3694" s="87"/>
      <c r="H3694" s="87"/>
      <c r="I3694" s="89"/>
    </row>
    <row r="3695" spans="1:9">
      <c r="A3695" s="21"/>
      <c r="B3695"/>
      <c r="F3695" s="87"/>
      <c r="H3695" s="87"/>
      <c r="I3695" s="89"/>
    </row>
    <row r="3696" spans="1:9">
      <c r="A3696" s="21"/>
      <c r="B3696"/>
      <c r="F3696" s="87"/>
      <c r="H3696" s="87"/>
      <c r="I3696" s="89"/>
    </row>
    <row r="3697" spans="1:9">
      <c r="A3697" s="21"/>
      <c r="B3697"/>
      <c r="F3697" s="87"/>
      <c r="H3697" s="87"/>
      <c r="I3697" s="89"/>
    </row>
    <row r="3698" spans="1:9">
      <c r="A3698" s="21"/>
      <c r="B3698"/>
      <c r="F3698" s="87"/>
      <c r="H3698" s="87"/>
      <c r="I3698" s="89"/>
    </row>
    <row r="3699" spans="1:9">
      <c r="A3699" s="21"/>
      <c r="B3699"/>
      <c r="F3699" s="87"/>
      <c r="H3699" s="87"/>
      <c r="I3699" s="89"/>
    </row>
    <row r="3700" spans="1:9">
      <c r="A3700" s="21"/>
      <c r="B3700"/>
      <c r="F3700" s="87"/>
      <c r="H3700" s="87"/>
      <c r="I3700" s="89"/>
    </row>
    <row r="3701" spans="1:9">
      <c r="A3701" s="21"/>
      <c r="B3701"/>
      <c r="F3701" s="87"/>
      <c r="H3701" s="87"/>
      <c r="I3701" s="89"/>
    </row>
    <row r="3702" spans="1:9">
      <c r="A3702" s="21"/>
      <c r="B3702"/>
      <c r="F3702" s="87"/>
      <c r="H3702" s="87"/>
      <c r="I3702" s="89"/>
    </row>
    <row r="3703" spans="1:9">
      <c r="A3703" s="21"/>
      <c r="B3703"/>
      <c r="F3703" s="87"/>
      <c r="H3703" s="87"/>
      <c r="I3703" s="89"/>
    </row>
    <row r="3704" spans="1:9">
      <c r="A3704" s="21"/>
      <c r="B3704"/>
      <c r="F3704" s="87"/>
      <c r="H3704" s="87"/>
      <c r="I3704" s="89"/>
    </row>
    <row r="3705" spans="1:9">
      <c r="A3705" s="21"/>
      <c r="B3705"/>
      <c r="F3705" s="87"/>
      <c r="H3705" s="87"/>
      <c r="I3705" s="89"/>
    </row>
    <row r="3706" spans="1:9">
      <c r="A3706" s="21"/>
      <c r="B3706"/>
      <c r="F3706" s="87"/>
      <c r="H3706" s="87"/>
      <c r="I3706" s="89"/>
    </row>
    <row r="3707" spans="1:9">
      <c r="A3707" s="21"/>
      <c r="B3707"/>
      <c r="F3707" s="87"/>
      <c r="H3707" s="87"/>
      <c r="I3707" s="89"/>
    </row>
    <row r="3708" spans="1:9">
      <c r="A3708" s="21"/>
      <c r="B3708"/>
      <c r="F3708" s="87"/>
      <c r="H3708" s="87"/>
      <c r="I3708" s="89"/>
    </row>
    <row r="3709" spans="1:9">
      <c r="A3709" s="21"/>
      <c r="B3709"/>
      <c r="F3709" s="87"/>
      <c r="H3709" s="87"/>
      <c r="I3709" s="89"/>
    </row>
    <row r="3710" spans="1:9">
      <c r="A3710" s="21"/>
      <c r="B3710"/>
      <c r="F3710" s="87"/>
      <c r="H3710" s="87"/>
      <c r="I3710" s="89"/>
    </row>
    <row r="3711" spans="1:9">
      <c r="A3711" s="21"/>
      <c r="B3711"/>
      <c r="F3711" s="87"/>
      <c r="H3711" s="87"/>
      <c r="I3711" s="89"/>
    </row>
    <row r="3712" spans="1:9">
      <c r="A3712" s="21"/>
      <c r="B3712"/>
      <c r="F3712" s="87"/>
      <c r="H3712" s="87"/>
      <c r="I3712" s="89"/>
    </row>
    <row r="3713" spans="1:9">
      <c r="A3713" s="21"/>
      <c r="B3713"/>
      <c r="F3713" s="87"/>
      <c r="H3713" s="87"/>
      <c r="I3713" s="89"/>
    </row>
    <row r="3714" spans="1:9">
      <c r="A3714" s="21"/>
      <c r="B3714"/>
      <c r="F3714" s="87"/>
      <c r="H3714" s="87"/>
      <c r="I3714" s="89"/>
    </row>
    <row r="3715" spans="1:9">
      <c r="A3715" s="21"/>
      <c r="B3715"/>
      <c r="F3715" s="87"/>
      <c r="H3715" s="87"/>
      <c r="I3715" s="89"/>
    </row>
    <row r="3716" spans="1:9">
      <c r="A3716" s="21"/>
      <c r="B3716"/>
      <c r="F3716" s="87"/>
      <c r="H3716" s="87"/>
      <c r="I3716" s="89"/>
    </row>
    <row r="3717" spans="1:9">
      <c r="A3717" s="21"/>
      <c r="B3717"/>
      <c r="F3717" s="87"/>
      <c r="H3717" s="87"/>
      <c r="I3717" s="89"/>
    </row>
    <row r="3718" spans="1:9">
      <c r="A3718" s="21"/>
      <c r="B3718"/>
      <c r="F3718" s="87"/>
      <c r="H3718" s="87"/>
      <c r="I3718" s="89"/>
    </row>
    <row r="3719" spans="1:9">
      <c r="A3719" s="21"/>
      <c r="B3719"/>
      <c r="F3719" s="87"/>
      <c r="H3719" s="87"/>
      <c r="I3719" s="89"/>
    </row>
    <row r="3720" spans="1:9">
      <c r="A3720" s="21"/>
      <c r="B3720"/>
      <c r="F3720" s="87"/>
      <c r="H3720" s="87"/>
      <c r="I3720" s="89"/>
    </row>
    <row r="3721" spans="1:9">
      <c r="A3721" s="21"/>
      <c r="B3721"/>
      <c r="F3721" s="87"/>
      <c r="H3721" s="87"/>
      <c r="I3721" s="89"/>
    </row>
    <row r="3722" spans="1:9">
      <c r="A3722" s="21"/>
      <c r="B3722"/>
      <c r="F3722" s="87"/>
      <c r="H3722" s="87"/>
      <c r="I3722" s="89"/>
    </row>
    <row r="3723" spans="1:9">
      <c r="A3723" s="21"/>
      <c r="B3723"/>
      <c r="F3723" s="87"/>
      <c r="H3723" s="87"/>
      <c r="I3723" s="89"/>
    </row>
    <row r="3724" spans="1:9">
      <c r="A3724" s="21"/>
      <c r="B3724"/>
      <c r="F3724" s="87"/>
      <c r="H3724" s="87"/>
      <c r="I3724" s="89"/>
    </row>
    <row r="3725" spans="1:9">
      <c r="A3725" s="21"/>
      <c r="B3725"/>
      <c r="F3725" s="87"/>
      <c r="H3725" s="87"/>
      <c r="I3725" s="89"/>
    </row>
    <row r="3726" spans="1:9">
      <c r="A3726" s="21"/>
      <c r="B3726"/>
      <c r="F3726" s="87"/>
      <c r="H3726" s="87"/>
      <c r="I3726" s="89"/>
    </row>
    <row r="3727" spans="1:9">
      <c r="A3727" s="21"/>
      <c r="B3727"/>
      <c r="F3727" s="87"/>
      <c r="H3727" s="87"/>
      <c r="I3727" s="89"/>
    </row>
    <row r="3728" spans="1:9">
      <c r="A3728" s="21"/>
      <c r="B3728"/>
      <c r="F3728" s="87"/>
      <c r="H3728" s="87"/>
      <c r="I3728" s="89"/>
    </row>
    <row r="3729" spans="1:9">
      <c r="A3729" s="21"/>
      <c r="B3729"/>
      <c r="F3729" s="87"/>
      <c r="H3729" s="87"/>
      <c r="I3729" s="89"/>
    </row>
    <row r="3730" spans="1:9">
      <c r="A3730" s="21"/>
      <c r="B3730"/>
      <c r="F3730" s="87"/>
      <c r="H3730" s="87"/>
      <c r="I3730" s="89"/>
    </row>
    <row r="3731" spans="1:9">
      <c r="A3731" s="21"/>
      <c r="B3731"/>
      <c r="F3731" s="87"/>
      <c r="H3731" s="87"/>
      <c r="I3731" s="89"/>
    </row>
    <row r="3732" spans="1:9">
      <c r="A3732" s="21"/>
      <c r="B3732"/>
      <c r="F3732" s="87"/>
      <c r="H3732" s="87"/>
      <c r="I3732" s="89"/>
    </row>
    <row r="3733" spans="1:9">
      <c r="A3733" s="21"/>
      <c r="B3733"/>
      <c r="F3733" s="87"/>
      <c r="H3733" s="87"/>
      <c r="I3733" s="89"/>
    </row>
    <row r="3734" spans="1:9">
      <c r="A3734" s="21"/>
      <c r="B3734"/>
      <c r="F3734" s="87"/>
      <c r="H3734" s="87"/>
      <c r="I3734" s="89"/>
    </row>
    <row r="3735" spans="1:9">
      <c r="A3735" s="21"/>
      <c r="B3735"/>
      <c r="F3735" s="87"/>
      <c r="H3735" s="87"/>
      <c r="I3735" s="89"/>
    </row>
    <row r="3736" spans="1:9">
      <c r="A3736" s="21"/>
      <c r="B3736"/>
      <c r="F3736" s="87"/>
      <c r="H3736" s="87"/>
      <c r="I3736" s="89"/>
    </row>
    <row r="3737" spans="1:9">
      <c r="A3737" s="21"/>
      <c r="B3737"/>
      <c r="F3737" s="87"/>
      <c r="H3737" s="87"/>
      <c r="I3737" s="89"/>
    </row>
    <row r="3738" spans="1:9">
      <c r="A3738" s="21"/>
      <c r="B3738"/>
      <c r="F3738" s="87"/>
      <c r="H3738" s="87"/>
      <c r="I3738" s="89"/>
    </row>
    <row r="3739" spans="1:9">
      <c r="A3739" s="21"/>
      <c r="B3739"/>
      <c r="F3739" s="87"/>
      <c r="H3739" s="87"/>
      <c r="I3739" s="89"/>
    </row>
    <row r="3740" spans="1:9">
      <c r="A3740" s="21"/>
      <c r="B3740"/>
      <c r="F3740" s="87"/>
      <c r="H3740" s="87"/>
      <c r="I3740" s="89"/>
    </row>
    <row r="3741" spans="1:9">
      <c r="A3741" s="21"/>
      <c r="B3741"/>
      <c r="F3741" s="87"/>
      <c r="H3741" s="87"/>
      <c r="I3741" s="89"/>
    </row>
    <row r="3742" spans="1:9">
      <c r="A3742" s="21"/>
      <c r="B3742"/>
      <c r="F3742" s="87"/>
      <c r="H3742" s="87"/>
      <c r="I3742" s="89"/>
    </row>
    <row r="3743" spans="1:9">
      <c r="A3743" s="21"/>
      <c r="B3743"/>
      <c r="F3743" s="87"/>
      <c r="H3743" s="87"/>
      <c r="I3743" s="89"/>
    </row>
    <row r="3744" spans="1:9">
      <c r="A3744" s="21"/>
      <c r="B3744"/>
      <c r="F3744" s="87"/>
      <c r="H3744" s="87"/>
      <c r="I3744" s="89"/>
    </row>
    <row r="3745" spans="1:9">
      <c r="A3745" s="21"/>
      <c r="B3745"/>
      <c r="F3745" s="87"/>
      <c r="H3745" s="87"/>
      <c r="I3745" s="89"/>
    </row>
    <row r="3746" spans="1:9">
      <c r="A3746" s="21"/>
      <c r="B3746"/>
      <c r="F3746" s="87"/>
      <c r="H3746" s="87"/>
      <c r="I3746" s="89"/>
    </row>
    <row r="3747" spans="1:9">
      <c r="A3747" s="21"/>
      <c r="B3747"/>
      <c r="F3747" s="87"/>
      <c r="H3747" s="87"/>
      <c r="I3747" s="89"/>
    </row>
    <row r="3748" spans="1:9">
      <c r="A3748" s="21"/>
      <c r="B3748"/>
      <c r="F3748" s="87"/>
      <c r="H3748" s="87"/>
      <c r="I3748" s="89"/>
    </row>
    <row r="3749" spans="1:9">
      <c r="A3749" s="21"/>
      <c r="B3749"/>
      <c r="F3749" s="87"/>
      <c r="H3749" s="87"/>
      <c r="I3749" s="89"/>
    </row>
    <row r="3750" spans="1:9">
      <c r="A3750" s="21"/>
      <c r="B3750"/>
      <c r="F3750" s="87"/>
      <c r="H3750" s="87"/>
      <c r="I3750" s="89"/>
    </row>
    <row r="3751" spans="1:9">
      <c r="A3751" s="21"/>
      <c r="B3751"/>
      <c r="F3751" s="87"/>
      <c r="H3751" s="87"/>
      <c r="I3751" s="89"/>
    </row>
    <row r="3752" spans="1:9">
      <c r="A3752" s="21"/>
      <c r="B3752"/>
      <c r="F3752" s="87"/>
      <c r="H3752" s="87"/>
      <c r="I3752" s="89"/>
    </row>
    <row r="3753" spans="1:9">
      <c r="A3753" s="21"/>
      <c r="B3753"/>
      <c r="F3753" s="87"/>
      <c r="H3753" s="87"/>
      <c r="I3753" s="89"/>
    </row>
    <row r="3754" spans="1:9">
      <c r="A3754" s="21"/>
      <c r="B3754"/>
      <c r="F3754" s="87"/>
      <c r="H3754" s="87"/>
      <c r="I3754" s="89"/>
    </row>
    <row r="3755" spans="1:9">
      <c r="A3755" s="21"/>
      <c r="B3755"/>
      <c r="F3755" s="87"/>
      <c r="H3755" s="87"/>
      <c r="I3755" s="89"/>
    </row>
    <row r="3756" spans="1:9">
      <c r="A3756" s="21"/>
      <c r="B3756"/>
      <c r="F3756" s="87"/>
      <c r="H3756" s="87"/>
      <c r="I3756" s="89"/>
    </row>
    <row r="3757" spans="1:9">
      <c r="A3757" s="21"/>
      <c r="B3757"/>
      <c r="F3757" s="87"/>
      <c r="H3757" s="87"/>
      <c r="I3757" s="89"/>
    </row>
    <row r="3758" spans="1:9">
      <c r="A3758" s="21"/>
      <c r="B3758"/>
      <c r="F3758" s="87"/>
      <c r="H3758" s="87"/>
      <c r="I3758" s="89"/>
    </row>
    <row r="3759" spans="1:9">
      <c r="A3759" s="21"/>
      <c r="B3759"/>
      <c r="F3759" s="87"/>
      <c r="H3759" s="87"/>
      <c r="I3759" s="89"/>
    </row>
    <row r="3760" spans="1:9">
      <c r="A3760" s="21"/>
      <c r="B3760"/>
      <c r="F3760" s="87"/>
      <c r="H3760" s="87"/>
      <c r="I3760" s="89"/>
    </row>
    <row r="3761" spans="1:9">
      <c r="A3761" s="21"/>
      <c r="B3761"/>
      <c r="F3761" s="87"/>
      <c r="H3761" s="87"/>
      <c r="I3761" s="89"/>
    </row>
    <row r="3762" spans="1:9">
      <c r="A3762" s="21"/>
      <c r="B3762"/>
      <c r="F3762" s="87"/>
      <c r="H3762" s="87"/>
      <c r="I3762" s="89"/>
    </row>
    <row r="3763" spans="1:9">
      <c r="A3763" s="21"/>
      <c r="B3763"/>
      <c r="F3763" s="87"/>
      <c r="H3763" s="87"/>
      <c r="I3763" s="89"/>
    </row>
    <row r="3764" spans="1:9">
      <c r="A3764" s="21"/>
      <c r="B3764"/>
      <c r="F3764" s="87"/>
      <c r="H3764" s="87"/>
      <c r="I3764" s="89"/>
    </row>
    <row r="3765" spans="1:9">
      <c r="A3765" s="21"/>
      <c r="B3765"/>
      <c r="F3765" s="87"/>
      <c r="H3765" s="87"/>
      <c r="I3765" s="89"/>
    </row>
    <row r="3766" spans="1:9">
      <c r="A3766" s="21"/>
      <c r="B3766"/>
      <c r="F3766" s="87"/>
      <c r="H3766" s="87"/>
      <c r="I3766" s="89"/>
    </row>
    <row r="3767" spans="1:9">
      <c r="A3767" s="21"/>
      <c r="B3767"/>
      <c r="F3767" s="87"/>
      <c r="H3767" s="87"/>
      <c r="I3767" s="89"/>
    </row>
    <row r="3768" spans="1:9">
      <c r="A3768" s="21"/>
      <c r="B3768"/>
      <c r="F3768" s="87"/>
      <c r="H3768" s="87"/>
      <c r="I3768" s="89"/>
    </row>
    <row r="3769" spans="1:9">
      <c r="A3769" s="21"/>
      <c r="B3769"/>
      <c r="F3769" s="87"/>
      <c r="H3769" s="87"/>
      <c r="I3769" s="89"/>
    </row>
    <row r="3770" spans="1:9">
      <c r="A3770" s="21"/>
      <c r="B3770"/>
      <c r="F3770" s="87"/>
      <c r="H3770" s="87"/>
      <c r="I3770" s="89"/>
    </row>
    <row r="3771" spans="1:9">
      <c r="A3771" s="21"/>
      <c r="B3771"/>
      <c r="F3771" s="87"/>
      <c r="H3771" s="87"/>
      <c r="I3771" s="89"/>
    </row>
    <row r="3772" spans="1:9">
      <c r="A3772" s="21"/>
      <c r="B3772"/>
      <c r="F3772" s="87"/>
      <c r="H3772" s="87"/>
      <c r="I3772" s="89"/>
    </row>
    <row r="3773" spans="1:9">
      <c r="A3773" s="21"/>
      <c r="B3773"/>
      <c r="F3773" s="87"/>
      <c r="H3773" s="87"/>
      <c r="I3773" s="89"/>
    </row>
    <row r="3774" spans="1:9">
      <c r="A3774" s="21"/>
      <c r="B3774"/>
      <c r="F3774" s="87"/>
      <c r="H3774" s="87"/>
      <c r="I3774" s="89"/>
    </row>
    <row r="3775" spans="1:9">
      <c r="A3775" s="21"/>
      <c r="B3775"/>
      <c r="F3775" s="87"/>
      <c r="H3775" s="87"/>
      <c r="I3775" s="89"/>
    </row>
    <row r="3776" spans="1:9">
      <c r="A3776" s="21"/>
      <c r="B3776"/>
      <c r="F3776" s="87"/>
      <c r="H3776" s="87"/>
      <c r="I3776" s="89"/>
    </row>
    <row r="3777" spans="1:9">
      <c r="A3777" s="21"/>
      <c r="B3777"/>
      <c r="F3777" s="87"/>
      <c r="H3777" s="87"/>
      <c r="I3777" s="89"/>
    </row>
    <row r="3778" spans="1:9">
      <c r="A3778" s="21"/>
      <c r="B3778"/>
      <c r="F3778" s="87"/>
      <c r="H3778" s="87"/>
      <c r="I3778" s="89"/>
    </row>
    <row r="3779" spans="1:9">
      <c r="A3779" s="21"/>
      <c r="B3779"/>
      <c r="F3779" s="87"/>
      <c r="H3779" s="87"/>
      <c r="I3779" s="89"/>
    </row>
    <row r="3780" spans="1:9">
      <c r="A3780" s="21"/>
      <c r="B3780"/>
      <c r="F3780" s="87"/>
      <c r="H3780" s="87"/>
      <c r="I3780" s="89"/>
    </row>
    <row r="3781" spans="1:9">
      <c r="A3781" s="21"/>
      <c r="B3781"/>
      <c r="F3781" s="87"/>
      <c r="H3781" s="87"/>
      <c r="I3781" s="89"/>
    </row>
    <row r="3782" spans="1:9">
      <c r="A3782" s="21"/>
      <c r="B3782"/>
      <c r="F3782" s="87"/>
      <c r="H3782" s="87"/>
      <c r="I3782" s="89"/>
    </row>
    <row r="3783" spans="1:9">
      <c r="A3783" s="21"/>
      <c r="B3783"/>
      <c r="F3783" s="87"/>
      <c r="H3783" s="87"/>
      <c r="I3783" s="89"/>
    </row>
    <row r="3784" spans="1:9">
      <c r="A3784" s="21"/>
      <c r="B3784"/>
      <c r="F3784" s="87"/>
      <c r="H3784" s="87"/>
      <c r="I3784" s="89"/>
    </row>
    <row r="3785" spans="1:9">
      <c r="A3785" s="21"/>
      <c r="B3785"/>
      <c r="F3785" s="87"/>
      <c r="H3785" s="87"/>
      <c r="I3785" s="89"/>
    </row>
    <row r="3786" spans="1:9">
      <c r="A3786" s="21"/>
      <c r="B3786"/>
      <c r="F3786" s="87"/>
      <c r="H3786" s="87"/>
      <c r="I3786" s="89"/>
    </row>
    <row r="3787" spans="1:9">
      <c r="A3787" s="21"/>
      <c r="B3787"/>
      <c r="F3787" s="87"/>
      <c r="H3787" s="87"/>
      <c r="I3787" s="89"/>
    </row>
    <row r="3788" spans="1:9">
      <c r="A3788" s="21"/>
      <c r="B3788"/>
      <c r="F3788" s="87"/>
      <c r="H3788" s="87"/>
      <c r="I3788" s="89"/>
    </row>
    <row r="3789" spans="1:9">
      <c r="A3789" s="21"/>
      <c r="B3789"/>
      <c r="F3789" s="87"/>
      <c r="H3789" s="87"/>
      <c r="I3789" s="89"/>
    </row>
    <row r="3790" spans="1:9">
      <c r="A3790" s="21"/>
      <c r="B3790"/>
      <c r="F3790" s="87"/>
      <c r="H3790" s="87"/>
      <c r="I3790" s="89"/>
    </row>
    <row r="3791" spans="1:9">
      <c r="A3791" s="21"/>
      <c r="B3791"/>
      <c r="F3791" s="87"/>
      <c r="H3791" s="87"/>
      <c r="I3791" s="89"/>
    </row>
    <row r="3792" spans="1:9">
      <c r="A3792" s="21"/>
      <c r="B3792"/>
      <c r="F3792" s="87"/>
      <c r="H3792" s="87"/>
      <c r="I3792" s="89"/>
    </row>
    <row r="3793" spans="1:9">
      <c r="A3793" s="21"/>
      <c r="B3793"/>
      <c r="F3793" s="87"/>
      <c r="H3793" s="87"/>
      <c r="I3793" s="89"/>
    </row>
    <row r="3794" spans="1:9">
      <c r="A3794" s="21"/>
      <c r="B3794"/>
      <c r="F3794" s="87"/>
      <c r="H3794" s="87"/>
      <c r="I3794" s="89"/>
    </row>
    <row r="3795" spans="1:9">
      <c r="A3795" s="21"/>
      <c r="B3795"/>
      <c r="F3795" s="87"/>
      <c r="H3795" s="87"/>
      <c r="I3795" s="89"/>
    </row>
    <row r="3796" spans="1:9">
      <c r="A3796" s="21"/>
      <c r="B3796"/>
      <c r="F3796" s="87"/>
      <c r="H3796" s="87"/>
      <c r="I3796" s="89"/>
    </row>
    <row r="3797" spans="1:9">
      <c r="A3797" s="21"/>
      <c r="B3797"/>
      <c r="F3797" s="87"/>
      <c r="H3797" s="87"/>
      <c r="I3797" s="89"/>
    </row>
    <row r="3798" spans="1:9">
      <c r="A3798" s="21"/>
      <c r="B3798"/>
      <c r="F3798" s="87"/>
      <c r="H3798" s="87"/>
      <c r="I3798" s="89"/>
    </row>
    <row r="3799" spans="1:9">
      <c r="A3799" s="21"/>
      <c r="B3799"/>
      <c r="F3799" s="87"/>
      <c r="H3799" s="87"/>
      <c r="I3799" s="89"/>
    </row>
    <row r="3800" spans="1:9">
      <c r="A3800" s="21"/>
      <c r="B3800"/>
      <c r="F3800" s="87"/>
      <c r="H3800" s="87"/>
      <c r="I3800" s="89"/>
    </row>
    <row r="3801" spans="1:9">
      <c r="A3801" s="21"/>
      <c r="B3801"/>
      <c r="F3801" s="87"/>
      <c r="H3801" s="87"/>
      <c r="I3801" s="89"/>
    </row>
    <row r="3802" spans="1:9">
      <c r="A3802" s="21"/>
      <c r="B3802"/>
      <c r="F3802" s="87"/>
      <c r="H3802" s="87"/>
      <c r="I3802" s="89"/>
    </row>
    <row r="3803" spans="1:9">
      <c r="A3803" s="21"/>
      <c r="B3803"/>
      <c r="F3803" s="87"/>
      <c r="H3803" s="87"/>
      <c r="I3803" s="89"/>
    </row>
    <row r="3804" spans="1:9">
      <c r="A3804" s="21"/>
      <c r="B3804"/>
      <c r="F3804" s="87"/>
      <c r="H3804" s="87"/>
      <c r="I3804" s="89"/>
    </row>
    <row r="3805" spans="1:9">
      <c r="A3805" s="21"/>
      <c r="B3805"/>
      <c r="F3805" s="87"/>
      <c r="H3805" s="87"/>
      <c r="I3805" s="89"/>
    </row>
    <row r="3806" spans="1:9">
      <c r="A3806" s="21"/>
      <c r="B3806"/>
      <c r="F3806" s="87"/>
      <c r="H3806" s="87"/>
      <c r="I3806" s="89"/>
    </row>
    <row r="3807" spans="1:9">
      <c r="A3807" s="21"/>
      <c r="B3807"/>
      <c r="F3807" s="87"/>
      <c r="H3807" s="87"/>
      <c r="I3807" s="89"/>
    </row>
    <row r="3808" spans="1:9">
      <c r="A3808" s="21"/>
      <c r="B3808"/>
      <c r="F3808" s="87"/>
      <c r="H3808" s="87"/>
      <c r="I3808" s="89"/>
    </row>
    <row r="3809" spans="1:9">
      <c r="A3809" s="21"/>
      <c r="B3809"/>
      <c r="F3809" s="87"/>
      <c r="H3809" s="87"/>
      <c r="I3809" s="89"/>
    </row>
    <row r="3810" spans="1:9">
      <c r="A3810" s="21"/>
      <c r="B3810"/>
      <c r="F3810" s="87"/>
      <c r="H3810" s="87"/>
      <c r="I3810" s="89"/>
    </row>
    <row r="3811" spans="1:9">
      <c r="A3811" s="21"/>
      <c r="B3811"/>
      <c r="F3811" s="87"/>
      <c r="H3811" s="87"/>
      <c r="I3811" s="89"/>
    </row>
    <row r="3812" spans="1:9">
      <c r="A3812" s="21"/>
      <c r="B3812"/>
      <c r="F3812" s="87"/>
      <c r="H3812" s="87"/>
      <c r="I3812" s="89"/>
    </row>
    <row r="3813" spans="1:9">
      <c r="A3813" s="21"/>
      <c r="B3813"/>
      <c r="F3813" s="87"/>
      <c r="H3813" s="87"/>
      <c r="I3813" s="89"/>
    </row>
    <row r="3814" spans="1:9">
      <c r="A3814" s="21"/>
      <c r="B3814"/>
      <c r="F3814" s="87"/>
      <c r="H3814" s="87"/>
      <c r="I3814" s="89"/>
    </row>
    <row r="3815" spans="1:9">
      <c r="A3815" s="21"/>
      <c r="B3815"/>
      <c r="F3815" s="87"/>
      <c r="H3815" s="87"/>
      <c r="I3815" s="89"/>
    </row>
    <row r="3816" spans="1:9">
      <c r="A3816" s="21"/>
      <c r="B3816"/>
      <c r="F3816" s="87"/>
      <c r="H3816" s="87"/>
      <c r="I3816" s="89"/>
    </row>
    <row r="3817" spans="1:9">
      <c r="A3817" s="21"/>
      <c r="B3817"/>
      <c r="F3817" s="87"/>
      <c r="H3817" s="87"/>
      <c r="I3817" s="89"/>
    </row>
    <row r="3818" spans="1:9">
      <c r="A3818" s="21"/>
      <c r="B3818"/>
      <c r="F3818" s="87"/>
      <c r="H3818" s="87"/>
      <c r="I3818" s="89"/>
    </row>
    <row r="3819" spans="1:9">
      <c r="A3819" s="21"/>
      <c r="B3819"/>
      <c r="F3819" s="87"/>
      <c r="H3819" s="87"/>
      <c r="I3819" s="89"/>
    </row>
    <row r="3820" spans="1:9">
      <c r="A3820" s="21"/>
      <c r="B3820"/>
      <c r="F3820" s="87"/>
      <c r="H3820" s="87"/>
      <c r="I3820" s="89"/>
    </row>
    <row r="3821" spans="1:9">
      <c r="A3821" s="21"/>
      <c r="B3821"/>
      <c r="F3821" s="87"/>
      <c r="H3821" s="87"/>
      <c r="I3821" s="89"/>
    </row>
    <row r="3822" spans="1:9">
      <c r="A3822" s="21"/>
      <c r="B3822"/>
      <c r="F3822" s="87"/>
      <c r="H3822" s="87"/>
      <c r="I3822" s="89"/>
    </row>
    <row r="3823" spans="1:9">
      <c r="A3823" s="21"/>
      <c r="B3823"/>
      <c r="F3823" s="87"/>
      <c r="H3823" s="87"/>
      <c r="I3823" s="89"/>
    </row>
    <row r="3824" spans="1:9">
      <c r="A3824" s="21"/>
      <c r="B3824"/>
      <c r="F3824" s="87"/>
      <c r="H3824" s="87"/>
      <c r="I3824" s="89"/>
    </row>
    <row r="3825" spans="1:9">
      <c r="A3825" s="21"/>
      <c r="B3825"/>
      <c r="F3825" s="87"/>
      <c r="H3825" s="87"/>
      <c r="I3825" s="89"/>
    </row>
    <row r="3826" spans="1:9">
      <c r="A3826" s="21"/>
      <c r="B3826"/>
      <c r="F3826" s="87"/>
      <c r="H3826" s="87"/>
      <c r="I3826" s="89"/>
    </row>
    <row r="3827" spans="1:9">
      <c r="A3827" s="21"/>
      <c r="B3827"/>
      <c r="F3827" s="87"/>
      <c r="H3827" s="87"/>
      <c r="I3827" s="89"/>
    </row>
    <row r="3828" spans="1:9">
      <c r="A3828" s="21"/>
      <c r="B3828"/>
      <c r="F3828" s="87"/>
      <c r="H3828" s="87"/>
      <c r="I3828" s="89"/>
    </row>
    <row r="3829" spans="1:9">
      <c r="A3829" s="21"/>
      <c r="B3829"/>
      <c r="F3829" s="87"/>
      <c r="H3829" s="87"/>
      <c r="I3829" s="89"/>
    </row>
    <row r="3830" spans="1:9">
      <c r="A3830" s="21"/>
      <c r="B3830"/>
      <c r="F3830" s="87"/>
      <c r="H3830" s="87"/>
      <c r="I3830" s="89"/>
    </row>
    <row r="3831" spans="1:9">
      <c r="A3831" s="21"/>
      <c r="B3831"/>
      <c r="F3831" s="87"/>
      <c r="H3831" s="87"/>
      <c r="I3831" s="89"/>
    </row>
    <row r="3832" spans="1:9">
      <c r="A3832" s="21"/>
      <c r="B3832"/>
      <c r="F3832" s="87"/>
      <c r="H3832" s="87"/>
      <c r="I3832" s="89"/>
    </row>
    <row r="3833" spans="1:9">
      <c r="A3833" s="21"/>
      <c r="B3833"/>
      <c r="F3833" s="87"/>
      <c r="H3833" s="87"/>
      <c r="I3833" s="89"/>
    </row>
    <row r="3834" spans="1:9">
      <c r="A3834" s="21"/>
      <c r="B3834"/>
      <c r="F3834" s="87"/>
      <c r="H3834" s="87"/>
      <c r="I3834" s="89"/>
    </row>
    <row r="3835" spans="1:9">
      <c r="A3835" s="21"/>
      <c r="B3835"/>
      <c r="F3835" s="87"/>
      <c r="H3835" s="87"/>
      <c r="I3835" s="89"/>
    </row>
    <row r="3836" spans="1:9">
      <c r="A3836" s="21"/>
      <c r="B3836"/>
      <c r="F3836" s="87"/>
      <c r="H3836" s="87"/>
      <c r="I3836" s="89"/>
    </row>
    <row r="3837" spans="1:9">
      <c r="A3837" s="21"/>
      <c r="B3837"/>
      <c r="F3837" s="87"/>
      <c r="H3837" s="87"/>
      <c r="I3837" s="89"/>
    </row>
    <row r="3838" spans="1:9">
      <c r="A3838" s="21"/>
      <c r="B3838"/>
      <c r="F3838" s="87"/>
      <c r="H3838" s="87"/>
      <c r="I3838" s="89"/>
    </row>
    <row r="3839" spans="1:9">
      <c r="A3839" s="21"/>
      <c r="B3839"/>
      <c r="F3839" s="87"/>
      <c r="H3839" s="87"/>
      <c r="I3839" s="89"/>
    </row>
    <row r="3840" spans="1:9">
      <c r="A3840" s="21"/>
      <c r="B3840"/>
      <c r="F3840" s="87"/>
      <c r="H3840" s="87"/>
      <c r="I3840" s="89"/>
    </row>
    <row r="3841" spans="1:9">
      <c r="A3841" s="21"/>
      <c r="B3841"/>
      <c r="F3841" s="87"/>
      <c r="H3841" s="87"/>
      <c r="I3841" s="89"/>
    </row>
    <row r="3842" spans="1:9">
      <c r="A3842" s="21"/>
      <c r="B3842"/>
      <c r="F3842" s="87"/>
      <c r="H3842" s="87"/>
      <c r="I3842" s="89"/>
    </row>
    <row r="3843" spans="1:9">
      <c r="A3843" s="21"/>
      <c r="B3843"/>
      <c r="F3843" s="87"/>
      <c r="H3843" s="87"/>
      <c r="I3843" s="89"/>
    </row>
    <row r="3844" spans="1:9">
      <c r="A3844" s="21"/>
      <c r="B3844"/>
      <c r="F3844" s="87"/>
      <c r="H3844" s="87"/>
      <c r="I3844" s="89"/>
    </row>
    <row r="3845" spans="1:9">
      <c r="A3845" s="21"/>
      <c r="B3845"/>
      <c r="F3845" s="87"/>
      <c r="H3845" s="87"/>
      <c r="I3845" s="89"/>
    </row>
    <row r="3846" spans="1:9">
      <c r="A3846" s="21"/>
      <c r="B3846"/>
      <c r="F3846" s="87"/>
      <c r="H3846" s="87"/>
      <c r="I3846" s="89"/>
    </row>
    <row r="3847" spans="1:9">
      <c r="A3847" s="21"/>
      <c r="B3847"/>
      <c r="F3847" s="87"/>
      <c r="H3847" s="87"/>
      <c r="I3847" s="89"/>
    </row>
    <row r="3848" spans="1:9">
      <c r="A3848" s="21"/>
      <c r="B3848"/>
      <c r="F3848" s="87"/>
      <c r="H3848" s="87"/>
      <c r="I3848" s="89"/>
    </row>
    <row r="3849" spans="1:9">
      <c r="A3849" s="21"/>
      <c r="B3849"/>
      <c r="F3849" s="87"/>
      <c r="H3849" s="87"/>
      <c r="I3849" s="89"/>
    </row>
    <row r="3850" spans="1:9">
      <c r="A3850" s="21"/>
      <c r="B3850"/>
      <c r="F3850" s="87"/>
      <c r="H3850" s="87"/>
      <c r="I3850" s="89"/>
    </row>
    <row r="3851" spans="1:9">
      <c r="A3851" s="21"/>
      <c r="B3851"/>
      <c r="F3851" s="87"/>
      <c r="H3851" s="87"/>
      <c r="I3851" s="89"/>
    </row>
    <row r="3852" spans="1:9">
      <c r="A3852" s="21"/>
      <c r="B3852"/>
      <c r="F3852" s="87"/>
      <c r="H3852" s="87"/>
      <c r="I3852" s="89"/>
    </row>
    <row r="3853" spans="1:9">
      <c r="A3853" s="21"/>
      <c r="B3853"/>
      <c r="F3853" s="87"/>
      <c r="H3853" s="87"/>
      <c r="I3853" s="89"/>
    </row>
    <row r="3854" spans="1:9">
      <c r="A3854" s="21"/>
      <c r="B3854"/>
      <c r="F3854" s="87"/>
      <c r="H3854" s="87"/>
      <c r="I3854" s="89"/>
    </row>
    <row r="3855" spans="1:9">
      <c r="A3855" s="21"/>
      <c r="B3855"/>
      <c r="F3855" s="87"/>
      <c r="H3855" s="87"/>
      <c r="I3855" s="89"/>
    </row>
    <row r="3856" spans="1:9">
      <c r="A3856" s="21"/>
      <c r="B3856"/>
      <c r="F3856" s="87"/>
      <c r="H3856" s="87"/>
      <c r="I3856" s="89"/>
    </row>
    <row r="3857" spans="1:9">
      <c r="A3857" s="21"/>
      <c r="B3857"/>
      <c r="F3857" s="87"/>
      <c r="H3857" s="87"/>
      <c r="I3857" s="89"/>
    </row>
    <row r="3858" spans="1:9">
      <c r="A3858" s="21"/>
      <c r="B3858"/>
      <c r="F3858" s="87"/>
      <c r="H3858" s="87"/>
      <c r="I3858" s="89"/>
    </row>
    <row r="3859" spans="1:9">
      <c r="A3859" s="21"/>
      <c r="B3859"/>
      <c r="F3859" s="87"/>
      <c r="H3859" s="87"/>
      <c r="I3859" s="89"/>
    </row>
    <row r="3860" spans="1:9">
      <c r="A3860" s="21"/>
      <c r="B3860"/>
      <c r="F3860" s="87"/>
      <c r="H3860" s="87"/>
      <c r="I3860" s="89"/>
    </row>
    <row r="3861" spans="1:9">
      <c r="A3861" s="21"/>
      <c r="B3861"/>
      <c r="F3861" s="87"/>
      <c r="H3861" s="87"/>
      <c r="I3861" s="89"/>
    </row>
    <row r="3862" spans="1:9">
      <c r="A3862" s="21"/>
      <c r="B3862"/>
      <c r="F3862" s="87"/>
      <c r="H3862" s="87"/>
      <c r="I3862" s="89"/>
    </row>
    <row r="3863" spans="1:9">
      <c r="A3863" s="21"/>
      <c r="B3863"/>
      <c r="F3863" s="87"/>
      <c r="H3863" s="87"/>
      <c r="I3863" s="89"/>
    </row>
    <row r="3864" spans="1:9">
      <c r="A3864" s="21"/>
      <c r="B3864"/>
      <c r="F3864" s="87"/>
      <c r="H3864" s="87"/>
      <c r="I3864" s="89"/>
    </row>
    <row r="3865" spans="1:9">
      <c r="A3865" s="21"/>
      <c r="B3865"/>
      <c r="F3865" s="87"/>
      <c r="H3865" s="87"/>
      <c r="I3865" s="89"/>
    </row>
    <row r="3866" spans="1:9">
      <c r="A3866" s="21"/>
      <c r="B3866"/>
      <c r="F3866" s="87"/>
      <c r="H3866" s="87"/>
      <c r="I3866" s="89"/>
    </row>
    <row r="3867" spans="1:9">
      <c r="A3867" s="21"/>
      <c r="B3867"/>
      <c r="F3867" s="87"/>
      <c r="H3867" s="87"/>
      <c r="I3867" s="89"/>
    </row>
    <row r="3868" spans="1:9">
      <c r="A3868" s="21"/>
      <c r="B3868"/>
      <c r="F3868" s="87"/>
      <c r="H3868" s="87"/>
      <c r="I3868" s="89"/>
    </row>
    <row r="3869" spans="1:9">
      <c r="A3869" s="21"/>
      <c r="B3869"/>
      <c r="F3869" s="87"/>
      <c r="H3869" s="87"/>
      <c r="I3869" s="89"/>
    </row>
    <row r="3870" spans="1:9">
      <c r="A3870" s="21"/>
      <c r="B3870"/>
      <c r="F3870" s="87"/>
      <c r="H3870" s="87"/>
      <c r="I3870" s="89"/>
    </row>
    <row r="3871" spans="1:9">
      <c r="A3871" s="21"/>
      <c r="B3871"/>
      <c r="F3871" s="87"/>
      <c r="H3871" s="87"/>
      <c r="I3871" s="89"/>
    </row>
    <row r="3872" spans="1:9">
      <c r="A3872" s="21"/>
      <c r="B3872"/>
      <c r="F3872" s="87"/>
      <c r="H3872" s="87"/>
      <c r="I3872" s="89"/>
    </row>
    <row r="3873" spans="1:9">
      <c r="A3873" s="21"/>
      <c r="B3873"/>
      <c r="F3873" s="87"/>
      <c r="H3873" s="87"/>
      <c r="I3873" s="89"/>
    </row>
    <row r="3874" spans="1:9">
      <c r="A3874" s="21"/>
      <c r="B3874"/>
      <c r="F3874" s="87"/>
      <c r="H3874" s="87"/>
      <c r="I3874" s="89"/>
    </row>
    <row r="3875" spans="1:9">
      <c r="A3875" s="21"/>
      <c r="B3875"/>
      <c r="F3875" s="87"/>
      <c r="H3875" s="87"/>
      <c r="I3875" s="89"/>
    </row>
    <row r="3876" spans="1:9">
      <c r="A3876" s="21"/>
      <c r="B3876"/>
      <c r="F3876" s="87"/>
      <c r="H3876" s="87"/>
      <c r="I3876" s="89"/>
    </row>
    <row r="3877" spans="1:9">
      <c r="A3877" s="21"/>
      <c r="B3877"/>
      <c r="F3877" s="87"/>
      <c r="H3877" s="87"/>
      <c r="I3877" s="89"/>
    </row>
    <row r="3878" spans="1:9">
      <c r="A3878" s="21"/>
      <c r="B3878"/>
      <c r="F3878" s="87"/>
      <c r="H3878" s="87"/>
      <c r="I3878" s="89"/>
    </row>
    <row r="3879" spans="1:9">
      <c r="A3879" s="21"/>
      <c r="B3879"/>
      <c r="F3879" s="87"/>
      <c r="H3879" s="87"/>
      <c r="I3879" s="89"/>
    </row>
    <row r="3880" spans="1:9">
      <c r="A3880" s="21"/>
      <c r="B3880"/>
      <c r="F3880" s="87"/>
      <c r="H3880" s="87"/>
      <c r="I3880" s="89"/>
    </row>
    <row r="3881" spans="1:9">
      <c r="A3881" s="21"/>
      <c r="B3881"/>
      <c r="F3881" s="87"/>
      <c r="H3881" s="87"/>
      <c r="I3881" s="89"/>
    </row>
    <row r="3882" spans="1:9">
      <c r="A3882" s="21"/>
      <c r="B3882"/>
      <c r="F3882" s="87"/>
      <c r="H3882" s="87"/>
      <c r="I3882" s="89"/>
    </row>
    <row r="3883" spans="1:9">
      <c r="A3883" s="21"/>
      <c r="B3883"/>
      <c r="F3883" s="87"/>
      <c r="H3883" s="87"/>
      <c r="I3883" s="89"/>
    </row>
    <row r="3884" spans="1:9">
      <c r="A3884" s="21"/>
      <c r="B3884"/>
      <c r="F3884" s="87"/>
      <c r="H3884" s="87"/>
      <c r="I3884" s="89"/>
    </row>
    <row r="3885" spans="1:9">
      <c r="A3885" s="21"/>
      <c r="B3885"/>
      <c r="F3885" s="87"/>
      <c r="H3885" s="87"/>
      <c r="I3885" s="89"/>
    </row>
    <row r="3886" spans="1:9">
      <c r="A3886" s="21"/>
      <c r="B3886"/>
      <c r="F3886" s="87"/>
      <c r="H3886" s="87"/>
      <c r="I3886" s="89"/>
    </row>
    <row r="3887" spans="1:9">
      <c r="A3887" s="21"/>
      <c r="B3887"/>
      <c r="F3887" s="87"/>
      <c r="H3887" s="87"/>
      <c r="I3887" s="89"/>
    </row>
    <row r="3888" spans="1:9">
      <c r="A3888" s="21"/>
      <c r="B3888"/>
      <c r="F3888" s="87"/>
      <c r="H3888" s="87"/>
      <c r="I3888" s="89"/>
    </row>
    <row r="3889" spans="1:9">
      <c r="A3889" s="21"/>
      <c r="B3889"/>
      <c r="F3889" s="87"/>
      <c r="H3889" s="87"/>
      <c r="I3889" s="89"/>
    </row>
    <row r="3890" spans="1:9">
      <c r="A3890" s="21"/>
      <c r="B3890"/>
      <c r="F3890" s="87"/>
      <c r="H3890" s="87"/>
      <c r="I3890" s="89"/>
    </row>
    <row r="3891" spans="1:9">
      <c r="A3891" s="21"/>
      <c r="B3891"/>
      <c r="F3891" s="87"/>
      <c r="H3891" s="87"/>
      <c r="I3891" s="89"/>
    </row>
    <row r="3892" spans="1:9">
      <c r="A3892" s="21"/>
      <c r="B3892"/>
      <c r="F3892" s="87"/>
      <c r="H3892" s="87"/>
      <c r="I3892" s="89"/>
    </row>
    <row r="3893" spans="1:9">
      <c r="A3893" s="21"/>
      <c r="B3893"/>
      <c r="F3893" s="87"/>
      <c r="H3893" s="87"/>
      <c r="I3893" s="89"/>
    </row>
    <row r="3894" spans="1:9">
      <c r="A3894" s="21"/>
      <c r="B3894"/>
      <c r="F3894" s="87"/>
      <c r="H3894" s="87"/>
      <c r="I3894" s="89"/>
    </row>
    <row r="3895" spans="1:9">
      <c r="A3895" s="21"/>
      <c r="B3895"/>
      <c r="F3895" s="87"/>
      <c r="H3895" s="87"/>
      <c r="I3895" s="89"/>
    </row>
    <row r="3896" spans="1:9">
      <c r="A3896" s="21"/>
      <c r="B3896"/>
      <c r="F3896" s="87"/>
      <c r="H3896" s="87"/>
      <c r="I3896" s="89"/>
    </row>
    <row r="3897" spans="1:9">
      <c r="A3897" s="21"/>
      <c r="B3897"/>
      <c r="F3897" s="87"/>
      <c r="H3897" s="87"/>
      <c r="I3897" s="89"/>
    </row>
    <row r="3898" spans="1:9">
      <c r="A3898" s="21"/>
      <c r="B3898"/>
      <c r="F3898" s="87"/>
      <c r="H3898" s="87"/>
      <c r="I3898" s="89"/>
    </row>
    <row r="3899" spans="1:9">
      <c r="A3899" s="21"/>
      <c r="B3899"/>
      <c r="F3899" s="87"/>
      <c r="H3899" s="87"/>
      <c r="I3899" s="89"/>
    </row>
    <row r="3900" spans="1:9">
      <c r="A3900" s="21"/>
      <c r="B3900"/>
      <c r="F3900" s="87"/>
      <c r="H3900" s="87"/>
      <c r="I3900" s="89"/>
    </row>
    <row r="3901" spans="1:9">
      <c r="A3901" s="21"/>
      <c r="B3901"/>
      <c r="F3901" s="87"/>
      <c r="H3901" s="87"/>
      <c r="I3901" s="89"/>
    </row>
    <row r="3902" spans="1:9">
      <c r="A3902" s="21"/>
      <c r="B3902"/>
      <c r="F3902" s="87"/>
      <c r="H3902" s="87"/>
      <c r="I3902" s="89"/>
    </row>
    <row r="3903" spans="1:9">
      <c r="A3903" s="21"/>
      <c r="B3903"/>
      <c r="F3903" s="87"/>
      <c r="H3903" s="87"/>
      <c r="I3903" s="89"/>
    </row>
    <row r="3904" spans="1:9">
      <c r="A3904" s="21"/>
      <c r="B3904"/>
      <c r="F3904" s="87"/>
      <c r="H3904" s="87"/>
      <c r="I3904" s="89"/>
    </row>
    <row r="3905" spans="1:9">
      <c r="A3905" s="21"/>
      <c r="B3905"/>
      <c r="F3905" s="87"/>
      <c r="H3905" s="87"/>
      <c r="I3905" s="89"/>
    </row>
    <row r="3906" spans="1:9">
      <c r="A3906" s="21"/>
      <c r="B3906"/>
      <c r="F3906" s="87"/>
      <c r="H3906" s="87"/>
      <c r="I3906" s="89"/>
    </row>
    <row r="3907" spans="1:9">
      <c r="A3907" s="21"/>
      <c r="B3907"/>
      <c r="F3907" s="87"/>
      <c r="H3907" s="87"/>
      <c r="I3907" s="89"/>
    </row>
    <row r="3908" spans="1:9">
      <c r="A3908" s="21"/>
      <c r="B3908"/>
      <c r="F3908" s="87"/>
      <c r="H3908" s="87"/>
      <c r="I3908" s="89"/>
    </row>
    <row r="3909" spans="1:9">
      <c r="A3909" s="21"/>
      <c r="B3909"/>
      <c r="F3909" s="87"/>
      <c r="H3909" s="87"/>
      <c r="I3909" s="89"/>
    </row>
    <row r="3910" spans="1:9">
      <c r="A3910" s="21"/>
      <c r="B3910"/>
      <c r="F3910" s="87"/>
      <c r="H3910" s="87"/>
      <c r="I3910" s="89"/>
    </row>
    <row r="3911" spans="1:9">
      <c r="A3911" s="21"/>
      <c r="B3911"/>
      <c r="F3911" s="87"/>
      <c r="H3911" s="87"/>
      <c r="I3911" s="89"/>
    </row>
    <row r="3912" spans="1:9">
      <c r="A3912" s="21"/>
      <c r="B3912"/>
      <c r="F3912" s="87"/>
      <c r="H3912" s="87"/>
      <c r="I3912" s="89"/>
    </row>
    <row r="3913" spans="1:9">
      <c r="A3913" s="21"/>
      <c r="B3913"/>
      <c r="F3913" s="87"/>
      <c r="H3913" s="87"/>
      <c r="I3913" s="89"/>
    </row>
    <row r="3914" spans="1:9">
      <c r="A3914" s="21"/>
      <c r="B3914"/>
      <c r="F3914" s="87"/>
      <c r="H3914" s="87"/>
      <c r="I3914" s="89"/>
    </row>
    <row r="3915" spans="1:9">
      <c r="A3915" s="21"/>
      <c r="B3915"/>
      <c r="F3915" s="87"/>
      <c r="H3915" s="87"/>
      <c r="I3915" s="89"/>
    </row>
    <row r="3916" spans="1:9">
      <c r="A3916" s="21"/>
      <c r="B3916"/>
      <c r="F3916" s="87"/>
      <c r="H3916" s="87"/>
      <c r="I3916" s="89"/>
    </row>
    <row r="3917" spans="1:9">
      <c r="A3917" s="21"/>
      <c r="B3917"/>
      <c r="F3917" s="87"/>
      <c r="H3917" s="87"/>
      <c r="I3917" s="89"/>
    </row>
    <row r="3918" spans="1:9">
      <c r="A3918" s="21"/>
      <c r="B3918"/>
      <c r="F3918" s="87"/>
      <c r="H3918" s="87"/>
      <c r="I3918" s="89"/>
    </row>
    <row r="3919" spans="1:9">
      <c r="A3919" s="21"/>
      <c r="B3919"/>
      <c r="F3919" s="87"/>
      <c r="H3919" s="87"/>
      <c r="I3919" s="89"/>
    </row>
    <row r="3920" spans="1:9">
      <c r="A3920" s="21"/>
      <c r="B3920"/>
      <c r="F3920" s="87"/>
      <c r="H3920" s="87"/>
      <c r="I3920" s="89"/>
    </row>
    <row r="3921" spans="1:9">
      <c r="A3921" s="21"/>
      <c r="B3921"/>
      <c r="F3921" s="87"/>
      <c r="H3921" s="87"/>
      <c r="I3921" s="89"/>
    </row>
    <row r="3922" spans="1:9">
      <c r="A3922" s="21"/>
      <c r="B3922"/>
      <c r="F3922" s="87"/>
      <c r="H3922" s="87"/>
      <c r="I3922" s="89"/>
    </row>
    <row r="3923" spans="1:9">
      <c r="A3923" s="21"/>
      <c r="B3923"/>
      <c r="F3923" s="87"/>
      <c r="H3923" s="87"/>
      <c r="I3923" s="89"/>
    </row>
    <row r="3924" spans="1:9">
      <c r="A3924" s="21"/>
      <c r="B3924"/>
      <c r="F3924" s="87"/>
      <c r="H3924" s="87"/>
      <c r="I3924" s="89"/>
    </row>
    <row r="3925" spans="1:9">
      <c r="A3925" s="21"/>
      <c r="B3925"/>
      <c r="F3925" s="87"/>
      <c r="H3925" s="87"/>
      <c r="I3925" s="89"/>
    </row>
    <row r="3926" spans="1:9">
      <c r="A3926" s="21"/>
      <c r="B3926"/>
      <c r="F3926" s="87"/>
      <c r="H3926" s="87"/>
      <c r="I3926" s="89"/>
    </row>
    <row r="3927" spans="1:9">
      <c r="A3927" s="21"/>
      <c r="B3927"/>
      <c r="F3927" s="87"/>
      <c r="H3927" s="87"/>
      <c r="I3927" s="89"/>
    </row>
    <row r="3928" spans="1:9">
      <c r="A3928" s="21"/>
      <c r="B3928"/>
      <c r="F3928" s="87"/>
      <c r="H3928" s="87"/>
      <c r="I3928" s="89"/>
    </row>
    <row r="3929" spans="1:9">
      <c r="A3929" s="21"/>
      <c r="B3929"/>
      <c r="F3929" s="87"/>
      <c r="H3929" s="87"/>
      <c r="I3929" s="89"/>
    </row>
    <row r="3930" spans="1:9">
      <c r="A3930" s="21"/>
      <c r="B3930"/>
      <c r="F3930" s="87"/>
      <c r="H3930" s="87"/>
      <c r="I3930" s="89"/>
    </row>
    <row r="3931" spans="1:9">
      <c r="A3931" s="21"/>
      <c r="B3931"/>
      <c r="F3931" s="87"/>
      <c r="H3931" s="87"/>
      <c r="I3931" s="89"/>
    </row>
    <row r="3932" spans="1:9">
      <c r="A3932" s="21"/>
      <c r="B3932"/>
      <c r="F3932" s="87"/>
      <c r="H3932" s="87"/>
      <c r="I3932" s="89"/>
    </row>
    <row r="3933" spans="1:9">
      <c r="A3933" s="21"/>
      <c r="B3933"/>
      <c r="F3933" s="87"/>
      <c r="H3933" s="87"/>
      <c r="I3933" s="89"/>
    </row>
    <row r="3934" spans="1:9">
      <c r="A3934" s="21"/>
      <c r="B3934"/>
      <c r="F3934" s="87"/>
      <c r="H3934" s="87"/>
      <c r="I3934" s="89"/>
    </row>
    <row r="3935" spans="1:9">
      <c r="A3935" s="21"/>
      <c r="B3935"/>
      <c r="F3935" s="87"/>
      <c r="H3935" s="87"/>
      <c r="I3935" s="89"/>
    </row>
    <row r="3936" spans="1:9">
      <c r="A3936" s="21"/>
      <c r="B3936"/>
      <c r="F3936" s="87"/>
      <c r="H3936" s="87"/>
      <c r="I3936" s="89"/>
    </row>
    <row r="3937" spans="1:9">
      <c r="A3937" s="21"/>
      <c r="B3937"/>
      <c r="F3937" s="87"/>
      <c r="H3937" s="87"/>
      <c r="I3937" s="89"/>
    </row>
    <row r="3938" spans="1:9">
      <c r="A3938" s="21"/>
      <c r="B3938"/>
      <c r="F3938" s="87"/>
      <c r="H3938" s="87"/>
      <c r="I3938" s="89"/>
    </row>
    <row r="3939" spans="1:9">
      <c r="A3939" s="21"/>
      <c r="B3939"/>
      <c r="F3939" s="87"/>
      <c r="H3939" s="87"/>
      <c r="I3939" s="89"/>
    </row>
    <row r="3940" spans="1:9">
      <c r="A3940" s="21"/>
      <c r="B3940"/>
      <c r="F3940" s="87"/>
      <c r="H3940" s="87"/>
      <c r="I3940" s="89"/>
    </row>
    <row r="3941" spans="1:9">
      <c r="A3941" s="21"/>
      <c r="B3941"/>
      <c r="F3941" s="87"/>
      <c r="H3941" s="87"/>
      <c r="I3941" s="89"/>
    </row>
    <row r="3942" spans="1:9">
      <c r="A3942" s="21"/>
      <c r="B3942"/>
      <c r="F3942" s="87"/>
      <c r="H3942" s="87"/>
      <c r="I3942" s="89"/>
    </row>
    <row r="3943" spans="1:9">
      <c r="A3943" s="21"/>
      <c r="B3943"/>
      <c r="F3943" s="87"/>
      <c r="H3943" s="87"/>
      <c r="I3943" s="89"/>
    </row>
    <row r="3944" spans="1:9">
      <c r="A3944" s="21"/>
      <c r="B3944"/>
      <c r="F3944" s="87"/>
      <c r="H3944" s="87"/>
      <c r="I3944" s="89"/>
    </row>
    <row r="3945" spans="1:9">
      <c r="A3945" s="21"/>
      <c r="B3945"/>
      <c r="F3945" s="87"/>
      <c r="H3945" s="87"/>
      <c r="I3945" s="89"/>
    </row>
    <row r="3946" spans="1:9">
      <c r="A3946" s="21"/>
      <c r="B3946"/>
      <c r="F3946" s="87"/>
      <c r="H3946" s="87"/>
      <c r="I3946" s="89"/>
    </row>
    <row r="3947" spans="1:9">
      <c r="A3947" s="21"/>
      <c r="B3947"/>
      <c r="F3947" s="87"/>
      <c r="H3947" s="87"/>
      <c r="I3947" s="89"/>
    </row>
    <row r="3948" spans="1:9">
      <c r="A3948" s="21"/>
      <c r="B3948"/>
      <c r="F3948" s="87"/>
      <c r="H3948" s="87"/>
      <c r="I3948" s="89"/>
    </row>
    <row r="3949" spans="1:9">
      <c r="A3949" s="21"/>
      <c r="B3949"/>
      <c r="F3949" s="87"/>
      <c r="H3949" s="87"/>
      <c r="I3949" s="89"/>
    </row>
    <row r="3950" spans="1:9">
      <c r="A3950" s="21"/>
      <c r="B3950"/>
      <c r="F3950" s="87"/>
      <c r="H3950" s="87"/>
      <c r="I3950" s="89"/>
    </row>
    <row r="3951" spans="1:9">
      <c r="A3951" s="21"/>
      <c r="B3951"/>
      <c r="F3951" s="87"/>
      <c r="H3951" s="87"/>
      <c r="I3951" s="89"/>
    </row>
    <row r="3952" spans="1:9">
      <c r="A3952" s="21"/>
      <c r="B3952"/>
      <c r="F3952" s="87"/>
      <c r="H3952" s="87"/>
      <c r="I3952" s="89"/>
    </row>
    <row r="3953" spans="1:9">
      <c r="A3953" s="21"/>
      <c r="B3953"/>
      <c r="F3953" s="87"/>
      <c r="H3953" s="87"/>
      <c r="I3953" s="89"/>
    </row>
    <row r="3954" spans="1:9">
      <c r="A3954" s="21"/>
      <c r="B3954"/>
      <c r="F3954" s="87"/>
      <c r="H3954" s="87"/>
      <c r="I3954" s="89"/>
    </row>
    <row r="3955" spans="1:9">
      <c r="A3955" s="21"/>
      <c r="B3955"/>
      <c r="F3955" s="87"/>
      <c r="H3955" s="87"/>
      <c r="I3955" s="89"/>
    </row>
    <row r="3956" spans="1:9">
      <c r="A3956" s="21"/>
      <c r="B3956"/>
      <c r="F3956" s="87"/>
      <c r="H3956" s="87"/>
      <c r="I3956" s="89"/>
    </row>
    <row r="3957" spans="1:9">
      <c r="A3957" s="21"/>
      <c r="B3957"/>
      <c r="F3957" s="87"/>
      <c r="H3957" s="87"/>
      <c r="I3957" s="89"/>
    </row>
    <row r="3958" spans="1:9">
      <c r="A3958" s="21"/>
      <c r="B3958"/>
      <c r="F3958" s="87"/>
      <c r="H3958" s="87"/>
      <c r="I3958" s="89"/>
    </row>
    <row r="3959" spans="1:9">
      <c r="A3959" s="21"/>
      <c r="B3959"/>
      <c r="F3959" s="87"/>
      <c r="H3959" s="87"/>
      <c r="I3959" s="89"/>
    </row>
    <row r="3960" spans="1:9">
      <c r="A3960" s="21"/>
      <c r="B3960"/>
      <c r="F3960" s="87"/>
      <c r="H3960" s="87"/>
      <c r="I3960" s="89"/>
    </row>
    <row r="3961" spans="1:9">
      <c r="A3961" s="21"/>
      <c r="B3961"/>
      <c r="F3961" s="87"/>
      <c r="H3961" s="87"/>
      <c r="I3961" s="89"/>
    </row>
    <row r="3962" spans="1:9">
      <c r="A3962" s="21"/>
      <c r="B3962"/>
      <c r="F3962" s="87"/>
      <c r="H3962" s="87"/>
      <c r="I3962" s="89"/>
    </row>
    <row r="3963" spans="1:9">
      <c r="A3963" s="21"/>
      <c r="B3963"/>
      <c r="F3963" s="87"/>
      <c r="H3963" s="87"/>
      <c r="I3963" s="89"/>
    </row>
    <row r="3964" spans="1:9">
      <c r="A3964" s="21"/>
      <c r="B3964"/>
      <c r="F3964" s="87"/>
      <c r="H3964" s="87"/>
      <c r="I3964" s="89"/>
    </row>
    <row r="3965" spans="1:9">
      <c r="A3965" s="21"/>
      <c r="B3965"/>
      <c r="F3965" s="87"/>
      <c r="H3965" s="87"/>
      <c r="I3965" s="89"/>
    </row>
    <row r="3966" spans="1:9">
      <c r="A3966" s="21"/>
      <c r="B3966"/>
      <c r="F3966" s="87"/>
      <c r="H3966" s="87"/>
      <c r="I3966" s="89"/>
    </row>
    <row r="3967" spans="1:9">
      <c r="A3967" s="21"/>
      <c r="B3967"/>
      <c r="F3967" s="87"/>
      <c r="H3967" s="87"/>
      <c r="I3967" s="89"/>
    </row>
    <row r="3968" spans="1:9">
      <c r="A3968" s="21"/>
      <c r="B3968"/>
      <c r="F3968" s="87"/>
      <c r="H3968" s="87"/>
      <c r="I3968" s="89"/>
    </row>
    <row r="3969" spans="1:9">
      <c r="A3969" s="21"/>
      <c r="B3969"/>
      <c r="F3969" s="87"/>
      <c r="H3969" s="87"/>
      <c r="I3969" s="89"/>
    </row>
    <row r="3970" spans="1:9">
      <c r="A3970" s="21"/>
      <c r="B3970"/>
      <c r="F3970" s="87"/>
      <c r="H3970" s="87"/>
      <c r="I3970" s="89"/>
    </row>
    <row r="3971" spans="1:9">
      <c r="A3971" s="21"/>
      <c r="B3971"/>
      <c r="F3971" s="87"/>
      <c r="H3971" s="87"/>
      <c r="I3971" s="89"/>
    </row>
    <row r="3972" spans="1:9">
      <c r="A3972" s="21"/>
      <c r="B3972"/>
      <c r="F3972" s="87"/>
      <c r="H3972" s="87"/>
      <c r="I3972" s="89"/>
    </row>
    <row r="3973" spans="1:9">
      <c r="A3973" s="21"/>
      <c r="B3973"/>
      <c r="F3973" s="87"/>
      <c r="H3973" s="87"/>
      <c r="I3973" s="89"/>
    </row>
    <row r="3974" spans="1:9">
      <c r="A3974" s="21"/>
      <c r="B3974"/>
      <c r="F3974" s="87"/>
      <c r="H3974" s="87"/>
      <c r="I3974" s="89"/>
    </row>
    <row r="3975" spans="1:9">
      <c r="A3975" s="21"/>
      <c r="B3975"/>
      <c r="F3975" s="87"/>
      <c r="H3975" s="87"/>
      <c r="I3975" s="89"/>
    </row>
    <row r="3976" spans="1:9">
      <c r="A3976" s="21"/>
      <c r="B3976"/>
      <c r="F3976" s="87"/>
      <c r="H3976" s="87"/>
      <c r="I3976" s="89"/>
    </row>
    <row r="3977" spans="1:9">
      <c r="A3977" s="21"/>
      <c r="B3977"/>
      <c r="F3977" s="87"/>
      <c r="H3977" s="87"/>
      <c r="I3977" s="89"/>
    </row>
    <row r="3978" spans="1:9">
      <c r="A3978" s="21"/>
      <c r="B3978"/>
      <c r="F3978" s="87"/>
      <c r="H3978" s="87"/>
      <c r="I3978" s="89"/>
    </row>
    <row r="3979" spans="1:9">
      <c r="A3979" s="21"/>
      <c r="B3979"/>
      <c r="F3979" s="87"/>
      <c r="H3979" s="87"/>
      <c r="I3979" s="89"/>
    </row>
    <row r="3980" spans="1:9">
      <c r="A3980" s="21"/>
      <c r="B3980"/>
      <c r="F3980" s="87"/>
      <c r="H3980" s="87"/>
      <c r="I3980" s="89"/>
    </row>
    <row r="3981" spans="1:9">
      <c r="A3981" s="21"/>
      <c r="B3981"/>
      <c r="F3981" s="87"/>
      <c r="H3981" s="87"/>
      <c r="I3981" s="89"/>
    </row>
    <row r="3982" spans="1:9">
      <c r="A3982" s="21"/>
      <c r="B3982"/>
      <c r="F3982" s="87"/>
      <c r="H3982" s="87"/>
      <c r="I3982" s="89"/>
    </row>
    <row r="3983" spans="1:9">
      <c r="A3983" s="21"/>
      <c r="B3983"/>
      <c r="F3983" s="87"/>
      <c r="H3983" s="87"/>
      <c r="I3983" s="89"/>
    </row>
    <row r="3984" spans="1:9">
      <c r="A3984" s="21"/>
      <c r="B3984"/>
      <c r="F3984" s="87"/>
      <c r="H3984" s="87"/>
      <c r="I3984" s="89"/>
    </row>
    <row r="3985" spans="1:9">
      <c r="A3985" s="21"/>
      <c r="B3985"/>
      <c r="F3985" s="87"/>
      <c r="H3985" s="87"/>
      <c r="I3985" s="89"/>
    </row>
    <row r="3986" spans="1:9">
      <c r="A3986" s="21"/>
      <c r="B3986"/>
      <c r="F3986" s="87"/>
      <c r="H3986" s="87"/>
      <c r="I3986" s="89"/>
    </row>
    <row r="3987" spans="1:9">
      <c r="A3987" s="21"/>
      <c r="B3987"/>
      <c r="F3987" s="87"/>
      <c r="H3987" s="87"/>
      <c r="I3987" s="89"/>
    </row>
    <row r="3988" spans="1:9">
      <c r="A3988" s="21"/>
      <c r="B3988"/>
      <c r="F3988" s="87"/>
      <c r="H3988" s="87"/>
      <c r="I3988" s="89"/>
    </row>
    <row r="3989" spans="1:9">
      <c r="A3989" s="21"/>
      <c r="B3989"/>
      <c r="F3989" s="87"/>
      <c r="H3989" s="87"/>
      <c r="I3989" s="89"/>
    </row>
    <row r="3990" spans="1:9">
      <c r="A3990" s="21"/>
      <c r="B3990"/>
      <c r="F3990" s="87"/>
      <c r="H3990" s="87"/>
      <c r="I3990" s="89"/>
    </row>
    <row r="3991" spans="1:9">
      <c r="A3991" s="21"/>
      <c r="B3991"/>
      <c r="F3991" s="87"/>
      <c r="H3991" s="87"/>
      <c r="I3991" s="89"/>
    </row>
    <row r="3992" spans="1:9">
      <c r="A3992" s="21"/>
      <c r="B3992"/>
      <c r="F3992" s="87"/>
      <c r="H3992" s="87"/>
      <c r="I3992" s="89"/>
    </row>
    <row r="3993" spans="1:9">
      <c r="A3993" s="21"/>
      <c r="B3993"/>
      <c r="F3993" s="87"/>
      <c r="H3993" s="87"/>
      <c r="I3993" s="89"/>
    </row>
    <row r="3994" spans="1:9">
      <c r="A3994" s="21"/>
      <c r="B3994"/>
      <c r="F3994" s="87"/>
      <c r="H3994" s="87"/>
      <c r="I3994" s="89"/>
    </row>
    <row r="3995" spans="1:9">
      <c r="A3995" s="21"/>
      <c r="B3995"/>
      <c r="F3995" s="87"/>
      <c r="H3995" s="87"/>
      <c r="I3995" s="89"/>
    </row>
    <row r="3996" spans="1:9">
      <c r="A3996" s="21"/>
      <c r="B3996"/>
      <c r="F3996" s="87"/>
      <c r="H3996" s="87"/>
      <c r="I3996" s="89"/>
    </row>
    <row r="3997" spans="1:9">
      <c r="A3997" s="21"/>
      <c r="B3997"/>
      <c r="F3997" s="87"/>
      <c r="H3997" s="87"/>
      <c r="I3997" s="89"/>
    </row>
    <row r="3998" spans="1:9">
      <c r="A3998" s="21"/>
      <c r="B3998"/>
      <c r="F3998" s="87"/>
      <c r="H3998" s="87"/>
      <c r="I3998" s="89"/>
    </row>
    <row r="3999" spans="1:9">
      <c r="A3999" s="21"/>
      <c r="B3999"/>
      <c r="F3999" s="87"/>
      <c r="H3999" s="87"/>
      <c r="I3999" s="89"/>
    </row>
    <row r="4000" spans="1:9">
      <c r="A4000" s="21"/>
      <c r="B4000"/>
      <c r="F4000" s="87"/>
      <c r="H4000" s="87"/>
      <c r="I4000" s="89"/>
    </row>
    <row r="4001" spans="1:9">
      <c r="A4001" s="21"/>
      <c r="B4001"/>
      <c r="F4001" s="87"/>
      <c r="H4001" s="87"/>
      <c r="I4001" s="89"/>
    </row>
    <row r="4002" spans="1:9">
      <c r="A4002" s="21"/>
      <c r="B4002"/>
      <c r="F4002" s="87"/>
      <c r="H4002" s="87"/>
      <c r="I4002" s="89"/>
    </row>
    <row r="4003" spans="1:9">
      <c r="A4003" s="21"/>
      <c r="B4003"/>
      <c r="F4003" s="87"/>
      <c r="H4003" s="87"/>
      <c r="I4003" s="89"/>
    </row>
    <row r="4004" spans="1:9">
      <c r="A4004" s="21"/>
      <c r="B4004"/>
      <c r="F4004" s="87"/>
      <c r="H4004" s="87"/>
      <c r="I4004" s="89"/>
    </row>
    <row r="4005" spans="1:9">
      <c r="A4005" s="21"/>
      <c r="B4005"/>
      <c r="F4005" s="87"/>
      <c r="H4005" s="87"/>
      <c r="I4005" s="89"/>
    </row>
    <row r="4006" spans="1:9">
      <c r="A4006" s="21"/>
      <c r="B4006"/>
      <c r="F4006" s="87"/>
      <c r="H4006" s="87"/>
      <c r="I4006" s="89"/>
    </row>
    <row r="4007" spans="1:9">
      <c r="A4007" s="21"/>
      <c r="B4007"/>
      <c r="F4007" s="87"/>
      <c r="H4007" s="87"/>
      <c r="I4007" s="89"/>
    </row>
    <row r="4008" spans="1:9">
      <c r="A4008" s="21"/>
      <c r="B4008"/>
      <c r="F4008" s="87"/>
      <c r="H4008" s="87"/>
      <c r="I4008" s="89"/>
    </row>
    <row r="4009" spans="1:9">
      <c r="A4009" s="21"/>
      <c r="B4009"/>
      <c r="F4009" s="87"/>
      <c r="H4009" s="87"/>
      <c r="I4009" s="89"/>
    </row>
    <row r="4010" spans="1:9">
      <c r="A4010" s="21"/>
      <c r="B4010"/>
      <c r="F4010" s="87"/>
      <c r="H4010" s="87"/>
      <c r="I4010" s="89"/>
    </row>
    <row r="4011" spans="1:9">
      <c r="A4011" s="21"/>
      <c r="B4011"/>
      <c r="F4011" s="87"/>
      <c r="H4011" s="87"/>
      <c r="I4011" s="89"/>
    </row>
    <row r="4012" spans="1:9">
      <c r="A4012" s="21"/>
      <c r="B4012"/>
      <c r="F4012" s="87"/>
      <c r="H4012" s="87"/>
      <c r="I4012" s="89"/>
    </row>
    <row r="4013" spans="1:9">
      <c r="A4013" s="21"/>
      <c r="B4013"/>
      <c r="F4013" s="87"/>
      <c r="H4013" s="87"/>
      <c r="I4013" s="89"/>
    </row>
    <row r="4014" spans="1:9">
      <c r="A4014" s="21"/>
      <c r="B4014"/>
      <c r="F4014" s="87"/>
      <c r="H4014" s="87"/>
      <c r="I4014" s="89"/>
    </row>
    <row r="4015" spans="1:9">
      <c r="A4015" s="21"/>
      <c r="B4015"/>
      <c r="F4015" s="87"/>
      <c r="H4015" s="87"/>
      <c r="I4015" s="89"/>
    </row>
    <row r="4016" spans="1:9">
      <c r="A4016" s="21"/>
      <c r="B4016"/>
      <c r="F4016" s="87"/>
      <c r="H4016" s="87"/>
      <c r="I4016" s="89"/>
    </row>
    <row r="4017" spans="1:9">
      <c r="A4017" s="21"/>
      <c r="B4017"/>
      <c r="F4017" s="87"/>
      <c r="H4017" s="87"/>
      <c r="I4017" s="89"/>
    </row>
    <row r="4018" spans="1:9">
      <c r="A4018" s="21"/>
      <c r="B4018"/>
      <c r="F4018" s="87"/>
      <c r="H4018" s="87"/>
      <c r="I4018" s="89"/>
    </row>
    <row r="4019" spans="1:9">
      <c r="A4019" s="21"/>
      <c r="B4019"/>
      <c r="F4019" s="87"/>
      <c r="H4019" s="87"/>
      <c r="I4019" s="89"/>
    </row>
    <row r="4020" spans="1:9">
      <c r="A4020" s="21"/>
      <c r="B4020"/>
      <c r="F4020" s="87"/>
      <c r="H4020" s="87"/>
      <c r="I4020" s="89"/>
    </row>
    <row r="4021" spans="1:9">
      <c r="A4021" s="21"/>
      <c r="B4021"/>
      <c r="F4021" s="87"/>
      <c r="H4021" s="87"/>
      <c r="I4021" s="89"/>
    </row>
    <row r="4022" spans="1:9">
      <c r="A4022" s="21"/>
      <c r="B4022"/>
      <c r="F4022" s="87"/>
      <c r="H4022" s="87"/>
      <c r="I4022" s="89"/>
    </row>
    <row r="4023" spans="1:9">
      <c r="A4023" s="21"/>
      <c r="B4023"/>
      <c r="F4023" s="87"/>
      <c r="H4023" s="87"/>
      <c r="I4023" s="89"/>
    </row>
    <row r="4024" spans="1:9">
      <c r="A4024" s="21"/>
      <c r="B4024"/>
      <c r="F4024" s="87"/>
      <c r="H4024" s="87"/>
      <c r="I4024" s="89"/>
    </row>
    <row r="4025" spans="1:9">
      <c r="A4025" s="21"/>
      <c r="B4025"/>
      <c r="F4025" s="87"/>
      <c r="H4025" s="87"/>
      <c r="I4025" s="89"/>
    </row>
    <row r="4026" spans="1:9">
      <c r="A4026" s="21"/>
      <c r="B4026"/>
      <c r="F4026" s="87"/>
      <c r="H4026" s="87"/>
      <c r="I4026" s="89"/>
    </row>
    <row r="4027" spans="1:9">
      <c r="A4027" s="21"/>
      <c r="B4027"/>
      <c r="F4027" s="87"/>
      <c r="H4027" s="87"/>
      <c r="I4027" s="89"/>
    </row>
    <row r="4028" spans="1:9">
      <c r="A4028" s="21"/>
      <c r="B4028"/>
      <c r="F4028" s="87"/>
      <c r="H4028" s="87"/>
      <c r="I4028" s="89"/>
    </row>
    <row r="4029" spans="1:9">
      <c r="A4029" s="21"/>
      <c r="B4029"/>
      <c r="F4029" s="87"/>
      <c r="H4029" s="87"/>
      <c r="I4029" s="89"/>
    </row>
    <row r="4030" spans="1:9">
      <c r="A4030" s="21"/>
      <c r="B4030"/>
      <c r="F4030" s="87"/>
      <c r="H4030" s="87"/>
      <c r="I4030" s="89"/>
    </row>
    <row r="4031" spans="1:9">
      <c r="A4031" s="21"/>
      <c r="B4031"/>
      <c r="F4031" s="87"/>
      <c r="H4031" s="87"/>
      <c r="I4031" s="89"/>
    </row>
    <row r="4032" spans="1:9">
      <c r="A4032" s="21"/>
      <c r="B4032"/>
      <c r="F4032" s="87"/>
      <c r="H4032" s="87"/>
      <c r="I4032" s="89"/>
    </row>
    <row r="4033" spans="1:9">
      <c r="A4033" s="21"/>
      <c r="B4033"/>
      <c r="F4033" s="87"/>
      <c r="H4033" s="87"/>
      <c r="I4033" s="89"/>
    </row>
    <row r="4034" spans="1:9">
      <c r="A4034" s="21"/>
      <c r="B4034"/>
      <c r="F4034" s="87"/>
      <c r="H4034" s="87"/>
      <c r="I4034" s="89"/>
    </row>
    <row r="4035" spans="1:9">
      <c r="A4035" s="21"/>
      <c r="B4035"/>
      <c r="F4035" s="87"/>
      <c r="H4035" s="87"/>
      <c r="I4035" s="89"/>
    </row>
    <row r="4036" spans="1:9">
      <c r="A4036" s="21"/>
      <c r="B4036"/>
      <c r="F4036" s="87"/>
      <c r="H4036" s="87"/>
      <c r="I4036" s="89"/>
    </row>
    <row r="4037" spans="1:9">
      <c r="A4037" s="21"/>
      <c r="B4037"/>
      <c r="F4037" s="87"/>
      <c r="H4037" s="87"/>
      <c r="I4037" s="89"/>
    </row>
    <row r="4038" spans="1:9">
      <c r="A4038" s="21"/>
      <c r="B4038"/>
      <c r="F4038" s="87"/>
      <c r="H4038" s="87"/>
      <c r="I4038" s="89"/>
    </row>
    <row r="4039" spans="1:9">
      <c r="A4039" s="21"/>
      <c r="B4039"/>
      <c r="F4039" s="87"/>
      <c r="H4039" s="87"/>
      <c r="I4039" s="89"/>
    </row>
    <row r="4040" spans="1:9">
      <c r="A4040" s="21"/>
      <c r="B4040"/>
      <c r="F4040" s="87"/>
      <c r="H4040" s="87"/>
      <c r="I4040" s="89"/>
    </row>
    <row r="4041" spans="1:9">
      <c r="A4041" s="21"/>
      <c r="B4041"/>
      <c r="F4041" s="87"/>
      <c r="H4041" s="87"/>
      <c r="I4041" s="89"/>
    </row>
    <row r="4042" spans="1:9">
      <c r="A4042" s="21"/>
      <c r="B4042"/>
      <c r="F4042" s="87"/>
      <c r="H4042" s="87"/>
      <c r="I4042" s="89"/>
    </row>
    <row r="4043" spans="1:9">
      <c r="A4043" s="21"/>
      <c r="B4043"/>
      <c r="F4043" s="87"/>
      <c r="H4043" s="87"/>
      <c r="I4043" s="89"/>
    </row>
    <row r="4044" spans="1:9">
      <c r="A4044" s="21"/>
      <c r="B4044"/>
      <c r="F4044" s="87"/>
      <c r="H4044" s="87"/>
      <c r="I4044" s="89"/>
    </row>
    <row r="4045" spans="1:9">
      <c r="A4045" s="21"/>
      <c r="B4045"/>
      <c r="F4045" s="87"/>
      <c r="H4045" s="87"/>
      <c r="I4045" s="89"/>
    </row>
    <row r="4046" spans="1:9">
      <c r="A4046" s="21"/>
      <c r="B4046"/>
      <c r="F4046" s="87"/>
      <c r="H4046" s="87"/>
      <c r="I4046" s="89"/>
    </row>
    <row r="4047" spans="1:9">
      <c r="A4047" s="21"/>
      <c r="B4047"/>
      <c r="F4047" s="87"/>
      <c r="H4047" s="87"/>
      <c r="I4047" s="89"/>
    </row>
    <row r="4048" spans="1:9">
      <c r="A4048" s="21"/>
      <c r="B4048"/>
      <c r="F4048" s="87"/>
      <c r="H4048" s="87"/>
      <c r="I4048" s="89"/>
    </row>
    <row r="4049" spans="1:9">
      <c r="A4049" s="21"/>
      <c r="B4049"/>
      <c r="F4049" s="87"/>
      <c r="H4049" s="87"/>
      <c r="I4049" s="89"/>
    </row>
    <row r="4050" spans="1:9">
      <c r="A4050" s="21"/>
      <c r="B4050"/>
      <c r="F4050" s="87"/>
      <c r="H4050" s="87"/>
      <c r="I4050" s="89"/>
    </row>
    <row r="4051" spans="1:9">
      <c r="A4051" s="21"/>
      <c r="B4051"/>
      <c r="F4051" s="87"/>
      <c r="H4051" s="87"/>
      <c r="I4051" s="89"/>
    </row>
    <row r="4052" spans="1:9">
      <c r="A4052" s="21"/>
      <c r="B4052"/>
      <c r="F4052" s="87"/>
      <c r="H4052" s="87"/>
      <c r="I4052" s="89"/>
    </row>
    <row r="4053" spans="1:9">
      <c r="A4053" s="21"/>
      <c r="B4053"/>
      <c r="F4053" s="87"/>
      <c r="H4053" s="87"/>
      <c r="I4053" s="89"/>
    </row>
    <row r="4054" spans="1:9">
      <c r="A4054" s="21"/>
      <c r="B4054"/>
      <c r="F4054" s="87"/>
      <c r="H4054" s="87"/>
      <c r="I4054" s="89"/>
    </row>
    <row r="4055" spans="1:9">
      <c r="A4055" s="21"/>
      <c r="B4055"/>
      <c r="F4055" s="87"/>
      <c r="H4055" s="87"/>
      <c r="I4055" s="89"/>
    </row>
    <row r="4056" spans="1:9">
      <c r="A4056" s="21"/>
      <c r="B4056"/>
      <c r="F4056" s="87"/>
      <c r="H4056" s="87"/>
      <c r="I4056" s="89"/>
    </row>
    <row r="4057" spans="1:9">
      <c r="A4057" s="21"/>
      <c r="B4057"/>
      <c r="F4057" s="87"/>
      <c r="H4057" s="87"/>
      <c r="I4057" s="89"/>
    </row>
    <row r="4058" spans="1:9">
      <c r="A4058" s="21"/>
      <c r="B4058"/>
      <c r="F4058" s="87"/>
      <c r="H4058" s="87"/>
      <c r="I4058" s="89"/>
    </row>
    <row r="4059" spans="1:9">
      <c r="A4059" s="21"/>
      <c r="B4059"/>
      <c r="F4059" s="87"/>
      <c r="H4059" s="87"/>
      <c r="I4059" s="89"/>
    </row>
    <row r="4060" spans="1:9">
      <c r="A4060" s="21"/>
      <c r="B4060"/>
      <c r="F4060" s="87"/>
      <c r="H4060" s="87"/>
      <c r="I4060" s="89"/>
    </row>
    <row r="4061" spans="1:9">
      <c r="A4061" s="21"/>
      <c r="B4061"/>
      <c r="F4061" s="87"/>
      <c r="H4061" s="87"/>
      <c r="I4061" s="89"/>
    </row>
    <row r="4062" spans="1:9">
      <c r="A4062" s="21"/>
      <c r="B4062"/>
      <c r="F4062" s="87"/>
      <c r="H4062" s="87"/>
      <c r="I4062" s="89"/>
    </row>
    <row r="4063" spans="1:9">
      <c r="A4063" s="21"/>
      <c r="B4063"/>
      <c r="F4063" s="87"/>
      <c r="H4063" s="87"/>
      <c r="I4063" s="89"/>
    </row>
    <row r="4064" spans="1:9">
      <c r="A4064" s="21"/>
      <c r="B4064"/>
      <c r="F4064" s="87"/>
      <c r="H4064" s="87"/>
      <c r="I4064" s="89"/>
    </row>
    <row r="4065" spans="1:9">
      <c r="A4065" s="21"/>
      <c r="B4065"/>
      <c r="F4065" s="87"/>
      <c r="H4065" s="87"/>
      <c r="I4065" s="89"/>
    </row>
    <row r="4066" spans="1:9">
      <c r="A4066" s="21"/>
      <c r="B4066"/>
      <c r="F4066" s="87"/>
      <c r="H4066" s="87"/>
      <c r="I4066" s="89"/>
    </row>
    <row r="4067" spans="1:9">
      <c r="A4067" s="21"/>
      <c r="B4067"/>
      <c r="F4067" s="87"/>
      <c r="H4067" s="87"/>
      <c r="I4067" s="89"/>
    </row>
    <row r="4068" spans="1:9">
      <c r="A4068" s="21"/>
      <c r="B4068"/>
      <c r="F4068" s="87"/>
      <c r="H4068" s="87"/>
      <c r="I4068" s="89"/>
    </row>
    <row r="4069" spans="1:9">
      <c r="A4069" s="21"/>
      <c r="B4069"/>
      <c r="F4069" s="87"/>
      <c r="H4069" s="87"/>
      <c r="I4069" s="89"/>
    </row>
    <row r="4070" spans="1:9">
      <c r="A4070" s="21"/>
      <c r="B4070"/>
      <c r="F4070" s="87"/>
      <c r="H4070" s="87"/>
      <c r="I4070" s="89"/>
    </row>
    <row r="4071" spans="1:9">
      <c r="A4071" s="21"/>
      <c r="B4071"/>
      <c r="F4071" s="87"/>
      <c r="H4071" s="87"/>
      <c r="I4071" s="89"/>
    </row>
    <row r="4072" spans="1:9">
      <c r="A4072" s="21"/>
      <c r="B4072"/>
      <c r="F4072" s="87"/>
      <c r="H4072" s="87"/>
      <c r="I4072" s="89"/>
    </row>
    <row r="4073" spans="1:9">
      <c r="A4073" s="21"/>
      <c r="B4073"/>
      <c r="F4073" s="87"/>
      <c r="H4073" s="87"/>
      <c r="I4073" s="89"/>
    </row>
    <row r="4074" spans="1:9">
      <c r="A4074" s="21"/>
      <c r="B4074"/>
      <c r="F4074" s="87"/>
      <c r="H4074" s="87"/>
      <c r="I4074" s="89"/>
    </row>
    <row r="4075" spans="1:9">
      <c r="A4075" s="21"/>
      <c r="B4075"/>
      <c r="F4075" s="87"/>
      <c r="H4075" s="87"/>
      <c r="I4075" s="89"/>
    </row>
    <row r="4076" spans="1:9">
      <c r="A4076" s="21"/>
      <c r="B4076"/>
      <c r="F4076" s="87"/>
      <c r="H4076" s="87"/>
      <c r="I4076" s="89"/>
    </row>
    <row r="4077" spans="1:9">
      <c r="A4077" s="21"/>
      <c r="B4077"/>
      <c r="F4077" s="87"/>
      <c r="H4077" s="87"/>
      <c r="I4077" s="89"/>
    </row>
    <row r="4078" spans="1:9">
      <c r="A4078" s="21"/>
      <c r="B4078"/>
      <c r="F4078" s="87"/>
      <c r="H4078" s="87"/>
      <c r="I4078" s="89"/>
    </row>
    <row r="4079" spans="1:9">
      <c r="A4079" s="21"/>
      <c r="B4079"/>
      <c r="F4079" s="87"/>
      <c r="H4079" s="87"/>
      <c r="I4079" s="89"/>
    </row>
    <row r="4080" spans="1:9">
      <c r="A4080" s="21"/>
      <c r="B4080"/>
      <c r="F4080" s="87"/>
      <c r="H4080" s="87"/>
      <c r="I4080" s="89"/>
    </row>
    <row r="4081" spans="1:9">
      <c r="A4081" s="21"/>
      <c r="B4081"/>
      <c r="F4081" s="87"/>
      <c r="H4081" s="87"/>
      <c r="I4081" s="89"/>
    </row>
    <row r="4082" spans="1:9">
      <c r="A4082" s="21"/>
      <c r="B4082"/>
      <c r="F4082" s="87"/>
      <c r="H4082" s="87"/>
      <c r="I4082" s="89"/>
    </row>
    <row r="4083" spans="1:9">
      <c r="A4083" s="21"/>
      <c r="B4083"/>
      <c r="F4083" s="87"/>
      <c r="H4083" s="87"/>
      <c r="I4083" s="89"/>
    </row>
    <row r="4084" spans="1:9">
      <c r="A4084" s="21"/>
      <c r="B4084"/>
      <c r="F4084" s="87"/>
      <c r="H4084" s="87"/>
      <c r="I4084" s="89"/>
    </row>
    <row r="4085" spans="1:9">
      <c r="A4085" s="21"/>
      <c r="B4085"/>
      <c r="F4085" s="87"/>
      <c r="H4085" s="87"/>
      <c r="I4085" s="89"/>
    </row>
    <row r="4086" spans="1:9">
      <c r="A4086" s="21"/>
      <c r="B4086"/>
      <c r="F4086" s="87"/>
      <c r="H4086" s="87"/>
      <c r="I4086" s="89"/>
    </row>
    <row r="4087" spans="1:9">
      <c r="A4087" s="21"/>
      <c r="B4087"/>
      <c r="F4087" s="87"/>
      <c r="H4087" s="87"/>
      <c r="I4087" s="89"/>
    </row>
    <row r="4088" spans="1:9">
      <c r="A4088" s="21"/>
      <c r="B4088"/>
      <c r="F4088" s="87"/>
      <c r="H4088" s="87"/>
      <c r="I4088" s="89"/>
    </row>
    <row r="4089" spans="1:9">
      <c r="A4089" s="21"/>
      <c r="B4089"/>
      <c r="F4089" s="87"/>
      <c r="H4089" s="87"/>
      <c r="I4089" s="89"/>
    </row>
    <row r="4090" spans="1:9">
      <c r="A4090" s="21"/>
      <c r="B4090"/>
      <c r="F4090" s="87"/>
      <c r="H4090" s="87"/>
      <c r="I4090" s="89"/>
    </row>
    <row r="4091" spans="1:9">
      <c r="A4091" s="21"/>
      <c r="B4091"/>
      <c r="F4091" s="87"/>
      <c r="H4091" s="87"/>
      <c r="I4091" s="89"/>
    </row>
    <row r="4092" spans="1:9">
      <c r="A4092" s="21"/>
      <c r="B4092"/>
      <c r="F4092" s="87"/>
      <c r="H4092" s="87"/>
      <c r="I4092" s="89"/>
    </row>
    <row r="4093" spans="1:9">
      <c r="A4093" s="21"/>
      <c r="B4093"/>
      <c r="F4093" s="87"/>
      <c r="H4093" s="87"/>
      <c r="I4093" s="89"/>
    </row>
    <row r="4094" spans="1:9">
      <c r="A4094" s="21"/>
      <c r="B4094"/>
      <c r="F4094" s="87"/>
      <c r="H4094" s="87"/>
      <c r="I4094" s="89"/>
    </row>
    <row r="4095" spans="1:9">
      <c r="A4095" s="21"/>
      <c r="B4095"/>
      <c r="F4095" s="87"/>
      <c r="H4095" s="87"/>
      <c r="I4095" s="89"/>
    </row>
    <row r="4096" spans="1:9">
      <c r="A4096" s="21"/>
      <c r="B4096"/>
      <c r="F4096" s="87"/>
      <c r="H4096" s="87"/>
      <c r="I4096" s="89"/>
    </row>
    <row r="4097" spans="1:9">
      <c r="A4097" s="21"/>
      <c r="B4097"/>
      <c r="F4097" s="87"/>
      <c r="H4097" s="87"/>
      <c r="I4097" s="89"/>
    </row>
    <row r="4098" spans="1:9">
      <c r="A4098" s="21"/>
      <c r="B4098"/>
      <c r="F4098" s="87"/>
      <c r="H4098" s="87"/>
      <c r="I4098" s="89"/>
    </row>
    <row r="4099" spans="1:9">
      <c r="A4099" s="21"/>
      <c r="B4099"/>
      <c r="F4099" s="87"/>
      <c r="H4099" s="87"/>
      <c r="I4099" s="89"/>
    </row>
    <row r="4100" spans="1:9">
      <c r="A4100" s="21"/>
      <c r="B4100"/>
      <c r="F4100" s="87"/>
      <c r="H4100" s="87"/>
      <c r="I4100" s="89"/>
    </row>
    <row r="4101" spans="1:9">
      <c r="A4101" s="21"/>
      <c r="B4101"/>
      <c r="F4101" s="87"/>
      <c r="H4101" s="87"/>
      <c r="I4101" s="89"/>
    </row>
    <row r="4102" spans="1:9">
      <c r="A4102" s="21"/>
      <c r="B4102"/>
      <c r="F4102" s="87"/>
      <c r="H4102" s="87"/>
      <c r="I4102" s="89"/>
    </row>
    <row r="4103" spans="1:9">
      <c r="A4103" s="21"/>
      <c r="B4103"/>
      <c r="F4103" s="87"/>
      <c r="H4103" s="87"/>
      <c r="I4103" s="89"/>
    </row>
    <row r="4104" spans="1:9">
      <c r="A4104" s="21"/>
      <c r="B4104"/>
      <c r="F4104" s="87"/>
      <c r="H4104" s="87"/>
      <c r="I4104" s="89"/>
    </row>
    <row r="4105" spans="1:9">
      <c r="A4105" s="21"/>
      <c r="B4105"/>
      <c r="F4105" s="87"/>
      <c r="H4105" s="87"/>
      <c r="I4105" s="89"/>
    </row>
    <row r="4106" spans="1:9">
      <c r="A4106" s="21"/>
      <c r="B4106"/>
      <c r="F4106" s="87"/>
      <c r="H4106" s="87"/>
      <c r="I4106" s="89"/>
    </row>
    <row r="4107" spans="1:9">
      <c r="A4107" s="21"/>
      <c r="B4107"/>
      <c r="F4107" s="87"/>
      <c r="H4107" s="87"/>
      <c r="I4107" s="89"/>
    </row>
    <row r="4108" spans="1:9">
      <c r="A4108" s="21"/>
      <c r="B4108"/>
      <c r="F4108" s="87"/>
      <c r="H4108" s="87"/>
      <c r="I4108" s="89"/>
    </row>
    <row r="4109" spans="1:9">
      <c r="A4109" s="21"/>
      <c r="B4109"/>
      <c r="F4109" s="87"/>
      <c r="H4109" s="87"/>
      <c r="I4109" s="89"/>
    </row>
    <row r="4110" spans="1:9">
      <c r="A4110" s="21"/>
      <c r="B4110"/>
      <c r="F4110" s="87"/>
      <c r="H4110" s="87"/>
      <c r="I4110" s="89"/>
    </row>
    <row r="4111" spans="1:9">
      <c r="A4111" s="21"/>
      <c r="B4111"/>
      <c r="F4111" s="87"/>
      <c r="H4111" s="87"/>
      <c r="I4111" s="89"/>
    </row>
    <row r="4112" spans="1:9">
      <c r="A4112" s="21"/>
      <c r="B4112"/>
      <c r="F4112" s="87"/>
      <c r="H4112" s="87"/>
      <c r="I4112" s="89"/>
    </row>
    <row r="4113" spans="1:9">
      <c r="A4113" s="21"/>
      <c r="B4113"/>
      <c r="F4113" s="87"/>
      <c r="H4113" s="87"/>
      <c r="I4113" s="89"/>
    </row>
    <row r="4114" spans="1:9">
      <c r="A4114" s="21"/>
      <c r="B4114"/>
      <c r="F4114" s="87"/>
      <c r="H4114" s="87"/>
      <c r="I4114" s="89"/>
    </row>
    <row r="4115" spans="1:9">
      <c r="A4115" s="21"/>
      <c r="B4115"/>
      <c r="F4115" s="87"/>
      <c r="H4115" s="87"/>
      <c r="I4115" s="89"/>
    </row>
    <row r="4116" spans="1:9">
      <c r="A4116" s="21"/>
      <c r="B4116"/>
      <c r="F4116" s="87"/>
      <c r="H4116" s="87"/>
      <c r="I4116" s="89"/>
    </row>
    <row r="4117" spans="1:9">
      <c r="A4117" s="21"/>
      <c r="B4117"/>
      <c r="F4117" s="87"/>
      <c r="H4117" s="87"/>
      <c r="I4117" s="89"/>
    </row>
    <row r="4118" spans="1:9">
      <c r="A4118" s="21"/>
      <c r="B4118"/>
      <c r="F4118" s="87"/>
      <c r="H4118" s="87"/>
      <c r="I4118" s="89"/>
    </row>
    <row r="4119" spans="1:9">
      <c r="A4119" s="21"/>
      <c r="B4119"/>
      <c r="F4119" s="87"/>
      <c r="H4119" s="87"/>
      <c r="I4119" s="89"/>
    </row>
    <row r="4120" spans="1:9">
      <c r="A4120" s="21"/>
      <c r="B4120"/>
      <c r="F4120" s="87"/>
      <c r="H4120" s="87"/>
      <c r="I4120" s="89"/>
    </row>
    <row r="4121" spans="1:9">
      <c r="A4121" s="21"/>
      <c r="B4121"/>
      <c r="F4121" s="87"/>
      <c r="H4121" s="87"/>
      <c r="I4121" s="89"/>
    </row>
    <row r="4122" spans="1:9">
      <c r="A4122" s="21"/>
      <c r="B4122"/>
      <c r="F4122" s="87"/>
      <c r="H4122" s="87"/>
      <c r="I4122" s="89"/>
    </row>
    <row r="4123" spans="1:9">
      <c r="A4123" s="21"/>
      <c r="B4123"/>
      <c r="F4123" s="87"/>
      <c r="H4123" s="87"/>
      <c r="I4123" s="89"/>
    </row>
    <row r="4124" spans="1:9">
      <c r="A4124" s="21"/>
      <c r="B4124"/>
      <c r="F4124" s="87"/>
      <c r="H4124" s="87"/>
      <c r="I4124" s="89"/>
    </row>
    <row r="4125" spans="1:9">
      <c r="A4125" s="21"/>
      <c r="B4125"/>
      <c r="F4125" s="87"/>
      <c r="H4125" s="87"/>
      <c r="I4125" s="89"/>
    </row>
    <row r="4126" spans="1:9">
      <c r="A4126" s="21"/>
      <c r="B4126"/>
      <c r="F4126" s="87"/>
      <c r="H4126" s="87"/>
      <c r="I4126" s="89"/>
    </row>
    <row r="4127" spans="1:9">
      <c r="A4127" s="21"/>
      <c r="B4127"/>
      <c r="F4127" s="87"/>
      <c r="H4127" s="87"/>
      <c r="I4127" s="89"/>
    </row>
    <row r="4128" spans="1:9">
      <c r="A4128" s="21"/>
      <c r="B4128"/>
      <c r="F4128" s="87"/>
      <c r="H4128" s="87"/>
      <c r="I4128" s="89"/>
    </row>
    <row r="4129" spans="1:9">
      <c r="A4129" s="21"/>
      <c r="B4129"/>
      <c r="F4129" s="87"/>
      <c r="H4129" s="87"/>
      <c r="I4129" s="89"/>
    </row>
    <row r="4130" spans="1:9">
      <c r="A4130" s="21"/>
      <c r="B4130"/>
      <c r="F4130" s="87"/>
      <c r="H4130" s="87"/>
      <c r="I4130" s="89"/>
    </row>
    <row r="4131" spans="1:9">
      <c r="A4131" s="21"/>
      <c r="B4131"/>
      <c r="F4131" s="87"/>
      <c r="H4131" s="87"/>
      <c r="I4131" s="89"/>
    </row>
    <row r="4132" spans="1:9">
      <c r="A4132" s="21"/>
      <c r="B4132"/>
      <c r="F4132" s="87"/>
      <c r="H4132" s="87"/>
      <c r="I4132" s="89"/>
    </row>
    <row r="4133" spans="1:9">
      <c r="A4133" s="21"/>
      <c r="B4133"/>
      <c r="F4133" s="87"/>
      <c r="H4133" s="87"/>
      <c r="I4133" s="89"/>
    </row>
    <row r="4134" spans="1:9">
      <c r="A4134" s="21"/>
      <c r="B4134"/>
      <c r="F4134" s="87"/>
      <c r="H4134" s="87"/>
      <c r="I4134" s="89"/>
    </row>
    <row r="4135" spans="1:9">
      <c r="A4135" s="21"/>
      <c r="B4135"/>
      <c r="F4135" s="87"/>
      <c r="H4135" s="87"/>
      <c r="I4135" s="89"/>
    </row>
    <row r="4136" spans="1:9">
      <c r="A4136" s="21"/>
      <c r="B4136"/>
      <c r="F4136" s="87"/>
      <c r="H4136" s="87"/>
      <c r="I4136" s="89"/>
    </row>
    <row r="4137" spans="1:9">
      <c r="A4137" s="21"/>
      <c r="B4137"/>
      <c r="F4137" s="87"/>
      <c r="H4137" s="87"/>
      <c r="I4137" s="89"/>
    </row>
    <row r="4138" spans="1:9">
      <c r="A4138" s="21"/>
      <c r="B4138"/>
      <c r="F4138" s="87"/>
      <c r="H4138" s="87"/>
      <c r="I4138" s="89"/>
    </row>
    <row r="4139" spans="1:9">
      <c r="A4139" s="21"/>
      <c r="B4139"/>
      <c r="F4139" s="87"/>
      <c r="H4139" s="87"/>
      <c r="I4139" s="89"/>
    </row>
    <row r="4140" spans="1:9">
      <c r="A4140" s="21"/>
      <c r="B4140"/>
      <c r="F4140" s="87"/>
      <c r="H4140" s="87"/>
      <c r="I4140" s="89"/>
    </row>
    <row r="4141" spans="1:9">
      <c r="A4141" s="21"/>
      <c r="B4141"/>
      <c r="F4141" s="87"/>
      <c r="H4141" s="87"/>
      <c r="I4141" s="89"/>
    </row>
    <row r="4142" spans="1:9">
      <c r="A4142" s="21"/>
      <c r="B4142"/>
      <c r="F4142" s="87"/>
      <c r="H4142" s="87"/>
      <c r="I4142" s="89"/>
    </row>
    <row r="4143" spans="1:9">
      <c r="A4143" s="21"/>
      <c r="B4143"/>
      <c r="F4143" s="87"/>
      <c r="H4143" s="87"/>
      <c r="I4143" s="89"/>
    </row>
    <row r="4144" spans="1:9">
      <c r="A4144" s="21"/>
      <c r="B4144"/>
      <c r="F4144" s="87"/>
      <c r="H4144" s="87"/>
      <c r="I4144" s="89"/>
    </row>
    <row r="4145" spans="1:9">
      <c r="A4145" s="21"/>
      <c r="B4145"/>
      <c r="F4145" s="87"/>
      <c r="H4145" s="87"/>
      <c r="I4145" s="89"/>
    </row>
    <row r="4146" spans="1:9">
      <c r="A4146" s="21"/>
      <c r="B4146"/>
      <c r="F4146" s="87"/>
      <c r="H4146" s="87"/>
      <c r="I4146" s="89"/>
    </row>
    <row r="4147" spans="1:9">
      <c r="A4147" s="21"/>
      <c r="B4147"/>
      <c r="F4147" s="87"/>
      <c r="H4147" s="87"/>
      <c r="I4147" s="89"/>
    </row>
    <row r="4148" spans="1:9">
      <c r="A4148" s="21"/>
      <c r="B4148"/>
      <c r="F4148" s="87"/>
      <c r="H4148" s="87"/>
      <c r="I4148" s="89"/>
    </row>
    <row r="4149" spans="1:9">
      <c r="A4149" s="21"/>
      <c r="B4149"/>
      <c r="F4149" s="87"/>
      <c r="H4149" s="87"/>
      <c r="I4149" s="89"/>
    </row>
    <row r="4150" spans="1:9">
      <c r="A4150" s="21"/>
      <c r="B4150"/>
      <c r="F4150" s="87"/>
      <c r="H4150" s="87"/>
      <c r="I4150" s="89"/>
    </row>
    <row r="4151" spans="1:9">
      <c r="A4151" s="21"/>
      <c r="B4151"/>
      <c r="F4151" s="87"/>
      <c r="H4151" s="87"/>
      <c r="I4151" s="89"/>
    </row>
    <row r="4152" spans="1:9">
      <c r="A4152" s="21"/>
      <c r="B4152"/>
      <c r="F4152" s="87"/>
      <c r="H4152" s="87"/>
      <c r="I4152" s="89"/>
    </row>
    <row r="4153" spans="1:9">
      <c r="A4153" s="21"/>
      <c r="B4153"/>
      <c r="F4153" s="87"/>
      <c r="H4153" s="87"/>
      <c r="I4153" s="89"/>
    </row>
    <row r="4154" spans="1:9">
      <c r="A4154" s="21"/>
      <c r="B4154"/>
      <c r="F4154" s="87"/>
      <c r="H4154" s="87"/>
      <c r="I4154" s="89"/>
    </row>
    <row r="4155" spans="1:9">
      <c r="A4155" s="21"/>
      <c r="B4155"/>
      <c r="F4155" s="87"/>
      <c r="H4155" s="87"/>
      <c r="I4155" s="89"/>
    </row>
    <row r="4156" spans="1:9">
      <c r="A4156" s="21"/>
      <c r="B4156"/>
      <c r="F4156" s="87"/>
      <c r="H4156" s="87"/>
      <c r="I4156" s="89"/>
    </row>
    <row r="4157" spans="1:9">
      <c r="A4157" s="21"/>
      <c r="B4157"/>
      <c r="F4157" s="87"/>
      <c r="H4157" s="87"/>
      <c r="I4157" s="89"/>
    </row>
    <row r="4158" spans="1:9">
      <c r="A4158" s="21"/>
      <c r="B4158"/>
      <c r="F4158" s="87"/>
      <c r="H4158" s="87"/>
      <c r="I4158" s="89"/>
    </row>
    <row r="4159" spans="1:9">
      <c r="A4159" s="21"/>
      <c r="B4159"/>
      <c r="F4159" s="87"/>
      <c r="H4159" s="87"/>
      <c r="I4159" s="89"/>
    </row>
    <row r="4160" spans="1:9">
      <c r="A4160" s="21"/>
      <c r="B4160"/>
      <c r="F4160" s="87"/>
      <c r="H4160" s="87"/>
      <c r="I4160" s="89"/>
    </row>
    <row r="4161" spans="1:9">
      <c r="A4161" s="21"/>
      <c r="B4161"/>
      <c r="F4161" s="87"/>
      <c r="H4161" s="87"/>
      <c r="I4161" s="89"/>
    </row>
    <row r="4162" spans="1:9">
      <c r="A4162" s="21"/>
      <c r="B4162"/>
      <c r="F4162" s="87"/>
      <c r="H4162" s="87"/>
      <c r="I4162" s="89"/>
    </row>
    <row r="4163" spans="1:9">
      <c r="A4163" s="21"/>
      <c r="B4163"/>
      <c r="F4163" s="87"/>
      <c r="H4163" s="87"/>
      <c r="I4163" s="89"/>
    </row>
    <row r="4164" spans="1:9">
      <c r="A4164" s="21"/>
      <c r="B4164"/>
      <c r="F4164" s="87"/>
      <c r="H4164" s="87"/>
      <c r="I4164" s="89"/>
    </row>
    <row r="4165" spans="1:9">
      <c r="A4165" s="21"/>
      <c r="B4165"/>
      <c r="F4165" s="87"/>
      <c r="H4165" s="87"/>
      <c r="I4165" s="89"/>
    </row>
    <row r="4166" spans="1:9">
      <c r="A4166" s="21"/>
      <c r="B4166"/>
      <c r="F4166" s="87"/>
      <c r="H4166" s="87"/>
      <c r="I4166" s="89"/>
    </row>
    <row r="4167" spans="1:9">
      <c r="A4167" s="21"/>
      <c r="B4167"/>
      <c r="F4167" s="87"/>
      <c r="H4167" s="87"/>
      <c r="I4167" s="89"/>
    </row>
    <row r="4168" spans="1:9">
      <c r="A4168" s="21"/>
      <c r="B4168"/>
      <c r="F4168" s="87"/>
      <c r="H4168" s="87"/>
      <c r="I4168" s="89"/>
    </row>
    <row r="4169" spans="1:9">
      <c r="A4169" s="21"/>
      <c r="B4169"/>
      <c r="F4169" s="87"/>
      <c r="H4169" s="87"/>
      <c r="I4169" s="89"/>
    </row>
    <row r="4170" spans="1:9">
      <c r="A4170" s="21"/>
      <c r="B4170"/>
      <c r="F4170" s="87"/>
      <c r="H4170" s="87"/>
      <c r="I4170" s="89"/>
    </row>
    <row r="4171" spans="1:9">
      <c r="A4171" s="21"/>
      <c r="B4171"/>
      <c r="F4171" s="87"/>
      <c r="H4171" s="87"/>
      <c r="I4171" s="89"/>
    </row>
    <row r="4172" spans="1:9">
      <c r="A4172" s="21"/>
      <c r="B4172"/>
      <c r="F4172" s="87"/>
      <c r="H4172" s="87"/>
      <c r="I4172" s="89"/>
    </row>
    <row r="4173" spans="1:9">
      <c r="A4173" s="21"/>
      <c r="B4173"/>
      <c r="F4173" s="87"/>
      <c r="H4173" s="87"/>
      <c r="I4173" s="89"/>
    </row>
    <row r="4174" spans="1:9">
      <c r="A4174" s="21"/>
      <c r="B4174"/>
      <c r="F4174" s="87"/>
      <c r="H4174" s="87"/>
      <c r="I4174" s="89"/>
    </row>
    <row r="4175" spans="1:9">
      <c r="A4175" s="21"/>
      <c r="B4175"/>
      <c r="F4175" s="87"/>
      <c r="H4175" s="87"/>
      <c r="I4175" s="89"/>
    </row>
    <row r="4176" spans="1:9">
      <c r="A4176" s="21"/>
      <c r="B4176"/>
      <c r="F4176" s="87"/>
      <c r="H4176" s="87"/>
      <c r="I4176" s="89"/>
    </row>
    <row r="4177" spans="1:9">
      <c r="A4177" s="21"/>
      <c r="B4177"/>
      <c r="F4177" s="87"/>
      <c r="H4177" s="87"/>
      <c r="I4177" s="89"/>
    </row>
    <row r="4178" spans="1:9">
      <c r="A4178" s="21"/>
      <c r="B4178"/>
      <c r="F4178" s="87"/>
      <c r="H4178" s="87"/>
      <c r="I4178" s="89"/>
    </row>
    <row r="4179" spans="1:9">
      <c r="A4179" s="21"/>
      <c r="B4179"/>
      <c r="F4179" s="87"/>
      <c r="H4179" s="87"/>
      <c r="I4179" s="89"/>
    </row>
    <row r="4180" spans="1:9">
      <c r="A4180" s="21"/>
      <c r="B4180"/>
      <c r="F4180" s="87"/>
      <c r="H4180" s="87"/>
      <c r="I4180" s="89"/>
    </row>
    <row r="4181" spans="1:9">
      <c r="A4181" s="21"/>
      <c r="B4181"/>
      <c r="F4181" s="87"/>
      <c r="H4181" s="87"/>
      <c r="I4181" s="89"/>
    </row>
    <row r="4182" spans="1:9">
      <c r="A4182" s="21"/>
      <c r="B4182"/>
      <c r="F4182" s="87"/>
      <c r="H4182" s="87"/>
      <c r="I4182" s="89"/>
    </row>
    <row r="4183" spans="1:9">
      <c r="A4183" s="21"/>
      <c r="B4183"/>
      <c r="F4183" s="87"/>
      <c r="H4183" s="87"/>
      <c r="I4183" s="89"/>
    </row>
    <row r="4184" spans="1:9">
      <c r="A4184" s="21"/>
      <c r="B4184"/>
      <c r="F4184" s="87"/>
      <c r="H4184" s="87"/>
      <c r="I4184" s="89"/>
    </row>
    <row r="4185" spans="1:9">
      <c r="A4185" s="21"/>
      <c r="B4185"/>
      <c r="F4185" s="87"/>
      <c r="H4185" s="87"/>
      <c r="I4185" s="89"/>
    </row>
    <row r="4186" spans="1:9">
      <c r="A4186" s="21"/>
      <c r="B4186"/>
      <c r="F4186" s="87"/>
      <c r="H4186" s="87"/>
      <c r="I4186" s="89"/>
    </row>
    <row r="4187" spans="1:9">
      <c r="A4187" s="21"/>
      <c r="B4187"/>
      <c r="F4187" s="87"/>
      <c r="H4187" s="87"/>
      <c r="I4187" s="89"/>
    </row>
    <row r="4188" spans="1:9">
      <c r="A4188" s="21"/>
      <c r="B4188"/>
      <c r="F4188" s="87"/>
      <c r="H4188" s="87"/>
      <c r="I4188" s="89"/>
    </row>
    <row r="4189" spans="1:9">
      <c r="A4189" s="21"/>
      <c r="B4189"/>
      <c r="F4189" s="87"/>
      <c r="H4189" s="87"/>
      <c r="I4189" s="89"/>
    </row>
    <row r="4190" spans="1:9">
      <c r="A4190" s="21"/>
      <c r="B4190"/>
      <c r="F4190" s="87"/>
      <c r="H4190" s="87"/>
      <c r="I4190" s="89"/>
    </row>
    <row r="4191" spans="1:9">
      <c r="A4191" s="21"/>
      <c r="B4191"/>
      <c r="F4191" s="87"/>
      <c r="H4191" s="87"/>
      <c r="I4191" s="89"/>
    </row>
    <row r="4192" spans="1:9">
      <c r="A4192" s="21"/>
      <c r="B4192"/>
      <c r="F4192" s="87"/>
      <c r="H4192" s="87"/>
      <c r="I4192" s="89"/>
    </row>
    <row r="4193" spans="1:9">
      <c r="A4193" s="21"/>
      <c r="B4193"/>
      <c r="F4193" s="87"/>
      <c r="H4193" s="87"/>
      <c r="I4193" s="89"/>
    </row>
    <row r="4194" spans="1:9">
      <c r="A4194" s="21"/>
      <c r="B4194"/>
      <c r="F4194" s="87"/>
      <c r="H4194" s="87"/>
      <c r="I4194" s="89"/>
    </row>
    <row r="4195" spans="1:9">
      <c r="A4195" s="21"/>
      <c r="B4195"/>
      <c r="F4195" s="87"/>
      <c r="H4195" s="87"/>
      <c r="I4195" s="89"/>
    </row>
    <row r="4196" spans="1:9">
      <c r="A4196" s="21"/>
      <c r="B4196"/>
      <c r="F4196" s="87"/>
      <c r="H4196" s="87"/>
      <c r="I4196" s="89"/>
    </row>
    <row r="4197" spans="1:9">
      <c r="A4197" s="21"/>
      <c r="B4197"/>
      <c r="F4197" s="87"/>
      <c r="H4197" s="87"/>
      <c r="I4197" s="89"/>
    </row>
    <row r="4198" spans="1:9">
      <c r="A4198" s="21"/>
      <c r="B4198"/>
      <c r="F4198" s="87"/>
      <c r="H4198" s="87"/>
      <c r="I4198" s="89"/>
    </row>
    <row r="4199" spans="1:9">
      <c r="A4199" s="21"/>
      <c r="B4199"/>
      <c r="F4199" s="87"/>
      <c r="H4199" s="87"/>
      <c r="I4199" s="89"/>
    </row>
    <row r="4200" spans="1:9">
      <c r="A4200" s="21"/>
      <c r="B4200"/>
      <c r="F4200" s="87"/>
      <c r="H4200" s="87"/>
      <c r="I4200" s="89"/>
    </row>
    <row r="4201" spans="1:9">
      <c r="A4201" s="21"/>
      <c r="B4201"/>
      <c r="F4201" s="87"/>
      <c r="H4201" s="87"/>
      <c r="I4201" s="89"/>
    </row>
    <row r="4202" spans="1:9">
      <c r="A4202" s="21"/>
      <c r="B4202"/>
      <c r="F4202" s="87"/>
      <c r="H4202" s="87"/>
      <c r="I4202" s="89"/>
    </row>
    <row r="4203" spans="1:9">
      <c r="A4203" s="21"/>
      <c r="B4203"/>
      <c r="F4203" s="87"/>
      <c r="H4203" s="87"/>
      <c r="I4203" s="89"/>
    </row>
    <row r="4204" spans="1:9">
      <c r="A4204" s="21"/>
      <c r="B4204"/>
      <c r="F4204" s="87"/>
      <c r="H4204" s="87"/>
      <c r="I4204" s="89"/>
    </row>
    <row r="4205" spans="1:9">
      <c r="A4205" s="21"/>
      <c r="B4205"/>
      <c r="F4205" s="87"/>
      <c r="H4205" s="87"/>
      <c r="I4205" s="89"/>
    </row>
    <row r="4206" spans="1:9">
      <c r="A4206" s="21"/>
      <c r="B4206"/>
      <c r="F4206" s="87"/>
      <c r="H4206" s="87"/>
      <c r="I4206" s="89"/>
    </row>
    <row r="4207" spans="1:9">
      <c r="A4207" s="21"/>
      <c r="B4207"/>
      <c r="F4207" s="87"/>
      <c r="H4207" s="87"/>
      <c r="I4207" s="89"/>
    </row>
    <row r="4208" spans="1:9">
      <c r="A4208" s="21"/>
      <c r="B4208"/>
      <c r="F4208" s="87"/>
      <c r="H4208" s="87"/>
      <c r="I4208" s="89"/>
    </row>
    <row r="4209" spans="1:9">
      <c r="A4209" s="21"/>
      <c r="B4209"/>
      <c r="F4209" s="87"/>
      <c r="H4209" s="87"/>
      <c r="I4209" s="89"/>
    </row>
    <row r="4210" spans="1:9">
      <c r="A4210" s="21"/>
      <c r="B4210"/>
      <c r="F4210" s="87"/>
      <c r="H4210" s="87"/>
      <c r="I4210" s="89"/>
    </row>
    <row r="4211" spans="1:9">
      <c r="A4211" s="21"/>
      <c r="B4211"/>
      <c r="F4211" s="87"/>
      <c r="H4211" s="87"/>
      <c r="I4211" s="89"/>
    </row>
    <row r="4212" spans="1:9">
      <c r="A4212" s="21"/>
      <c r="B4212"/>
      <c r="F4212" s="87"/>
      <c r="H4212" s="87"/>
      <c r="I4212" s="89"/>
    </row>
    <row r="4213" spans="1:9">
      <c r="A4213" s="21"/>
      <c r="B4213"/>
      <c r="F4213" s="87"/>
      <c r="H4213" s="87"/>
      <c r="I4213" s="89"/>
    </row>
    <row r="4214" spans="1:9">
      <c r="A4214" s="21"/>
      <c r="B4214"/>
      <c r="F4214" s="87"/>
      <c r="H4214" s="87"/>
      <c r="I4214" s="89"/>
    </row>
    <row r="4215" spans="1:9">
      <c r="A4215" s="21"/>
      <c r="B4215"/>
      <c r="F4215" s="87"/>
      <c r="H4215" s="87"/>
      <c r="I4215" s="89"/>
    </row>
    <row r="4216" spans="1:9">
      <c r="A4216" s="21"/>
      <c r="B4216"/>
      <c r="F4216" s="87"/>
      <c r="H4216" s="87"/>
      <c r="I4216" s="89"/>
    </row>
    <row r="4217" spans="1:9">
      <c r="A4217" s="21"/>
      <c r="B4217"/>
      <c r="F4217" s="87"/>
      <c r="H4217" s="87"/>
      <c r="I4217" s="89"/>
    </row>
    <row r="4218" spans="1:9">
      <c r="A4218" s="21"/>
      <c r="B4218"/>
      <c r="F4218" s="87"/>
      <c r="H4218" s="87"/>
      <c r="I4218" s="89"/>
    </row>
    <row r="4219" spans="1:9">
      <c r="A4219" s="21"/>
      <c r="B4219"/>
      <c r="F4219" s="87"/>
      <c r="H4219" s="87"/>
      <c r="I4219" s="89"/>
    </row>
    <row r="4220" spans="1:9">
      <c r="A4220" s="21"/>
      <c r="B4220"/>
      <c r="F4220" s="87"/>
      <c r="H4220" s="87"/>
      <c r="I4220" s="89"/>
    </row>
    <row r="4221" spans="1:9">
      <c r="A4221" s="21"/>
      <c r="B4221"/>
      <c r="F4221" s="87"/>
      <c r="H4221" s="87"/>
      <c r="I4221" s="89"/>
    </row>
    <row r="4222" spans="1:9">
      <c r="A4222" s="21"/>
      <c r="B4222"/>
      <c r="F4222" s="87"/>
      <c r="H4222" s="87"/>
      <c r="I4222" s="89"/>
    </row>
    <row r="4223" spans="1:9">
      <c r="A4223" s="21"/>
      <c r="B4223"/>
      <c r="F4223" s="87"/>
      <c r="H4223" s="87"/>
      <c r="I4223" s="89"/>
    </row>
    <row r="4224" spans="1:9">
      <c r="A4224" s="21"/>
      <c r="B4224"/>
      <c r="F4224" s="87"/>
      <c r="H4224" s="87"/>
      <c r="I4224" s="89"/>
    </row>
    <row r="4225" spans="1:9">
      <c r="A4225" s="21"/>
      <c r="B4225"/>
      <c r="F4225" s="87"/>
      <c r="H4225" s="87"/>
      <c r="I4225" s="89"/>
    </row>
    <row r="4226" spans="1:9">
      <c r="A4226" s="21"/>
      <c r="B4226"/>
      <c r="F4226" s="87"/>
      <c r="H4226" s="87"/>
      <c r="I4226" s="89"/>
    </row>
    <row r="4227" spans="1:9">
      <c r="A4227" s="21"/>
      <c r="B4227"/>
      <c r="F4227" s="87"/>
      <c r="H4227" s="87"/>
      <c r="I4227" s="89"/>
    </row>
    <row r="4228" spans="1:9">
      <c r="A4228" s="21"/>
      <c r="B4228"/>
      <c r="F4228" s="87"/>
      <c r="H4228" s="87"/>
      <c r="I4228" s="89"/>
    </row>
    <row r="4229" spans="1:9">
      <c r="A4229" s="21"/>
      <c r="B4229"/>
      <c r="F4229" s="87"/>
      <c r="H4229" s="87"/>
      <c r="I4229" s="89"/>
    </row>
    <row r="4230" spans="1:9">
      <c r="A4230" s="21"/>
      <c r="B4230"/>
      <c r="F4230" s="87"/>
      <c r="H4230" s="87"/>
      <c r="I4230" s="89"/>
    </row>
    <row r="4231" spans="1:9">
      <c r="A4231" s="21"/>
      <c r="B4231"/>
      <c r="F4231" s="87"/>
      <c r="H4231" s="87"/>
      <c r="I4231" s="89"/>
    </row>
    <row r="4232" spans="1:9">
      <c r="A4232" s="21"/>
      <c r="B4232"/>
      <c r="F4232" s="87"/>
      <c r="H4232" s="87"/>
      <c r="I4232" s="89"/>
    </row>
    <row r="4233" spans="1:9">
      <c r="A4233" s="21"/>
      <c r="B4233"/>
      <c r="F4233" s="87"/>
      <c r="H4233" s="87"/>
      <c r="I4233" s="89"/>
    </row>
    <row r="4234" spans="1:9">
      <c r="A4234" s="21"/>
      <c r="B4234"/>
      <c r="F4234" s="87"/>
      <c r="H4234" s="87"/>
      <c r="I4234" s="89"/>
    </row>
    <row r="4235" spans="1:9">
      <c r="A4235" s="21"/>
      <c r="B4235"/>
      <c r="F4235" s="87"/>
      <c r="H4235" s="87"/>
      <c r="I4235" s="89"/>
    </row>
    <row r="4236" spans="1:9">
      <c r="A4236" s="21"/>
      <c r="B4236"/>
      <c r="F4236" s="87"/>
      <c r="H4236" s="87"/>
      <c r="I4236" s="89"/>
    </row>
    <row r="4237" spans="1:9">
      <c r="A4237" s="21"/>
      <c r="B4237"/>
      <c r="F4237" s="87"/>
      <c r="H4237" s="87"/>
      <c r="I4237" s="89"/>
    </row>
    <row r="4238" spans="1:9">
      <c r="A4238" s="21"/>
      <c r="B4238"/>
      <c r="F4238" s="87"/>
      <c r="H4238" s="87"/>
      <c r="I4238" s="89"/>
    </row>
    <row r="4239" spans="1:9">
      <c r="A4239" s="21"/>
      <c r="B4239"/>
      <c r="F4239" s="87"/>
      <c r="H4239" s="87"/>
      <c r="I4239" s="89"/>
    </row>
    <row r="4240" spans="1:9">
      <c r="A4240" s="21"/>
      <c r="B4240"/>
      <c r="F4240" s="87"/>
      <c r="H4240" s="87"/>
      <c r="I4240" s="89"/>
    </row>
    <row r="4241" spans="1:9">
      <c r="A4241" s="21"/>
      <c r="B4241"/>
      <c r="F4241" s="87"/>
      <c r="H4241" s="87"/>
      <c r="I4241" s="89"/>
    </row>
    <row r="4242" spans="1:9">
      <c r="A4242" s="21"/>
      <c r="B4242"/>
      <c r="F4242" s="87"/>
      <c r="H4242" s="87"/>
      <c r="I4242" s="89"/>
    </row>
    <row r="4243" spans="1:9">
      <c r="A4243" s="21"/>
      <c r="B4243"/>
      <c r="F4243" s="87"/>
      <c r="H4243" s="87"/>
      <c r="I4243" s="89"/>
    </row>
    <row r="4244" spans="1:9">
      <c r="A4244" s="21"/>
      <c r="B4244"/>
      <c r="F4244" s="87"/>
      <c r="H4244" s="87"/>
      <c r="I4244" s="89"/>
    </row>
    <row r="4245" spans="1:9">
      <c r="A4245" s="21"/>
      <c r="B4245"/>
      <c r="F4245" s="87"/>
      <c r="H4245" s="87"/>
      <c r="I4245" s="89"/>
    </row>
    <row r="4246" spans="1:9">
      <c r="A4246" s="21"/>
      <c r="B4246"/>
      <c r="F4246" s="87"/>
      <c r="H4246" s="87"/>
      <c r="I4246" s="89"/>
    </row>
    <row r="4247" spans="1:9">
      <c r="A4247" s="21"/>
      <c r="B4247"/>
      <c r="F4247" s="87"/>
      <c r="H4247" s="87"/>
      <c r="I4247" s="89"/>
    </row>
    <row r="4248" spans="1:9">
      <c r="A4248" s="21"/>
      <c r="B4248"/>
      <c r="F4248" s="87"/>
      <c r="H4248" s="87"/>
      <c r="I4248" s="89"/>
    </row>
    <row r="4249" spans="1:9">
      <c r="A4249" s="21"/>
      <c r="B4249"/>
      <c r="F4249" s="87"/>
      <c r="H4249" s="87"/>
      <c r="I4249" s="89"/>
    </row>
    <row r="4250" spans="1:9">
      <c r="A4250" s="21"/>
      <c r="B4250"/>
      <c r="F4250" s="87"/>
      <c r="H4250" s="87"/>
      <c r="I4250" s="89"/>
    </row>
    <row r="4251" spans="1:9">
      <c r="A4251" s="21"/>
      <c r="B4251"/>
      <c r="F4251" s="87"/>
      <c r="H4251" s="87"/>
      <c r="I4251" s="89"/>
    </row>
    <row r="4252" spans="1:9">
      <c r="A4252" s="21"/>
      <c r="B4252"/>
      <c r="F4252" s="87"/>
      <c r="H4252" s="87"/>
      <c r="I4252" s="89"/>
    </row>
    <row r="4253" spans="1:9">
      <c r="A4253" s="21"/>
      <c r="B4253"/>
      <c r="F4253" s="87"/>
      <c r="H4253" s="87"/>
      <c r="I4253" s="89"/>
    </row>
    <row r="4254" spans="1:9">
      <c r="A4254" s="21"/>
      <c r="B4254"/>
      <c r="F4254" s="87"/>
      <c r="H4254" s="87"/>
      <c r="I4254" s="89"/>
    </row>
    <row r="4255" spans="1:9">
      <c r="A4255" s="21"/>
      <c r="B4255"/>
      <c r="F4255" s="87"/>
      <c r="H4255" s="87"/>
      <c r="I4255" s="89"/>
    </row>
    <row r="4256" spans="1:9">
      <c r="A4256" s="21"/>
      <c r="B4256"/>
      <c r="F4256" s="87"/>
      <c r="H4256" s="87"/>
      <c r="I4256" s="89"/>
    </row>
    <row r="4257" spans="1:9">
      <c r="A4257" s="21"/>
      <c r="B4257"/>
      <c r="F4257" s="87"/>
      <c r="H4257" s="87"/>
      <c r="I4257" s="89"/>
    </row>
    <row r="4258" spans="1:9">
      <c r="A4258" s="21"/>
      <c r="B4258"/>
      <c r="F4258" s="87"/>
      <c r="H4258" s="87"/>
      <c r="I4258" s="89"/>
    </row>
    <row r="4259" spans="1:9">
      <c r="A4259" s="21"/>
      <c r="B4259"/>
      <c r="F4259" s="87"/>
      <c r="H4259" s="87"/>
      <c r="I4259" s="89"/>
    </row>
    <row r="4260" spans="1:9">
      <c r="A4260" s="21"/>
      <c r="B4260"/>
      <c r="F4260" s="87"/>
      <c r="H4260" s="87"/>
      <c r="I4260" s="89"/>
    </row>
    <row r="4261" spans="1:9">
      <c r="A4261" s="21"/>
      <c r="B4261"/>
      <c r="F4261" s="87"/>
      <c r="H4261" s="87"/>
      <c r="I4261" s="89"/>
    </row>
    <row r="4262" spans="1:9">
      <c r="A4262" s="21"/>
      <c r="B4262"/>
      <c r="F4262" s="87"/>
      <c r="H4262" s="87"/>
      <c r="I4262" s="89"/>
    </row>
    <row r="4263" spans="1:9">
      <c r="A4263" s="21"/>
      <c r="B4263"/>
      <c r="F4263" s="87"/>
      <c r="H4263" s="87"/>
      <c r="I4263" s="89"/>
    </row>
    <row r="4264" spans="1:9">
      <c r="A4264" s="21"/>
      <c r="B4264"/>
      <c r="F4264" s="87"/>
      <c r="H4264" s="87"/>
      <c r="I4264" s="89"/>
    </row>
    <row r="4265" spans="1:9">
      <c r="A4265" s="21"/>
      <c r="B4265"/>
      <c r="F4265" s="87"/>
      <c r="H4265" s="87"/>
      <c r="I4265" s="89"/>
    </row>
    <row r="4266" spans="1:9">
      <c r="A4266" s="21"/>
      <c r="B4266"/>
      <c r="F4266" s="87"/>
      <c r="H4266" s="87"/>
      <c r="I4266" s="89"/>
    </row>
    <row r="4267" spans="1:9">
      <c r="A4267" s="21"/>
      <c r="B4267"/>
      <c r="F4267" s="87"/>
      <c r="H4267" s="87"/>
      <c r="I4267" s="89"/>
    </row>
    <row r="4268" spans="1:9">
      <c r="A4268" s="21"/>
      <c r="B4268"/>
      <c r="F4268" s="87"/>
      <c r="H4268" s="87"/>
      <c r="I4268" s="89"/>
    </row>
    <row r="4269" spans="1:9">
      <c r="A4269" s="21"/>
      <c r="B4269"/>
      <c r="F4269" s="87"/>
      <c r="H4269" s="87"/>
      <c r="I4269" s="89"/>
    </row>
    <row r="4270" spans="1:9">
      <c r="A4270" s="21"/>
      <c r="B4270"/>
      <c r="F4270" s="87"/>
      <c r="H4270" s="87"/>
      <c r="I4270" s="89"/>
    </row>
    <row r="4271" spans="1:9">
      <c r="A4271" s="21"/>
      <c r="B4271"/>
      <c r="F4271" s="87"/>
      <c r="H4271" s="87"/>
      <c r="I4271" s="89"/>
    </row>
    <row r="4272" spans="1:9">
      <c r="A4272" s="21"/>
      <c r="B4272"/>
      <c r="F4272" s="87"/>
      <c r="H4272" s="87"/>
      <c r="I4272" s="89"/>
    </row>
    <row r="4273" spans="1:9">
      <c r="A4273" s="21"/>
      <c r="B4273"/>
      <c r="F4273" s="87"/>
      <c r="H4273" s="87"/>
      <c r="I4273" s="89"/>
    </row>
    <row r="4274" spans="1:9">
      <c r="A4274" s="21"/>
      <c r="B4274"/>
      <c r="F4274" s="87"/>
      <c r="H4274" s="87"/>
      <c r="I4274" s="89"/>
    </row>
    <row r="4275" spans="1:9">
      <c r="A4275" s="21"/>
      <c r="B4275"/>
      <c r="F4275" s="87"/>
      <c r="H4275" s="87"/>
      <c r="I4275" s="89"/>
    </row>
    <row r="4276" spans="1:9">
      <c r="A4276" s="21"/>
      <c r="B4276"/>
      <c r="F4276" s="87"/>
      <c r="H4276" s="87"/>
      <c r="I4276" s="89"/>
    </row>
    <row r="4277" spans="1:9">
      <c r="A4277" s="21"/>
      <c r="B4277"/>
      <c r="F4277" s="87"/>
      <c r="H4277" s="87"/>
      <c r="I4277" s="89"/>
    </row>
    <row r="4278" spans="1:9">
      <c r="A4278" s="21"/>
      <c r="B4278"/>
      <c r="F4278" s="87"/>
      <c r="H4278" s="87"/>
      <c r="I4278" s="89"/>
    </row>
    <row r="4279" spans="1:9">
      <c r="A4279" s="21"/>
      <c r="B4279"/>
      <c r="F4279" s="87"/>
      <c r="H4279" s="87"/>
      <c r="I4279" s="89"/>
    </row>
    <row r="4280" spans="1:9">
      <c r="A4280" s="21"/>
      <c r="B4280"/>
      <c r="F4280" s="87"/>
      <c r="H4280" s="87"/>
      <c r="I4280" s="89"/>
    </row>
    <row r="4281" spans="1:9">
      <c r="A4281" s="21"/>
      <c r="B4281"/>
      <c r="F4281" s="87"/>
      <c r="H4281" s="87"/>
      <c r="I4281" s="89"/>
    </row>
    <row r="4282" spans="1:9">
      <c r="A4282" s="21"/>
      <c r="B4282"/>
      <c r="F4282" s="87"/>
      <c r="H4282" s="87"/>
      <c r="I4282" s="89"/>
    </row>
    <row r="4283" spans="1:9">
      <c r="A4283" s="21"/>
      <c r="B4283"/>
      <c r="F4283" s="87"/>
      <c r="H4283" s="87"/>
      <c r="I4283" s="89"/>
    </row>
    <row r="4284" spans="1:9">
      <c r="A4284" s="21"/>
      <c r="B4284"/>
      <c r="F4284" s="87"/>
      <c r="H4284" s="87"/>
      <c r="I4284" s="89"/>
    </row>
    <row r="4285" spans="1:9">
      <c r="A4285" s="21"/>
      <c r="B4285"/>
      <c r="F4285" s="87"/>
      <c r="H4285" s="87"/>
      <c r="I4285" s="89"/>
    </row>
    <row r="4286" spans="1:9">
      <c r="A4286" s="21"/>
      <c r="B4286"/>
      <c r="F4286" s="87"/>
      <c r="H4286" s="87"/>
      <c r="I4286" s="89"/>
    </row>
    <row r="4287" spans="1:9">
      <c r="A4287" s="21"/>
      <c r="B4287"/>
      <c r="F4287" s="87"/>
      <c r="H4287" s="87"/>
      <c r="I4287" s="89"/>
    </row>
    <row r="4288" spans="1:9">
      <c r="A4288" s="21"/>
      <c r="B4288"/>
      <c r="F4288" s="87"/>
      <c r="H4288" s="87"/>
      <c r="I4288" s="89"/>
    </row>
    <row r="4289" spans="1:9">
      <c r="A4289" s="21"/>
      <c r="B4289"/>
      <c r="F4289" s="87"/>
      <c r="H4289" s="87"/>
      <c r="I4289" s="89"/>
    </row>
    <row r="4290" spans="1:9">
      <c r="A4290" s="21"/>
      <c r="B4290"/>
      <c r="F4290" s="87"/>
      <c r="H4290" s="87"/>
      <c r="I4290" s="89"/>
    </row>
    <row r="4291" spans="1:9">
      <c r="A4291" s="21"/>
      <c r="B4291"/>
      <c r="F4291" s="87"/>
      <c r="H4291" s="87"/>
      <c r="I4291" s="89"/>
    </row>
    <row r="4292" spans="1:9">
      <c r="A4292" s="21"/>
      <c r="B4292"/>
      <c r="F4292" s="87"/>
      <c r="H4292" s="87"/>
      <c r="I4292" s="89"/>
    </row>
    <row r="4293" spans="1:9">
      <c r="A4293" s="21"/>
      <c r="B4293"/>
      <c r="F4293" s="87"/>
      <c r="H4293" s="87"/>
      <c r="I4293" s="89"/>
    </row>
    <row r="4294" spans="1:9">
      <c r="A4294" s="21"/>
      <c r="B4294"/>
      <c r="F4294" s="87"/>
      <c r="H4294" s="87"/>
      <c r="I4294" s="89"/>
    </row>
    <row r="4295" spans="1:9">
      <c r="A4295" s="21"/>
      <c r="B4295"/>
      <c r="F4295" s="87"/>
      <c r="H4295" s="87"/>
      <c r="I4295" s="89"/>
    </row>
    <row r="4296" spans="1:9">
      <c r="A4296" s="21"/>
      <c r="B4296"/>
      <c r="F4296" s="87"/>
      <c r="H4296" s="87"/>
      <c r="I4296" s="89"/>
    </row>
    <row r="4297" spans="1:9">
      <c r="A4297" s="21"/>
      <c r="B4297"/>
      <c r="F4297" s="87"/>
      <c r="H4297" s="87"/>
      <c r="I4297" s="89"/>
    </row>
    <row r="4298" spans="1:9">
      <c r="A4298" s="21"/>
      <c r="B4298"/>
      <c r="F4298" s="87"/>
      <c r="H4298" s="87"/>
      <c r="I4298" s="89"/>
    </row>
    <row r="4299" spans="1:9">
      <c r="A4299" s="21"/>
      <c r="B4299"/>
      <c r="F4299" s="87"/>
      <c r="H4299" s="87"/>
      <c r="I4299" s="89"/>
    </row>
    <row r="4300" spans="1:9">
      <c r="A4300" s="21"/>
      <c r="B4300"/>
      <c r="F4300" s="87"/>
      <c r="H4300" s="87"/>
      <c r="I4300" s="89"/>
    </row>
    <row r="4301" spans="1:9">
      <c r="A4301" s="21"/>
      <c r="B4301"/>
      <c r="F4301" s="87"/>
      <c r="H4301" s="87"/>
      <c r="I4301" s="89"/>
    </row>
    <row r="4302" spans="1:9">
      <c r="A4302" s="21"/>
      <c r="B4302"/>
      <c r="F4302" s="87"/>
      <c r="H4302" s="87"/>
      <c r="I4302" s="89"/>
    </row>
    <row r="4303" spans="1:9">
      <c r="A4303" s="21"/>
      <c r="B4303"/>
      <c r="F4303" s="87"/>
      <c r="H4303" s="87"/>
      <c r="I4303" s="89"/>
    </row>
    <row r="4304" spans="1:9">
      <c r="A4304" s="21"/>
      <c r="B4304"/>
      <c r="F4304" s="87"/>
      <c r="H4304" s="87"/>
      <c r="I4304" s="89"/>
    </row>
    <row r="4305" spans="1:9">
      <c r="A4305" s="21"/>
      <c r="B4305"/>
      <c r="F4305" s="87"/>
      <c r="H4305" s="87"/>
      <c r="I4305" s="89"/>
    </row>
    <row r="4306" spans="1:9">
      <c r="A4306" s="21"/>
      <c r="B4306"/>
      <c r="F4306" s="87"/>
      <c r="H4306" s="87"/>
      <c r="I4306" s="89"/>
    </row>
    <row r="4307" spans="1:9">
      <c r="A4307" s="21"/>
      <c r="B4307"/>
      <c r="F4307" s="87"/>
      <c r="H4307" s="87"/>
      <c r="I4307" s="89"/>
    </row>
    <row r="4308" spans="1:9">
      <c r="A4308" s="21"/>
      <c r="B4308"/>
      <c r="F4308" s="87"/>
      <c r="H4308" s="87"/>
      <c r="I4308" s="89"/>
    </row>
    <row r="4309" spans="1:9">
      <c r="A4309" s="21"/>
      <c r="B4309"/>
      <c r="F4309" s="87"/>
      <c r="H4309" s="87"/>
      <c r="I4309" s="89"/>
    </row>
    <row r="4310" spans="1:9">
      <c r="A4310" s="21"/>
      <c r="B4310"/>
      <c r="F4310" s="87"/>
      <c r="H4310" s="87"/>
      <c r="I4310" s="89"/>
    </row>
    <row r="4311" spans="1:9">
      <c r="A4311" s="21"/>
      <c r="B4311"/>
      <c r="F4311" s="87"/>
      <c r="H4311" s="87"/>
      <c r="I4311" s="89"/>
    </row>
    <row r="4312" spans="1:9">
      <c r="A4312" s="21"/>
      <c r="B4312"/>
      <c r="F4312" s="87"/>
      <c r="H4312" s="87"/>
      <c r="I4312" s="89"/>
    </row>
    <row r="4313" spans="1:9">
      <c r="A4313" s="21"/>
      <c r="B4313"/>
      <c r="F4313" s="87"/>
      <c r="H4313" s="87"/>
      <c r="I4313" s="89"/>
    </row>
    <row r="4314" spans="1:9">
      <c r="A4314" s="21"/>
      <c r="B4314"/>
      <c r="F4314" s="87"/>
      <c r="H4314" s="87"/>
      <c r="I4314" s="89"/>
    </row>
    <row r="4315" spans="1:9">
      <c r="A4315" s="21"/>
      <c r="B4315"/>
      <c r="F4315" s="87"/>
      <c r="H4315" s="87"/>
      <c r="I4315" s="89"/>
    </row>
    <row r="4316" spans="1:9">
      <c r="A4316" s="21"/>
      <c r="B4316"/>
      <c r="F4316" s="87"/>
      <c r="H4316" s="87"/>
      <c r="I4316" s="89"/>
    </row>
    <row r="4317" spans="1:9">
      <c r="A4317" s="21"/>
      <c r="B4317"/>
      <c r="F4317" s="87"/>
      <c r="H4317" s="87"/>
      <c r="I4317" s="89"/>
    </row>
    <row r="4318" spans="1:9">
      <c r="A4318" s="21"/>
      <c r="B4318"/>
      <c r="F4318" s="87"/>
      <c r="H4318" s="87"/>
      <c r="I4318" s="89"/>
    </row>
    <row r="4319" spans="1:9">
      <c r="A4319" s="21"/>
      <c r="B4319"/>
      <c r="F4319" s="87"/>
      <c r="H4319" s="87"/>
      <c r="I4319" s="89"/>
    </row>
    <row r="4320" spans="1:9">
      <c r="A4320" s="21"/>
      <c r="B4320"/>
      <c r="F4320" s="87"/>
      <c r="H4320" s="87"/>
      <c r="I4320" s="89"/>
    </row>
    <row r="4321" spans="1:9">
      <c r="A4321" s="21"/>
      <c r="B4321"/>
      <c r="F4321" s="87"/>
      <c r="H4321" s="87"/>
      <c r="I4321" s="89"/>
    </row>
    <row r="4322" spans="1:9">
      <c r="A4322" s="21"/>
      <c r="B4322"/>
      <c r="F4322" s="87"/>
      <c r="H4322" s="87"/>
      <c r="I4322" s="89"/>
    </row>
    <row r="4323" spans="1:9">
      <c r="A4323" s="21"/>
      <c r="B4323"/>
      <c r="F4323" s="87"/>
      <c r="H4323" s="87"/>
      <c r="I4323" s="89"/>
    </row>
    <row r="4324" spans="1:9">
      <c r="A4324" s="21"/>
      <c r="B4324"/>
      <c r="F4324" s="87"/>
      <c r="H4324" s="87"/>
      <c r="I4324" s="89"/>
    </row>
    <row r="4325" spans="1:9">
      <c r="A4325" s="21"/>
      <c r="B4325"/>
      <c r="F4325" s="87"/>
      <c r="H4325" s="87"/>
      <c r="I4325" s="89"/>
    </row>
    <row r="4326" spans="1:9">
      <c r="A4326" s="21"/>
      <c r="B4326"/>
      <c r="F4326" s="87"/>
      <c r="H4326" s="87"/>
      <c r="I4326" s="89"/>
    </row>
    <row r="4327" spans="1:9">
      <c r="A4327" s="21"/>
      <c r="B4327"/>
      <c r="F4327" s="87"/>
      <c r="H4327" s="87"/>
      <c r="I4327" s="89"/>
    </row>
    <row r="4328" spans="1:9">
      <c r="A4328" s="21"/>
      <c r="B4328"/>
      <c r="F4328" s="87"/>
      <c r="H4328" s="87"/>
      <c r="I4328" s="89"/>
    </row>
    <row r="4329" spans="1:9">
      <c r="A4329" s="21"/>
      <c r="B4329"/>
      <c r="F4329" s="87"/>
      <c r="H4329" s="87"/>
      <c r="I4329" s="89"/>
    </row>
    <row r="4330" spans="1:9">
      <c r="A4330" s="21"/>
      <c r="B4330"/>
      <c r="F4330" s="87"/>
      <c r="H4330" s="87"/>
      <c r="I4330" s="89"/>
    </row>
    <row r="4331" spans="1:9">
      <c r="A4331" s="21"/>
      <c r="B4331"/>
      <c r="F4331" s="87"/>
      <c r="H4331" s="87"/>
      <c r="I4331" s="89"/>
    </row>
    <row r="4332" spans="1:9">
      <c r="A4332" s="21"/>
      <c r="B4332"/>
      <c r="F4332" s="87"/>
      <c r="H4332" s="87"/>
      <c r="I4332" s="89"/>
    </row>
    <row r="4333" spans="1:9">
      <c r="A4333" s="21"/>
      <c r="B4333"/>
      <c r="F4333" s="87"/>
      <c r="H4333" s="87"/>
      <c r="I4333" s="89"/>
    </row>
    <row r="4334" spans="1:9">
      <c r="A4334" s="21"/>
      <c r="B4334"/>
      <c r="F4334" s="87"/>
      <c r="H4334" s="87"/>
      <c r="I4334" s="89"/>
    </row>
    <row r="4335" spans="1:9">
      <c r="A4335" s="21"/>
      <c r="B4335"/>
      <c r="F4335" s="87"/>
      <c r="H4335" s="87"/>
      <c r="I4335" s="89"/>
    </row>
    <row r="4336" spans="1:9">
      <c r="A4336" s="21"/>
      <c r="B4336"/>
      <c r="F4336" s="87"/>
      <c r="H4336" s="87"/>
      <c r="I4336" s="89"/>
    </row>
    <row r="4337" spans="1:9">
      <c r="A4337" s="21"/>
      <c r="B4337"/>
      <c r="F4337" s="87"/>
      <c r="H4337" s="87"/>
      <c r="I4337" s="89"/>
    </row>
    <row r="4338" spans="1:9">
      <c r="A4338" s="21"/>
      <c r="B4338"/>
      <c r="F4338" s="87"/>
      <c r="H4338" s="87"/>
      <c r="I4338" s="89"/>
    </row>
    <row r="4339" spans="1:9">
      <c r="A4339" s="21"/>
      <c r="B4339"/>
      <c r="F4339" s="87"/>
      <c r="H4339" s="87"/>
      <c r="I4339" s="89"/>
    </row>
    <row r="4340" spans="1:9">
      <c r="A4340" s="21"/>
      <c r="B4340"/>
      <c r="F4340" s="87"/>
      <c r="H4340" s="87"/>
      <c r="I4340" s="89"/>
    </row>
    <row r="4341" spans="1:9">
      <c r="A4341" s="21"/>
      <c r="B4341"/>
      <c r="F4341" s="87"/>
      <c r="H4341" s="87"/>
      <c r="I4341" s="89"/>
    </row>
    <row r="4342" spans="1:9">
      <c r="A4342" s="21"/>
      <c r="B4342"/>
      <c r="F4342" s="87"/>
      <c r="H4342" s="87"/>
      <c r="I4342" s="89"/>
    </row>
    <row r="4343" spans="1:9">
      <c r="A4343" s="21"/>
      <c r="B4343"/>
      <c r="F4343" s="87"/>
      <c r="H4343" s="87"/>
      <c r="I4343" s="89"/>
    </row>
    <row r="4344" spans="1:9">
      <c r="A4344" s="21"/>
      <c r="B4344"/>
      <c r="F4344" s="87"/>
      <c r="H4344" s="87"/>
      <c r="I4344" s="89"/>
    </row>
    <row r="4345" spans="1:9">
      <c r="A4345" s="21"/>
      <c r="B4345"/>
      <c r="F4345" s="87"/>
      <c r="H4345" s="87"/>
      <c r="I4345" s="89"/>
    </row>
    <row r="4346" spans="1:9">
      <c r="A4346" s="21"/>
      <c r="B4346"/>
      <c r="F4346" s="87"/>
      <c r="H4346" s="87"/>
      <c r="I4346" s="89"/>
    </row>
    <row r="4347" spans="1:9">
      <c r="A4347" s="21"/>
      <c r="B4347"/>
      <c r="F4347" s="87"/>
      <c r="H4347" s="87"/>
      <c r="I4347" s="89"/>
    </row>
    <row r="4348" spans="1:9">
      <c r="A4348" s="21"/>
      <c r="B4348"/>
      <c r="F4348" s="87"/>
      <c r="H4348" s="87"/>
      <c r="I4348" s="89"/>
    </row>
    <row r="4349" spans="1:9">
      <c r="A4349" s="21"/>
      <c r="B4349"/>
      <c r="F4349" s="87"/>
      <c r="H4349" s="87"/>
      <c r="I4349" s="89"/>
    </row>
    <row r="4350" spans="1:9">
      <c r="A4350" s="21"/>
      <c r="B4350"/>
      <c r="F4350" s="87"/>
      <c r="H4350" s="87"/>
      <c r="I4350" s="89"/>
    </row>
    <row r="4351" spans="1:9">
      <c r="A4351" s="21"/>
      <c r="B4351"/>
      <c r="F4351" s="87"/>
      <c r="H4351" s="87"/>
      <c r="I4351" s="89"/>
    </row>
    <row r="4352" spans="1:9">
      <c r="A4352" s="21"/>
      <c r="B4352"/>
      <c r="F4352" s="87"/>
      <c r="H4352" s="87"/>
      <c r="I4352" s="89"/>
    </row>
    <row r="4353" spans="1:9">
      <c r="A4353" s="21"/>
      <c r="B4353"/>
      <c r="F4353" s="87"/>
      <c r="H4353" s="87"/>
      <c r="I4353" s="89"/>
    </row>
    <row r="4354" spans="1:9">
      <c r="A4354" s="21"/>
      <c r="B4354"/>
      <c r="F4354" s="87"/>
      <c r="H4354" s="87"/>
      <c r="I4354" s="89"/>
    </row>
    <row r="4355" spans="1:9">
      <c r="A4355" s="21"/>
      <c r="B4355"/>
      <c r="F4355" s="87"/>
      <c r="H4355" s="87"/>
      <c r="I4355" s="89"/>
    </row>
    <row r="4356" spans="1:9">
      <c r="A4356" s="21"/>
      <c r="B4356"/>
      <c r="F4356" s="87"/>
      <c r="H4356" s="87"/>
      <c r="I4356" s="89"/>
    </row>
    <row r="4357" spans="1:9">
      <c r="A4357" s="21"/>
      <c r="B4357"/>
      <c r="F4357" s="87"/>
      <c r="H4357" s="87"/>
      <c r="I4357" s="89"/>
    </row>
    <row r="4358" spans="1:9">
      <c r="A4358" s="21"/>
      <c r="B4358"/>
      <c r="F4358" s="87"/>
      <c r="H4358" s="87"/>
      <c r="I4358" s="89"/>
    </row>
    <row r="4359" spans="1:9">
      <c r="A4359" s="21"/>
      <c r="B4359"/>
      <c r="F4359" s="87"/>
      <c r="H4359" s="87"/>
      <c r="I4359" s="89"/>
    </row>
    <row r="4360" spans="1:9">
      <c r="A4360" s="21"/>
      <c r="B4360"/>
      <c r="F4360" s="87"/>
      <c r="H4360" s="87"/>
      <c r="I4360" s="89"/>
    </row>
    <row r="4361" spans="1:9">
      <c r="A4361" s="21"/>
      <c r="B4361"/>
      <c r="F4361" s="87"/>
      <c r="H4361" s="87"/>
      <c r="I4361" s="89"/>
    </row>
    <row r="4362" spans="1:9">
      <c r="A4362" s="21"/>
      <c r="B4362"/>
      <c r="F4362" s="87"/>
      <c r="H4362" s="87"/>
      <c r="I4362" s="89"/>
    </row>
    <row r="4363" spans="1:9">
      <c r="A4363" s="21"/>
      <c r="B4363"/>
      <c r="F4363" s="87"/>
      <c r="H4363" s="87"/>
      <c r="I4363" s="89"/>
    </row>
    <row r="4364" spans="1:9">
      <c r="A4364" s="21"/>
      <c r="B4364"/>
      <c r="F4364" s="87"/>
      <c r="H4364" s="87"/>
      <c r="I4364" s="89"/>
    </row>
    <row r="4365" spans="1:9">
      <c r="A4365" s="21"/>
      <c r="B4365"/>
      <c r="F4365" s="87"/>
      <c r="H4365" s="87"/>
      <c r="I4365" s="89"/>
    </row>
    <row r="4366" spans="1:9">
      <c r="A4366" s="21"/>
      <c r="B4366"/>
      <c r="F4366" s="87"/>
      <c r="H4366" s="87"/>
      <c r="I4366" s="89"/>
    </row>
    <row r="4367" spans="1:9">
      <c r="A4367" s="21"/>
      <c r="B4367"/>
      <c r="F4367" s="87"/>
      <c r="H4367" s="87"/>
      <c r="I4367" s="89"/>
    </row>
    <row r="4368" spans="1:9">
      <c r="A4368" s="21"/>
      <c r="B4368"/>
      <c r="F4368" s="87"/>
      <c r="H4368" s="87"/>
      <c r="I4368" s="89"/>
    </row>
    <row r="4369" spans="1:9">
      <c r="A4369" s="21"/>
      <c r="B4369"/>
      <c r="F4369" s="87"/>
      <c r="H4369" s="87"/>
      <c r="I4369" s="89"/>
    </row>
    <row r="4370" spans="1:9">
      <c r="A4370" s="21"/>
      <c r="B4370"/>
      <c r="F4370" s="87"/>
      <c r="H4370" s="87"/>
      <c r="I4370" s="89"/>
    </row>
    <row r="4371" spans="1:9">
      <c r="A4371" s="21"/>
      <c r="B4371"/>
      <c r="F4371" s="87"/>
      <c r="H4371" s="87"/>
      <c r="I4371" s="89"/>
    </row>
    <row r="4372" spans="1:9">
      <c r="A4372" s="21"/>
      <c r="B4372"/>
      <c r="F4372" s="87"/>
      <c r="H4372" s="87"/>
      <c r="I4372" s="89"/>
    </row>
    <row r="4373" spans="1:9">
      <c r="A4373" s="21"/>
      <c r="B4373"/>
      <c r="F4373" s="87"/>
      <c r="H4373" s="87"/>
      <c r="I4373" s="89"/>
    </row>
    <row r="4374" spans="1:9">
      <c r="A4374" s="21"/>
      <c r="B4374"/>
      <c r="F4374" s="87"/>
      <c r="H4374" s="87"/>
      <c r="I4374" s="89"/>
    </row>
    <row r="4375" spans="1:9">
      <c r="A4375" s="21"/>
      <c r="B4375"/>
      <c r="F4375" s="87"/>
      <c r="H4375" s="87"/>
      <c r="I4375" s="89"/>
    </row>
    <row r="4376" spans="1:9">
      <c r="A4376" s="21"/>
      <c r="B4376"/>
      <c r="F4376" s="87"/>
      <c r="H4376" s="87"/>
      <c r="I4376" s="89"/>
    </row>
    <row r="4377" spans="1:9">
      <c r="A4377" s="21"/>
      <c r="B4377"/>
      <c r="F4377" s="87"/>
      <c r="H4377" s="87"/>
      <c r="I4377" s="89"/>
    </row>
    <row r="4378" spans="1:9">
      <c r="A4378" s="21"/>
      <c r="B4378"/>
      <c r="F4378" s="87"/>
      <c r="H4378" s="87"/>
      <c r="I4378" s="89"/>
    </row>
    <row r="4379" spans="1:9">
      <c r="A4379" s="21"/>
      <c r="B4379"/>
      <c r="F4379" s="87"/>
      <c r="H4379" s="87"/>
      <c r="I4379" s="89"/>
    </row>
    <row r="4380" spans="1:9">
      <c r="A4380" s="21"/>
      <c r="B4380"/>
      <c r="F4380" s="87"/>
      <c r="H4380" s="87"/>
      <c r="I4380" s="89"/>
    </row>
    <row r="4381" spans="1:9">
      <c r="A4381" s="21"/>
      <c r="B4381"/>
      <c r="F4381" s="87"/>
      <c r="H4381" s="87"/>
      <c r="I4381" s="89"/>
    </row>
    <row r="4382" spans="1:9">
      <c r="A4382" s="21"/>
      <c r="B4382"/>
      <c r="F4382" s="87"/>
      <c r="H4382" s="87"/>
      <c r="I4382" s="89"/>
    </row>
    <row r="4383" spans="1:9">
      <c r="A4383" s="21"/>
      <c r="B4383"/>
      <c r="F4383" s="87"/>
      <c r="H4383" s="87"/>
      <c r="I4383" s="89"/>
    </row>
    <row r="4384" spans="1:9">
      <c r="A4384" s="21"/>
      <c r="B4384"/>
      <c r="F4384" s="87"/>
      <c r="H4384" s="87"/>
      <c r="I4384" s="89"/>
    </row>
    <row r="4385" spans="1:9">
      <c r="A4385" s="21"/>
      <c r="B4385"/>
      <c r="F4385" s="87"/>
      <c r="H4385" s="87"/>
      <c r="I4385" s="89"/>
    </row>
    <row r="4386" spans="1:9">
      <c r="A4386" s="21"/>
      <c r="B4386"/>
      <c r="F4386" s="87"/>
      <c r="H4386" s="87"/>
      <c r="I4386" s="89"/>
    </row>
    <row r="4387" spans="1:9">
      <c r="A4387" s="21"/>
      <c r="B4387"/>
      <c r="F4387" s="87"/>
      <c r="H4387" s="87"/>
      <c r="I4387" s="89"/>
    </row>
    <row r="4388" spans="1:9">
      <c r="A4388" s="21"/>
      <c r="B4388"/>
      <c r="F4388" s="87"/>
      <c r="H4388" s="87"/>
      <c r="I4388" s="89"/>
    </row>
    <row r="4389" spans="1:9">
      <c r="A4389" s="21"/>
      <c r="B4389"/>
      <c r="F4389" s="87"/>
      <c r="H4389" s="87"/>
      <c r="I4389" s="89"/>
    </row>
    <row r="4390" spans="1:9">
      <c r="A4390" s="21"/>
      <c r="B4390"/>
      <c r="F4390" s="87"/>
      <c r="H4390" s="87"/>
      <c r="I4390" s="89"/>
    </row>
    <row r="4391" spans="1:9">
      <c r="A4391" s="21"/>
      <c r="B4391"/>
      <c r="F4391" s="87"/>
      <c r="H4391" s="87"/>
      <c r="I4391" s="89"/>
    </row>
    <row r="4392" spans="1:9">
      <c r="A4392" s="21"/>
      <c r="B4392"/>
      <c r="F4392" s="87"/>
      <c r="H4392" s="87"/>
      <c r="I4392" s="89"/>
    </row>
    <row r="4393" spans="1:9">
      <c r="A4393" s="21"/>
      <c r="B4393"/>
      <c r="F4393" s="87"/>
      <c r="H4393" s="87"/>
      <c r="I4393" s="89"/>
    </row>
    <row r="4394" spans="1:9">
      <c r="A4394" s="21"/>
      <c r="B4394"/>
      <c r="F4394" s="87"/>
      <c r="H4394" s="87"/>
      <c r="I4394" s="89"/>
    </row>
    <row r="4395" spans="1:9">
      <c r="A4395" s="21"/>
      <c r="B4395"/>
      <c r="F4395" s="87"/>
      <c r="H4395" s="87"/>
      <c r="I4395" s="89"/>
    </row>
    <row r="4396" spans="1:9">
      <c r="A4396" s="21"/>
      <c r="B4396"/>
      <c r="F4396" s="87"/>
      <c r="H4396" s="87"/>
      <c r="I4396" s="89"/>
    </row>
    <row r="4397" spans="1:9">
      <c r="A4397" s="21"/>
      <c r="B4397"/>
      <c r="F4397" s="87"/>
      <c r="H4397" s="87"/>
      <c r="I4397" s="89"/>
    </row>
    <row r="4398" spans="1:9">
      <c r="A4398" s="21"/>
      <c r="B4398"/>
      <c r="F4398" s="87"/>
      <c r="H4398" s="87"/>
      <c r="I4398" s="89"/>
    </row>
    <row r="4399" spans="1:9">
      <c r="A4399" s="21"/>
      <c r="B4399"/>
      <c r="F4399" s="87"/>
      <c r="H4399" s="87"/>
      <c r="I4399" s="89"/>
    </row>
    <row r="4400" spans="1:9">
      <c r="A4400" s="21"/>
      <c r="B4400"/>
      <c r="F4400" s="87"/>
      <c r="H4400" s="87"/>
      <c r="I4400" s="89"/>
    </row>
    <row r="4401" spans="1:9">
      <c r="A4401" s="21"/>
      <c r="B4401"/>
      <c r="F4401" s="87"/>
      <c r="H4401" s="87"/>
      <c r="I4401" s="89"/>
    </row>
    <row r="4402" spans="1:9">
      <c r="A4402" s="21"/>
      <c r="B4402"/>
      <c r="F4402" s="87"/>
      <c r="H4402" s="87"/>
      <c r="I4402" s="89"/>
    </row>
    <row r="4403" spans="1:9">
      <c r="A4403" s="21"/>
      <c r="B4403"/>
      <c r="F4403" s="87"/>
      <c r="H4403" s="87"/>
      <c r="I4403" s="89"/>
    </row>
    <row r="4404" spans="1:9">
      <c r="A4404" s="21"/>
      <c r="B4404"/>
      <c r="F4404" s="87"/>
      <c r="H4404" s="87"/>
      <c r="I4404" s="89"/>
    </row>
    <row r="4405" spans="1:9">
      <c r="A4405" s="21"/>
      <c r="B4405"/>
      <c r="F4405" s="87"/>
      <c r="H4405" s="87"/>
      <c r="I4405" s="89"/>
    </row>
    <row r="4406" spans="1:9">
      <c r="A4406" s="21"/>
      <c r="B4406"/>
      <c r="F4406" s="87"/>
      <c r="H4406" s="87"/>
      <c r="I4406" s="89"/>
    </row>
    <row r="4407" spans="1:9">
      <c r="A4407" s="21"/>
      <c r="B4407"/>
      <c r="F4407" s="87"/>
      <c r="H4407" s="87"/>
      <c r="I4407" s="89"/>
    </row>
    <row r="4408" spans="1:9">
      <c r="A4408" s="21"/>
      <c r="B4408"/>
      <c r="F4408" s="87"/>
      <c r="H4408" s="87"/>
      <c r="I4408" s="89"/>
    </row>
    <row r="4409" spans="1:9">
      <c r="A4409" s="21"/>
      <c r="B4409"/>
      <c r="F4409" s="87"/>
      <c r="H4409" s="87"/>
      <c r="I4409" s="89"/>
    </row>
    <row r="4410" spans="1:9">
      <c r="A4410" s="21"/>
      <c r="B4410"/>
      <c r="F4410" s="87"/>
      <c r="H4410" s="87"/>
      <c r="I4410" s="89"/>
    </row>
    <row r="4411" spans="1:9">
      <c r="A4411" s="21"/>
      <c r="B4411"/>
      <c r="F4411" s="87"/>
      <c r="H4411" s="87"/>
      <c r="I4411" s="89"/>
    </row>
    <row r="4412" spans="1:9">
      <c r="A4412" s="21"/>
      <c r="B4412"/>
      <c r="F4412" s="87"/>
      <c r="H4412" s="87"/>
      <c r="I4412" s="89"/>
    </row>
    <row r="4413" spans="1:9">
      <c r="A4413" s="21"/>
      <c r="B4413"/>
      <c r="F4413" s="87"/>
      <c r="H4413" s="87"/>
      <c r="I4413" s="89"/>
    </row>
    <row r="4414" spans="1:9">
      <c r="A4414" s="21"/>
      <c r="B4414"/>
      <c r="F4414" s="87"/>
      <c r="H4414" s="87"/>
      <c r="I4414" s="89"/>
    </row>
    <row r="4415" spans="1:9">
      <c r="A4415" s="21"/>
      <c r="B4415"/>
      <c r="F4415" s="87"/>
      <c r="H4415" s="87"/>
      <c r="I4415" s="89"/>
    </row>
    <row r="4416" spans="1:9">
      <c r="A4416" s="21"/>
      <c r="B4416"/>
      <c r="F4416" s="87"/>
      <c r="H4416" s="87"/>
      <c r="I4416" s="89"/>
    </row>
    <row r="4417" spans="1:9">
      <c r="A4417" s="21"/>
      <c r="B4417"/>
      <c r="F4417" s="87"/>
      <c r="H4417" s="87"/>
      <c r="I4417" s="89"/>
    </row>
    <row r="4418" spans="1:9">
      <c r="A4418" s="21"/>
      <c r="B4418"/>
      <c r="F4418" s="87"/>
      <c r="H4418" s="87"/>
      <c r="I4418" s="89"/>
    </row>
    <row r="4419" spans="1:9">
      <c r="A4419" s="21"/>
      <c r="B4419"/>
      <c r="F4419" s="87"/>
      <c r="H4419" s="87"/>
      <c r="I4419" s="89"/>
    </row>
    <row r="4420" spans="1:9">
      <c r="A4420" s="21"/>
      <c r="B4420"/>
      <c r="F4420" s="87"/>
      <c r="H4420" s="87"/>
      <c r="I4420" s="89"/>
    </row>
    <row r="4421" spans="1:9">
      <c r="A4421" s="21"/>
      <c r="B4421"/>
      <c r="F4421" s="87"/>
      <c r="H4421" s="87"/>
      <c r="I4421" s="89"/>
    </row>
    <row r="4422" spans="1:9">
      <c r="A4422" s="21"/>
      <c r="B4422"/>
      <c r="F4422" s="87"/>
      <c r="H4422" s="87"/>
      <c r="I4422" s="89"/>
    </row>
    <row r="4423" spans="1:9">
      <c r="A4423" s="21"/>
      <c r="B4423"/>
      <c r="F4423" s="87"/>
      <c r="H4423" s="87"/>
      <c r="I4423" s="89"/>
    </row>
    <row r="4424" spans="1:9">
      <c r="A4424" s="21"/>
      <c r="B4424"/>
      <c r="F4424" s="87"/>
      <c r="H4424" s="87"/>
      <c r="I4424" s="89"/>
    </row>
    <row r="4425" spans="1:9">
      <c r="A4425" s="21"/>
      <c r="B4425"/>
      <c r="F4425" s="87"/>
      <c r="H4425" s="87"/>
      <c r="I4425" s="89"/>
    </row>
    <row r="4426" spans="1:9">
      <c r="A4426" s="21"/>
      <c r="B4426"/>
      <c r="F4426" s="87"/>
      <c r="H4426" s="87"/>
      <c r="I4426" s="89"/>
    </row>
    <row r="4427" spans="1:9">
      <c r="A4427" s="21"/>
      <c r="B4427"/>
      <c r="F4427" s="87"/>
      <c r="H4427" s="87"/>
      <c r="I4427" s="89"/>
    </row>
    <row r="4428" spans="1:9">
      <c r="A4428" s="21"/>
      <c r="B4428"/>
      <c r="F4428" s="87"/>
      <c r="H4428" s="87"/>
      <c r="I4428" s="89"/>
    </row>
    <row r="4429" spans="1:9">
      <c r="A4429" s="21"/>
      <c r="B4429"/>
      <c r="F4429" s="87"/>
      <c r="H4429" s="87"/>
      <c r="I4429" s="89"/>
    </row>
    <row r="4430" spans="1:9">
      <c r="A4430" s="21"/>
      <c r="B4430"/>
      <c r="F4430" s="87"/>
      <c r="H4430" s="87"/>
      <c r="I4430" s="89"/>
    </row>
    <row r="4431" spans="1:9">
      <c r="A4431" s="21"/>
      <c r="B4431"/>
      <c r="F4431" s="87"/>
      <c r="H4431" s="87"/>
      <c r="I4431" s="89"/>
    </row>
    <row r="4432" spans="1:9">
      <c r="A4432" s="21"/>
      <c r="B4432"/>
      <c r="F4432" s="87"/>
      <c r="H4432" s="87"/>
      <c r="I4432" s="89"/>
    </row>
    <row r="4433" spans="1:9">
      <c r="A4433" s="21"/>
      <c r="B4433"/>
      <c r="F4433" s="87"/>
      <c r="H4433" s="87"/>
      <c r="I4433" s="89"/>
    </row>
    <row r="4434" spans="1:9">
      <c r="A4434" s="21"/>
      <c r="B4434"/>
      <c r="F4434" s="87"/>
      <c r="H4434" s="87"/>
      <c r="I4434" s="89"/>
    </row>
    <row r="4435" spans="1:9">
      <c r="A4435" s="21"/>
      <c r="B4435"/>
      <c r="F4435" s="87"/>
      <c r="H4435" s="87"/>
      <c r="I4435" s="89"/>
    </row>
    <row r="4436" spans="1:9">
      <c r="A4436" s="21"/>
      <c r="B4436"/>
      <c r="F4436" s="87"/>
      <c r="H4436" s="87"/>
      <c r="I4436" s="89"/>
    </row>
    <row r="4437" spans="1:9">
      <c r="A4437" s="21"/>
      <c r="B4437"/>
      <c r="F4437" s="87"/>
      <c r="H4437" s="87"/>
      <c r="I4437" s="89"/>
    </row>
    <row r="4438" spans="1:9">
      <c r="A4438" s="21"/>
      <c r="B4438"/>
      <c r="F4438" s="87"/>
      <c r="H4438" s="87"/>
      <c r="I4438" s="89"/>
    </row>
    <row r="4439" spans="1:9">
      <c r="A4439" s="21"/>
      <c r="B4439"/>
      <c r="F4439" s="87"/>
      <c r="H4439" s="87"/>
      <c r="I4439" s="89"/>
    </row>
    <row r="4440" spans="1:9">
      <c r="A4440" s="21"/>
      <c r="B4440"/>
      <c r="F4440" s="87"/>
      <c r="H4440" s="87"/>
      <c r="I4440" s="89"/>
    </row>
    <row r="4441" spans="1:9">
      <c r="A4441" s="21"/>
      <c r="B4441"/>
      <c r="F4441" s="87"/>
      <c r="H4441" s="87"/>
      <c r="I4441" s="89"/>
    </row>
    <row r="4442" spans="1:9">
      <c r="A4442" s="21"/>
      <c r="B4442"/>
      <c r="F4442" s="87"/>
      <c r="H4442" s="87"/>
      <c r="I4442" s="89"/>
    </row>
    <row r="4443" spans="1:9">
      <c r="A4443" s="21"/>
      <c r="B4443"/>
      <c r="F4443" s="87"/>
      <c r="H4443" s="87"/>
      <c r="I4443" s="89"/>
    </row>
    <row r="4444" spans="1:9">
      <c r="A4444" s="21"/>
      <c r="B4444"/>
      <c r="F4444" s="87"/>
      <c r="H4444" s="87"/>
      <c r="I4444" s="89"/>
    </row>
    <row r="4445" spans="1:9">
      <c r="A4445" s="21"/>
      <c r="B4445"/>
      <c r="F4445" s="87"/>
      <c r="H4445" s="87"/>
      <c r="I4445" s="89"/>
    </row>
    <row r="4446" spans="1:9">
      <c r="A4446" s="21"/>
      <c r="B4446"/>
      <c r="F4446" s="87"/>
      <c r="H4446" s="87"/>
      <c r="I4446" s="89"/>
    </row>
    <row r="4447" spans="1:9">
      <c r="A4447" s="21"/>
      <c r="B4447"/>
      <c r="F4447" s="87"/>
      <c r="H4447" s="87"/>
      <c r="I4447" s="89"/>
    </row>
    <row r="4448" spans="1:9">
      <c r="A4448" s="21"/>
      <c r="B4448"/>
      <c r="F4448" s="87"/>
      <c r="H4448" s="87"/>
      <c r="I4448" s="89"/>
    </row>
    <row r="4449" spans="1:9">
      <c r="A4449" s="21"/>
      <c r="B4449"/>
      <c r="F4449" s="87"/>
      <c r="H4449" s="87"/>
      <c r="I4449" s="89"/>
    </row>
    <row r="4450" spans="1:9">
      <c r="A4450" s="21"/>
      <c r="B4450"/>
      <c r="F4450" s="87"/>
      <c r="H4450" s="87"/>
      <c r="I4450" s="89"/>
    </row>
    <row r="4451" spans="1:9">
      <c r="A4451" s="21"/>
      <c r="B4451"/>
      <c r="F4451" s="87"/>
      <c r="H4451" s="87"/>
      <c r="I4451" s="89"/>
    </row>
    <row r="4452" spans="1:9">
      <c r="A4452" s="21"/>
      <c r="B4452"/>
      <c r="F4452" s="87"/>
      <c r="H4452" s="87"/>
      <c r="I4452" s="89"/>
    </row>
    <row r="4453" spans="1:9">
      <c r="A4453" s="21"/>
      <c r="B4453"/>
      <c r="F4453" s="87"/>
      <c r="H4453" s="87"/>
      <c r="I4453" s="89"/>
    </row>
    <row r="4454" spans="1:9">
      <c r="A4454" s="21"/>
      <c r="B4454"/>
      <c r="F4454" s="87"/>
      <c r="H4454" s="87"/>
      <c r="I4454" s="89"/>
    </row>
    <row r="4455" spans="1:9">
      <c r="A4455" s="21"/>
      <c r="B4455"/>
      <c r="F4455" s="87"/>
      <c r="H4455" s="87"/>
      <c r="I4455" s="89"/>
    </row>
    <row r="4456" spans="1:9">
      <c r="A4456" s="21"/>
      <c r="B4456"/>
      <c r="F4456" s="87"/>
      <c r="H4456" s="87"/>
      <c r="I4456" s="89"/>
    </row>
    <row r="4457" spans="1:9">
      <c r="A4457" s="21"/>
      <c r="B4457"/>
      <c r="F4457" s="87"/>
      <c r="H4457" s="87"/>
      <c r="I4457" s="89"/>
    </row>
    <row r="4458" spans="1:9">
      <c r="A4458" s="21"/>
      <c r="B4458"/>
      <c r="F4458" s="87"/>
      <c r="H4458" s="87"/>
      <c r="I4458" s="89"/>
    </row>
    <row r="4459" spans="1:9">
      <c r="A4459" s="21"/>
      <c r="B4459"/>
      <c r="F4459" s="87"/>
      <c r="H4459" s="87"/>
      <c r="I4459" s="89"/>
    </row>
    <row r="4460" spans="1:9">
      <c r="A4460" s="21"/>
      <c r="B4460"/>
      <c r="F4460" s="87"/>
      <c r="H4460" s="87"/>
      <c r="I4460" s="89"/>
    </row>
    <row r="4461" spans="1:9">
      <c r="A4461" s="21"/>
      <c r="B4461"/>
      <c r="F4461" s="87"/>
      <c r="H4461" s="87"/>
      <c r="I4461" s="89"/>
    </row>
    <row r="4462" spans="1:9">
      <c r="A4462" s="21"/>
      <c r="B4462"/>
      <c r="F4462" s="87"/>
      <c r="H4462" s="87"/>
      <c r="I4462" s="89"/>
    </row>
    <row r="4463" spans="1:9">
      <c r="A4463" s="21"/>
      <c r="B4463"/>
      <c r="F4463" s="87"/>
      <c r="H4463" s="87"/>
      <c r="I4463" s="89"/>
    </row>
    <row r="4464" spans="1:9">
      <c r="A4464" s="21"/>
      <c r="B4464"/>
      <c r="F4464" s="87"/>
      <c r="H4464" s="87"/>
      <c r="I4464" s="89"/>
    </row>
    <row r="4465" spans="1:9">
      <c r="A4465" s="21"/>
      <c r="B4465"/>
      <c r="F4465" s="87"/>
      <c r="H4465" s="87"/>
      <c r="I4465" s="89"/>
    </row>
    <row r="4466" spans="1:9">
      <c r="A4466" s="21"/>
      <c r="B4466"/>
      <c r="F4466" s="87"/>
      <c r="H4466" s="87"/>
      <c r="I4466" s="89"/>
    </row>
    <row r="4467" spans="1:9">
      <c r="A4467" s="21"/>
      <c r="B4467"/>
      <c r="F4467" s="87"/>
      <c r="H4467" s="87"/>
      <c r="I4467" s="89"/>
    </row>
    <row r="4468" spans="1:9">
      <c r="A4468" s="21"/>
      <c r="B4468"/>
      <c r="F4468" s="87"/>
      <c r="H4468" s="87"/>
      <c r="I4468" s="89"/>
    </row>
    <row r="4469" spans="1:9">
      <c r="A4469" s="21"/>
      <c r="B4469"/>
      <c r="F4469" s="87"/>
      <c r="H4469" s="87"/>
      <c r="I4469" s="89"/>
    </row>
    <row r="4470" spans="1:9">
      <c r="A4470" s="21"/>
      <c r="B4470"/>
      <c r="F4470" s="87"/>
      <c r="H4470" s="87"/>
      <c r="I4470" s="89"/>
    </row>
    <row r="4471" spans="1:9">
      <c r="A4471" s="21"/>
      <c r="B4471"/>
      <c r="F4471" s="87"/>
      <c r="H4471" s="87"/>
      <c r="I4471" s="89"/>
    </row>
    <row r="4472" spans="1:9">
      <c r="A4472" s="21"/>
      <c r="B4472"/>
      <c r="F4472" s="87"/>
      <c r="H4472" s="87"/>
      <c r="I4472" s="89"/>
    </row>
    <row r="4473" spans="1:9">
      <c r="A4473" s="21"/>
      <c r="B4473"/>
      <c r="F4473" s="87"/>
      <c r="H4473" s="87"/>
      <c r="I4473" s="89"/>
    </row>
    <row r="4474" spans="1:9">
      <c r="A4474" s="21"/>
      <c r="B4474"/>
      <c r="F4474" s="87"/>
      <c r="H4474" s="87"/>
      <c r="I4474" s="89"/>
    </row>
    <row r="4475" spans="1:9">
      <c r="A4475" s="21"/>
      <c r="B4475"/>
      <c r="F4475" s="87"/>
      <c r="H4475" s="87"/>
      <c r="I4475" s="89"/>
    </row>
    <row r="4476" spans="1:9">
      <c r="A4476" s="21"/>
      <c r="B4476"/>
      <c r="F4476" s="87"/>
      <c r="H4476" s="87"/>
      <c r="I4476" s="89"/>
    </row>
    <row r="4477" spans="1:9">
      <c r="A4477" s="21"/>
      <c r="B4477"/>
      <c r="F4477" s="87"/>
      <c r="H4477" s="87"/>
      <c r="I4477" s="89"/>
    </row>
    <row r="4478" spans="1:9">
      <c r="A4478" s="21"/>
      <c r="B4478"/>
      <c r="F4478" s="87"/>
      <c r="H4478" s="87"/>
      <c r="I4478" s="89"/>
    </row>
    <row r="4479" spans="1:9">
      <c r="A4479" s="21"/>
      <c r="B4479"/>
      <c r="F4479" s="87"/>
      <c r="H4479" s="87"/>
      <c r="I4479" s="89"/>
    </row>
    <row r="4480" spans="1:9">
      <c r="A4480" s="21"/>
      <c r="B4480"/>
      <c r="F4480" s="87"/>
      <c r="H4480" s="87"/>
      <c r="I4480" s="89"/>
    </row>
    <row r="4481" spans="1:9">
      <c r="A4481" s="21"/>
      <c r="B4481"/>
      <c r="F4481" s="87"/>
      <c r="H4481" s="87"/>
      <c r="I4481" s="89"/>
    </row>
    <row r="4482" spans="1:9">
      <c r="A4482" s="21"/>
      <c r="B4482"/>
      <c r="F4482" s="87"/>
      <c r="H4482" s="87"/>
      <c r="I4482" s="89"/>
    </row>
    <row r="4483" spans="1:9">
      <c r="A4483" s="21"/>
      <c r="B4483"/>
      <c r="F4483" s="87"/>
      <c r="H4483" s="87"/>
      <c r="I4483" s="89"/>
    </row>
    <row r="4484" spans="1:9">
      <c r="A4484" s="21"/>
      <c r="B4484"/>
      <c r="F4484" s="87"/>
      <c r="H4484" s="87"/>
      <c r="I4484" s="89"/>
    </row>
    <row r="4485" spans="1:9">
      <c r="A4485" s="21"/>
      <c r="B4485"/>
      <c r="F4485" s="87"/>
      <c r="H4485" s="87"/>
      <c r="I4485" s="89"/>
    </row>
    <row r="4486" spans="1:9">
      <c r="A4486" s="21"/>
      <c r="B4486"/>
      <c r="F4486" s="87"/>
      <c r="H4486" s="87"/>
      <c r="I4486" s="89"/>
    </row>
    <row r="4487" spans="1:9">
      <c r="A4487" s="21"/>
      <c r="B4487"/>
      <c r="F4487" s="87"/>
      <c r="H4487" s="87"/>
      <c r="I4487" s="89"/>
    </row>
    <row r="4488" spans="1:9">
      <c r="A4488" s="21"/>
      <c r="B4488"/>
      <c r="F4488" s="87"/>
      <c r="H4488" s="87"/>
      <c r="I4488" s="89"/>
    </row>
    <row r="4489" spans="1:9">
      <c r="A4489" s="21"/>
      <c r="B4489"/>
      <c r="F4489" s="87"/>
      <c r="H4489" s="87"/>
      <c r="I4489" s="89"/>
    </row>
    <row r="4490" spans="1:9">
      <c r="A4490" s="21"/>
      <c r="B4490"/>
      <c r="F4490" s="87"/>
      <c r="H4490" s="87"/>
      <c r="I4490" s="89"/>
    </row>
    <row r="4491" spans="1:9">
      <c r="A4491" s="21"/>
      <c r="B4491"/>
      <c r="F4491" s="87"/>
      <c r="H4491" s="87"/>
      <c r="I4491" s="89"/>
    </row>
    <row r="4492" spans="1:9">
      <c r="A4492" s="21"/>
      <c r="B4492"/>
      <c r="F4492" s="87"/>
      <c r="H4492" s="87"/>
      <c r="I4492" s="89"/>
    </row>
    <row r="4493" spans="1:9">
      <c r="A4493" s="21"/>
      <c r="B4493"/>
      <c r="F4493" s="87"/>
      <c r="H4493" s="87"/>
      <c r="I4493" s="89"/>
    </row>
    <row r="4494" spans="1:9">
      <c r="A4494" s="21"/>
      <c r="B4494"/>
      <c r="F4494" s="87"/>
      <c r="H4494" s="87"/>
      <c r="I4494" s="89"/>
    </row>
    <row r="4495" spans="1:9">
      <c r="A4495" s="21"/>
      <c r="B4495"/>
      <c r="F4495" s="87"/>
      <c r="H4495" s="87"/>
      <c r="I4495" s="89"/>
    </row>
    <row r="4496" spans="1:9">
      <c r="A4496" s="21"/>
      <c r="B4496"/>
      <c r="F4496" s="87"/>
      <c r="H4496" s="87"/>
      <c r="I4496" s="89"/>
    </row>
    <row r="4497" spans="1:9">
      <c r="A4497" s="21"/>
      <c r="B4497"/>
      <c r="F4497" s="87"/>
      <c r="H4497" s="87"/>
      <c r="I4497" s="89"/>
    </row>
    <row r="4498" spans="1:9">
      <c r="A4498" s="21"/>
      <c r="B4498"/>
      <c r="F4498" s="87"/>
      <c r="H4498" s="87"/>
      <c r="I4498" s="89"/>
    </row>
    <row r="4499" spans="1:9">
      <c r="A4499" s="21"/>
      <c r="B4499"/>
      <c r="F4499" s="87"/>
      <c r="H4499" s="87"/>
      <c r="I4499" s="89"/>
    </row>
    <row r="4500" spans="1:9">
      <c r="A4500" s="21"/>
      <c r="B4500"/>
      <c r="F4500" s="87"/>
      <c r="H4500" s="87"/>
      <c r="I4500" s="89"/>
    </row>
    <row r="4501" spans="1:9">
      <c r="A4501" s="21"/>
      <c r="B4501"/>
      <c r="F4501" s="87"/>
      <c r="H4501" s="87"/>
      <c r="I4501" s="89"/>
    </row>
    <row r="4502" spans="1:9">
      <c r="A4502" s="21"/>
      <c r="B4502"/>
      <c r="F4502" s="87"/>
      <c r="H4502" s="87"/>
      <c r="I4502" s="89"/>
    </row>
    <row r="4503" spans="1:9">
      <c r="A4503" s="21"/>
      <c r="B4503"/>
      <c r="F4503" s="87"/>
      <c r="H4503" s="87"/>
      <c r="I4503" s="89"/>
    </row>
    <row r="4504" spans="1:9">
      <c r="A4504" s="21"/>
      <c r="B4504"/>
      <c r="F4504" s="87"/>
      <c r="H4504" s="87"/>
      <c r="I4504" s="89"/>
    </row>
    <row r="4505" spans="1:9">
      <c r="A4505" s="21"/>
      <c r="B4505"/>
      <c r="F4505" s="87"/>
      <c r="H4505" s="87"/>
      <c r="I4505" s="89"/>
    </row>
    <row r="4506" spans="1:9">
      <c r="A4506" s="21"/>
      <c r="B4506"/>
      <c r="F4506" s="87"/>
      <c r="H4506" s="87"/>
      <c r="I4506" s="89"/>
    </row>
    <row r="4507" spans="1:9">
      <c r="A4507" s="21"/>
      <c r="B4507"/>
      <c r="F4507" s="87"/>
      <c r="H4507" s="87"/>
      <c r="I4507" s="89"/>
    </row>
    <row r="4508" spans="1:9">
      <c r="A4508" s="21"/>
      <c r="B4508"/>
      <c r="F4508" s="87"/>
      <c r="H4508" s="87"/>
      <c r="I4508" s="89"/>
    </row>
    <row r="4509" spans="1:9">
      <c r="A4509" s="21"/>
      <c r="B4509"/>
      <c r="F4509" s="87"/>
      <c r="H4509" s="87"/>
      <c r="I4509" s="89"/>
    </row>
    <row r="4510" spans="1:9">
      <c r="A4510" s="21"/>
      <c r="B4510"/>
      <c r="F4510" s="87"/>
      <c r="H4510" s="87"/>
      <c r="I4510" s="89"/>
    </row>
    <row r="4511" spans="1:9">
      <c r="A4511" s="21"/>
      <c r="B4511"/>
      <c r="F4511" s="87"/>
      <c r="H4511" s="87"/>
      <c r="I4511" s="89"/>
    </row>
    <row r="4512" spans="1:9">
      <c r="A4512" s="21"/>
      <c r="B4512"/>
      <c r="F4512" s="87"/>
      <c r="H4512" s="87"/>
      <c r="I4512" s="89"/>
    </row>
    <row r="4513" spans="1:9">
      <c r="A4513" s="21"/>
      <c r="B4513"/>
      <c r="F4513" s="87"/>
      <c r="H4513" s="87"/>
      <c r="I4513" s="89"/>
    </row>
    <row r="4514" spans="1:9">
      <c r="A4514" s="21"/>
      <c r="B4514"/>
      <c r="F4514" s="87"/>
      <c r="H4514" s="87"/>
      <c r="I4514" s="89"/>
    </row>
    <row r="4515" spans="1:9">
      <c r="A4515" s="21"/>
      <c r="B4515"/>
      <c r="F4515" s="87"/>
      <c r="H4515" s="87"/>
      <c r="I4515" s="89"/>
    </row>
    <row r="4516" spans="1:9">
      <c r="A4516" s="21"/>
      <c r="B4516"/>
      <c r="F4516" s="87"/>
      <c r="H4516" s="87"/>
      <c r="I4516" s="89"/>
    </row>
    <row r="4517" spans="1:9">
      <c r="A4517" s="21"/>
      <c r="B4517"/>
      <c r="F4517" s="87"/>
      <c r="H4517" s="87"/>
      <c r="I4517" s="89"/>
    </row>
    <row r="4518" spans="1:9">
      <c r="A4518" s="21"/>
      <c r="B4518"/>
      <c r="F4518" s="87"/>
      <c r="H4518" s="87"/>
      <c r="I4518" s="89"/>
    </row>
    <row r="4519" spans="1:9">
      <c r="A4519" s="21"/>
      <c r="B4519"/>
      <c r="F4519" s="87"/>
      <c r="H4519" s="87"/>
      <c r="I4519" s="89"/>
    </row>
    <row r="4520" spans="1:9">
      <c r="A4520" s="21"/>
      <c r="B4520"/>
      <c r="F4520" s="87"/>
      <c r="H4520" s="87"/>
      <c r="I4520" s="89"/>
    </row>
    <row r="4521" spans="1:9">
      <c r="A4521" s="21"/>
      <c r="B4521"/>
      <c r="F4521" s="87"/>
      <c r="H4521" s="87"/>
      <c r="I4521" s="89"/>
    </row>
    <row r="4522" spans="1:9">
      <c r="A4522" s="21"/>
      <c r="B4522"/>
      <c r="F4522" s="87"/>
      <c r="H4522" s="87"/>
      <c r="I4522" s="89"/>
    </row>
    <row r="4523" spans="1:9">
      <c r="A4523" s="21"/>
      <c r="B4523"/>
      <c r="F4523" s="87"/>
      <c r="H4523" s="87"/>
      <c r="I4523" s="89"/>
    </row>
    <row r="4524" spans="1:9">
      <c r="A4524" s="21"/>
      <c r="B4524"/>
      <c r="F4524" s="87"/>
      <c r="H4524" s="87"/>
      <c r="I4524" s="89"/>
    </row>
    <row r="4525" spans="1:9">
      <c r="A4525" s="21"/>
      <c r="B4525"/>
      <c r="F4525" s="87"/>
      <c r="H4525" s="87"/>
      <c r="I4525" s="89"/>
    </row>
    <row r="4526" spans="1:9">
      <c r="A4526" s="21"/>
      <c r="B4526"/>
      <c r="F4526" s="87"/>
      <c r="H4526" s="87"/>
      <c r="I4526" s="89"/>
    </row>
    <row r="4527" spans="1:9">
      <c r="A4527" s="21"/>
      <c r="B4527"/>
      <c r="F4527" s="87"/>
      <c r="H4527" s="87"/>
      <c r="I4527" s="89"/>
    </row>
    <row r="4528" spans="1:9">
      <c r="A4528" s="21"/>
      <c r="B4528"/>
      <c r="F4528" s="87"/>
      <c r="H4528" s="87"/>
      <c r="I4528" s="89"/>
    </row>
    <row r="4529" spans="1:9">
      <c r="A4529" s="21"/>
      <c r="B4529"/>
      <c r="F4529" s="87"/>
      <c r="H4529" s="87"/>
      <c r="I4529" s="89"/>
    </row>
    <row r="4530" spans="1:9">
      <c r="A4530" s="21"/>
      <c r="B4530"/>
      <c r="F4530" s="87"/>
      <c r="H4530" s="87"/>
      <c r="I4530" s="89"/>
    </row>
    <row r="4531" spans="1:9">
      <c r="A4531" s="21"/>
      <c r="B4531"/>
      <c r="F4531" s="87"/>
      <c r="H4531" s="87"/>
      <c r="I4531" s="89"/>
    </row>
    <row r="4532" spans="1:9">
      <c r="A4532" s="21"/>
      <c r="B4532"/>
      <c r="F4532" s="87"/>
      <c r="H4532" s="87"/>
      <c r="I4532" s="89"/>
    </row>
    <row r="4533" spans="1:9">
      <c r="A4533" s="21"/>
      <c r="B4533"/>
      <c r="F4533" s="87"/>
      <c r="H4533" s="87"/>
      <c r="I4533" s="89"/>
    </row>
    <row r="4534" spans="1:9">
      <c r="A4534" s="21"/>
      <c r="B4534"/>
      <c r="F4534" s="87"/>
      <c r="H4534" s="87"/>
      <c r="I4534" s="89"/>
    </row>
    <row r="4535" spans="1:9">
      <c r="A4535" s="21"/>
      <c r="B4535"/>
      <c r="F4535" s="87"/>
      <c r="H4535" s="87"/>
      <c r="I4535" s="89"/>
    </row>
    <row r="4536" spans="1:9">
      <c r="A4536" s="21"/>
      <c r="B4536"/>
      <c r="F4536" s="87"/>
      <c r="H4536" s="87"/>
      <c r="I4536" s="89"/>
    </row>
    <row r="4537" spans="1:9">
      <c r="A4537" s="21"/>
      <c r="B4537"/>
      <c r="F4537" s="87"/>
      <c r="H4537" s="87"/>
      <c r="I4537" s="89"/>
    </row>
    <row r="4538" spans="1:9">
      <c r="A4538" s="21"/>
      <c r="B4538"/>
      <c r="F4538" s="87"/>
      <c r="H4538" s="87"/>
      <c r="I4538" s="89"/>
    </row>
    <row r="4539" spans="1:9">
      <c r="A4539" s="21"/>
      <c r="B4539"/>
      <c r="F4539" s="87"/>
      <c r="H4539" s="87"/>
      <c r="I4539" s="89"/>
    </row>
    <row r="4540" spans="1:9">
      <c r="A4540" s="21"/>
      <c r="B4540"/>
      <c r="F4540" s="87"/>
      <c r="H4540" s="87"/>
      <c r="I4540" s="89"/>
    </row>
    <row r="4541" spans="1:9">
      <c r="A4541" s="21"/>
      <c r="B4541"/>
      <c r="F4541" s="87"/>
      <c r="H4541" s="87"/>
      <c r="I4541" s="89"/>
    </row>
    <row r="4542" spans="1:9">
      <c r="A4542" s="21"/>
      <c r="B4542"/>
      <c r="F4542" s="87"/>
      <c r="H4542" s="87"/>
      <c r="I4542" s="89"/>
    </row>
    <row r="4543" spans="1:9">
      <c r="A4543" s="21"/>
      <c r="B4543"/>
      <c r="F4543" s="87"/>
      <c r="H4543" s="87"/>
      <c r="I4543" s="89"/>
    </row>
    <row r="4544" spans="1:9">
      <c r="A4544" s="21"/>
      <c r="B4544"/>
      <c r="F4544" s="87"/>
      <c r="H4544" s="87"/>
      <c r="I4544" s="89"/>
    </row>
    <row r="4545" spans="1:9">
      <c r="A4545" s="21"/>
      <c r="B4545"/>
      <c r="F4545" s="87"/>
      <c r="H4545" s="87"/>
      <c r="I4545" s="89"/>
    </row>
    <row r="4546" spans="1:9">
      <c r="A4546" s="21"/>
      <c r="B4546"/>
      <c r="F4546" s="87"/>
      <c r="H4546" s="87"/>
      <c r="I4546" s="89"/>
    </row>
    <row r="4547" spans="1:9">
      <c r="A4547" s="21"/>
      <c r="B4547"/>
      <c r="F4547" s="87"/>
      <c r="H4547" s="87"/>
      <c r="I4547" s="89"/>
    </row>
    <row r="4548" spans="1:9">
      <c r="A4548" s="21"/>
      <c r="B4548"/>
      <c r="F4548" s="87"/>
      <c r="H4548" s="87"/>
      <c r="I4548" s="89"/>
    </row>
    <row r="4549" spans="1:9">
      <c r="A4549" s="21"/>
      <c r="B4549"/>
      <c r="F4549" s="87"/>
      <c r="H4549" s="87"/>
      <c r="I4549" s="89"/>
    </row>
    <row r="4550" spans="1:9">
      <c r="A4550" s="21"/>
      <c r="B4550"/>
      <c r="F4550" s="87"/>
      <c r="H4550" s="87"/>
      <c r="I4550" s="89"/>
    </row>
    <row r="4551" spans="1:9">
      <c r="A4551" s="21"/>
      <c r="B4551"/>
      <c r="F4551" s="87"/>
      <c r="H4551" s="87"/>
      <c r="I4551" s="89"/>
    </row>
    <row r="4552" spans="1:9">
      <c r="A4552" s="21"/>
      <c r="B4552"/>
      <c r="F4552" s="87"/>
      <c r="H4552" s="87"/>
      <c r="I4552" s="89"/>
    </row>
    <row r="4553" spans="1:9">
      <c r="A4553" s="21"/>
      <c r="B4553"/>
      <c r="F4553" s="87"/>
      <c r="H4553" s="87"/>
      <c r="I4553" s="89"/>
    </row>
    <row r="4554" spans="1:9">
      <c r="A4554" s="21"/>
      <c r="B4554"/>
      <c r="F4554" s="87"/>
      <c r="H4554" s="87"/>
      <c r="I4554" s="89"/>
    </row>
    <row r="4555" spans="1:9">
      <c r="A4555" s="21"/>
      <c r="B4555"/>
      <c r="F4555" s="87"/>
      <c r="H4555" s="87"/>
      <c r="I4555" s="89"/>
    </row>
    <row r="4556" spans="1:9">
      <c r="A4556" s="21"/>
      <c r="B4556"/>
      <c r="F4556" s="87"/>
      <c r="H4556" s="87"/>
      <c r="I4556" s="89"/>
    </row>
    <row r="4557" spans="1:9">
      <c r="A4557" s="21"/>
      <c r="B4557"/>
      <c r="F4557" s="87"/>
      <c r="H4557" s="87"/>
      <c r="I4557" s="89"/>
    </row>
    <row r="4558" spans="1:9">
      <c r="A4558" s="21"/>
      <c r="B4558"/>
      <c r="F4558" s="87"/>
      <c r="H4558" s="87"/>
      <c r="I4558" s="89"/>
    </row>
    <row r="4559" spans="1:9">
      <c r="A4559" s="21"/>
      <c r="B4559"/>
      <c r="F4559" s="87"/>
      <c r="H4559" s="87"/>
      <c r="I4559" s="89"/>
    </row>
    <row r="4560" spans="1:9">
      <c r="A4560" s="21"/>
      <c r="B4560"/>
      <c r="F4560" s="87"/>
      <c r="H4560" s="87"/>
      <c r="I4560" s="89"/>
    </row>
    <row r="4561" spans="1:9">
      <c r="A4561" s="21"/>
      <c r="B4561"/>
      <c r="F4561" s="87"/>
      <c r="H4561" s="87"/>
      <c r="I4561" s="89"/>
    </row>
    <row r="4562" spans="1:9">
      <c r="A4562" s="21"/>
      <c r="B4562"/>
      <c r="F4562" s="87"/>
      <c r="H4562" s="87"/>
      <c r="I4562" s="89"/>
    </row>
    <row r="4563" spans="1:9">
      <c r="A4563" s="21"/>
      <c r="B4563"/>
      <c r="F4563" s="87"/>
      <c r="H4563" s="87"/>
      <c r="I4563" s="89"/>
    </row>
    <row r="4564" spans="1:9">
      <c r="A4564" s="21"/>
      <c r="B4564"/>
      <c r="F4564" s="87"/>
      <c r="H4564" s="87"/>
      <c r="I4564" s="89"/>
    </row>
    <row r="4565" spans="1:9">
      <c r="A4565" s="21"/>
      <c r="B4565"/>
      <c r="F4565" s="87"/>
      <c r="H4565" s="87"/>
      <c r="I4565" s="89"/>
    </row>
    <row r="4566" spans="1:9">
      <c r="A4566" s="21"/>
      <c r="B4566"/>
      <c r="F4566" s="87"/>
      <c r="H4566" s="87"/>
      <c r="I4566" s="89"/>
    </row>
    <row r="4567" spans="1:9">
      <c r="A4567" s="21"/>
      <c r="B4567"/>
      <c r="F4567" s="87"/>
      <c r="H4567" s="87"/>
      <c r="I4567" s="89"/>
    </row>
    <row r="4568" spans="1:9">
      <c r="A4568" s="21"/>
      <c r="B4568"/>
      <c r="F4568" s="87"/>
      <c r="H4568" s="87"/>
      <c r="I4568" s="89"/>
    </row>
    <row r="4569" spans="1:9">
      <c r="A4569" s="21"/>
      <c r="B4569"/>
      <c r="F4569" s="87"/>
      <c r="H4569" s="87"/>
      <c r="I4569" s="89"/>
    </row>
    <row r="4570" spans="1:9">
      <c r="A4570" s="21"/>
      <c r="B4570"/>
      <c r="F4570" s="87"/>
      <c r="H4570" s="87"/>
      <c r="I4570" s="89"/>
    </row>
    <row r="4571" spans="1:9">
      <c r="A4571" s="21"/>
      <c r="B4571"/>
      <c r="F4571" s="87"/>
      <c r="H4571" s="87"/>
      <c r="I4571" s="89"/>
    </row>
    <row r="4572" spans="1:9">
      <c r="A4572" s="21"/>
      <c r="B4572"/>
      <c r="F4572" s="87"/>
      <c r="H4572" s="87"/>
      <c r="I4572" s="89"/>
    </row>
    <row r="4573" spans="1:9">
      <c r="A4573" s="21"/>
      <c r="B4573"/>
      <c r="F4573" s="87"/>
      <c r="H4573" s="87"/>
      <c r="I4573" s="89"/>
    </row>
    <row r="4574" spans="1:9">
      <c r="A4574" s="21"/>
      <c r="B4574"/>
      <c r="F4574" s="87"/>
      <c r="H4574" s="87"/>
      <c r="I4574" s="89"/>
    </row>
    <row r="4575" spans="1:9">
      <c r="A4575" s="21"/>
      <c r="B4575"/>
      <c r="F4575" s="87"/>
      <c r="H4575" s="87"/>
      <c r="I4575" s="89"/>
    </row>
    <row r="4576" spans="1:9">
      <c r="A4576" s="21"/>
      <c r="B4576"/>
      <c r="F4576" s="87"/>
      <c r="H4576" s="87"/>
      <c r="I4576" s="89"/>
    </row>
    <row r="4577" spans="1:9">
      <c r="A4577" s="21"/>
      <c r="B4577"/>
      <c r="F4577" s="87"/>
      <c r="H4577" s="87"/>
      <c r="I4577" s="89"/>
    </row>
    <row r="4578" spans="1:9">
      <c r="A4578" s="21"/>
      <c r="B4578"/>
      <c r="F4578" s="87"/>
      <c r="H4578" s="87"/>
      <c r="I4578" s="89"/>
    </row>
    <row r="4579" spans="1:9">
      <c r="A4579" s="21"/>
      <c r="B4579"/>
      <c r="F4579" s="87"/>
      <c r="H4579" s="87"/>
      <c r="I4579" s="89"/>
    </row>
    <row r="4580" spans="1:9">
      <c r="A4580" s="21"/>
      <c r="B4580"/>
      <c r="F4580" s="87"/>
      <c r="H4580" s="87"/>
      <c r="I4580" s="89"/>
    </row>
    <row r="4581" spans="1:9">
      <c r="A4581" s="21"/>
      <c r="B4581"/>
      <c r="F4581" s="87"/>
      <c r="H4581" s="87"/>
      <c r="I4581" s="89"/>
    </row>
    <row r="4582" spans="1:9">
      <c r="A4582" s="21"/>
      <c r="B4582"/>
      <c r="F4582" s="87"/>
      <c r="H4582" s="87"/>
      <c r="I4582" s="89"/>
    </row>
    <row r="4583" spans="1:9">
      <c r="A4583" s="21"/>
      <c r="B4583"/>
      <c r="F4583" s="87"/>
      <c r="H4583" s="87"/>
      <c r="I4583" s="89"/>
    </row>
    <row r="4584" spans="1:9">
      <c r="A4584" s="21"/>
      <c r="B4584"/>
      <c r="F4584" s="87"/>
      <c r="H4584" s="87"/>
      <c r="I4584" s="89"/>
    </row>
    <row r="4585" spans="1:9">
      <c r="A4585" s="21"/>
      <c r="B4585"/>
      <c r="F4585" s="87"/>
      <c r="H4585" s="87"/>
      <c r="I4585" s="89"/>
    </row>
    <row r="4586" spans="1:9">
      <c r="A4586" s="21"/>
      <c r="B4586"/>
      <c r="F4586" s="87"/>
      <c r="H4586" s="87"/>
      <c r="I4586" s="89"/>
    </row>
    <row r="4587" spans="1:9">
      <c r="A4587" s="21"/>
      <c r="B4587"/>
      <c r="F4587" s="87"/>
      <c r="H4587" s="87"/>
      <c r="I4587" s="89"/>
    </row>
    <row r="4588" spans="1:9">
      <c r="A4588" s="21"/>
      <c r="B4588"/>
      <c r="F4588" s="87"/>
      <c r="H4588" s="87"/>
      <c r="I4588" s="89"/>
    </row>
    <row r="4589" spans="1:9">
      <c r="A4589" s="21"/>
      <c r="B4589"/>
      <c r="F4589" s="87"/>
      <c r="H4589" s="87"/>
      <c r="I4589" s="89"/>
    </row>
    <row r="4590" spans="1:9">
      <c r="A4590" s="21"/>
      <c r="B4590"/>
      <c r="F4590" s="87"/>
      <c r="H4590" s="87"/>
      <c r="I4590" s="89"/>
    </row>
    <row r="4591" spans="1:9">
      <c r="A4591" s="21"/>
      <c r="B4591"/>
      <c r="F4591" s="87"/>
      <c r="H4591" s="87"/>
      <c r="I4591" s="89"/>
    </row>
    <row r="4592" spans="1:9">
      <c r="A4592" s="21"/>
      <c r="B4592"/>
      <c r="F4592" s="87"/>
      <c r="H4592" s="87"/>
      <c r="I4592" s="89"/>
    </row>
    <row r="4593" spans="1:9">
      <c r="A4593" s="21"/>
      <c r="B4593"/>
      <c r="F4593" s="87"/>
      <c r="H4593" s="87"/>
      <c r="I4593" s="89"/>
    </row>
    <row r="4594" spans="1:9">
      <c r="A4594" s="21"/>
      <c r="B4594"/>
      <c r="F4594" s="87"/>
      <c r="H4594" s="87"/>
      <c r="I4594" s="89"/>
    </row>
    <row r="4595" spans="1:9">
      <c r="A4595" s="21"/>
      <c r="B4595"/>
      <c r="F4595" s="87"/>
      <c r="H4595" s="87"/>
      <c r="I4595" s="89"/>
    </row>
    <row r="4596" spans="1:9">
      <c r="A4596" s="21"/>
      <c r="B4596"/>
      <c r="F4596" s="87"/>
      <c r="H4596" s="87"/>
      <c r="I4596" s="89"/>
    </row>
    <row r="4597" spans="1:9">
      <c r="A4597" s="21"/>
      <c r="B4597"/>
      <c r="F4597" s="87"/>
      <c r="H4597" s="87"/>
      <c r="I4597" s="89"/>
    </row>
    <row r="4598" spans="1:9">
      <c r="A4598" s="21"/>
      <c r="B4598"/>
      <c r="F4598" s="87"/>
      <c r="H4598" s="87"/>
      <c r="I4598" s="89"/>
    </row>
    <row r="4599" spans="1:9">
      <c r="A4599" s="21"/>
      <c r="B4599"/>
      <c r="F4599" s="87"/>
      <c r="H4599" s="87"/>
      <c r="I4599" s="89"/>
    </row>
    <row r="4600" spans="1:9">
      <c r="A4600" s="21"/>
      <c r="B4600"/>
      <c r="F4600" s="87"/>
      <c r="H4600" s="87"/>
      <c r="I4600" s="89"/>
    </row>
    <row r="4601" spans="1:9">
      <c r="A4601" s="21"/>
      <c r="B4601"/>
      <c r="F4601" s="87"/>
      <c r="H4601" s="87"/>
      <c r="I4601" s="89"/>
    </row>
    <row r="4602" spans="1:9">
      <c r="A4602" s="21"/>
      <c r="B4602"/>
      <c r="F4602" s="87"/>
      <c r="H4602" s="87"/>
      <c r="I4602" s="89"/>
    </row>
    <row r="4603" spans="1:9">
      <c r="A4603" s="21"/>
      <c r="B4603"/>
      <c r="F4603" s="87"/>
      <c r="H4603" s="87"/>
      <c r="I4603" s="89"/>
    </row>
    <row r="4604" spans="1:9">
      <c r="A4604" s="21"/>
      <c r="B4604"/>
      <c r="F4604" s="87"/>
      <c r="H4604" s="87"/>
      <c r="I4604" s="89"/>
    </row>
    <row r="4605" spans="1:9">
      <c r="A4605" s="21"/>
      <c r="B4605"/>
      <c r="F4605" s="87"/>
      <c r="H4605" s="87"/>
      <c r="I4605" s="89"/>
    </row>
    <row r="4606" spans="1:9">
      <c r="A4606" s="21"/>
      <c r="B4606"/>
      <c r="F4606" s="87"/>
      <c r="H4606" s="87"/>
      <c r="I4606" s="89"/>
    </row>
    <row r="4607" spans="1:9">
      <c r="A4607" s="21"/>
      <c r="B4607"/>
      <c r="F4607" s="87"/>
      <c r="H4607" s="87"/>
      <c r="I4607" s="89"/>
    </row>
    <row r="4608" spans="1:9">
      <c r="A4608" s="21"/>
      <c r="B4608"/>
      <c r="F4608" s="87"/>
      <c r="H4608" s="87"/>
      <c r="I4608" s="89"/>
    </row>
    <row r="4609" spans="1:9">
      <c r="A4609" s="21"/>
      <c r="B4609"/>
      <c r="F4609" s="87"/>
      <c r="H4609" s="87"/>
      <c r="I4609" s="89"/>
    </row>
    <row r="4610" spans="1:9">
      <c r="A4610" s="21"/>
      <c r="B4610"/>
      <c r="F4610" s="87"/>
      <c r="H4610" s="87"/>
      <c r="I4610" s="89"/>
    </row>
    <row r="4611" spans="1:9">
      <c r="A4611" s="21"/>
      <c r="B4611"/>
      <c r="F4611" s="87"/>
      <c r="H4611" s="87"/>
      <c r="I4611" s="89"/>
    </row>
    <row r="4612" spans="1:9">
      <c r="A4612" s="21"/>
      <c r="B4612"/>
      <c r="F4612" s="87"/>
      <c r="H4612" s="87"/>
      <c r="I4612" s="89"/>
    </row>
    <row r="4613" spans="1:9">
      <c r="A4613" s="21"/>
      <c r="B4613"/>
      <c r="F4613" s="87"/>
      <c r="H4613" s="87"/>
      <c r="I4613" s="89"/>
    </row>
    <row r="4614" spans="1:9">
      <c r="A4614" s="21"/>
      <c r="B4614"/>
      <c r="F4614" s="87"/>
      <c r="H4614" s="87"/>
      <c r="I4614" s="89"/>
    </row>
    <row r="4615" spans="1:9">
      <c r="A4615" s="21"/>
      <c r="B4615"/>
      <c r="F4615" s="87"/>
      <c r="H4615" s="87"/>
      <c r="I4615" s="89"/>
    </row>
    <row r="4616" spans="1:9">
      <c r="A4616" s="21"/>
      <c r="B4616"/>
      <c r="F4616" s="87"/>
      <c r="H4616" s="87"/>
      <c r="I4616" s="89"/>
    </row>
    <row r="4617" spans="1:9">
      <c r="A4617" s="21"/>
      <c r="B4617"/>
      <c r="F4617" s="87"/>
      <c r="H4617" s="87"/>
      <c r="I4617" s="89"/>
    </row>
    <row r="4618" spans="1:9">
      <c r="A4618" s="21"/>
      <c r="B4618"/>
      <c r="F4618" s="87"/>
      <c r="H4618" s="87"/>
      <c r="I4618" s="89"/>
    </row>
    <row r="4619" spans="1:9">
      <c r="A4619" s="21"/>
      <c r="B4619"/>
      <c r="F4619" s="87"/>
      <c r="H4619" s="87"/>
      <c r="I4619" s="89"/>
    </row>
    <row r="4620" spans="1:9">
      <c r="A4620" s="21"/>
      <c r="B4620"/>
      <c r="F4620" s="87"/>
      <c r="H4620" s="87"/>
      <c r="I4620" s="89"/>
    </row>
    <row r="4621" spans="1:9">
      <c r="A4621" s="21"/>
      <c r="B4621"/>
      <c r="F4621" s="87"/>
      <c r="H4621" s="87"/>
      <c r="I4621" s="89"/>
    </row>
    <row r="4622" spans="1:9">
      <c r="A4622" s="21"/>
      <c r="B4622"/>
      <c r="F4622" s="87"/>
      <c r="H4622" s="87"/>
      <c r="I4622" s="89"/>
    </row>
    <row r="4623" spans="1:9">
      <c r="A4623" s="21"/>
      <c r="B4623"/>
      <c r="F4623" s="87"/>
      <c r="H4623" s="87"/>
      <c r="I4623" s="89"/>
    </row>
    <row r="4624" spans="1:9">
      <c r="A4624" s="21"/>
      <c r="B4624"/>
      <c r="F4624" s="87"/>
      <c r="H4624" s="87"/>
      <c r="I4624" s="89"/>
    </row>
    <row r="4625" spans="1:9">
      <c r="A4625" s="21"/>
      <c r="B4625"/>
      <c r="F4625" s="87"/>
      <c r="H4625" s="87"/>
      <c r="I4625" s="89"/>
    </row>
    <row r="4626" spans="1:9">
      <c r="A4626" s="21"/>
      <c r="B4626"/>
      <c r="F4626" s="87"/>
      <c r="H4626" s="87"/>
      <c r="I4626" s="89"/>
    </row>
    <row r="4627" spans="1:9">
      <c r="A4627" s="21"/>
      <c r="B4627"/>
      <c r="F4627" s="87"/>
      <c r="H4627" s="87"/>
      <c r="I4627" s="89"/>
    </row>
    <row r="4628" spans="1:9">
      <c r="A4628" s="21"/>
      <c r="B4628"/>
      <c r="F4628" s="87"/>
      <c r="H4628" s="87"/>
      <c r="I4628" s="89"/>
    </row>
    <row r="4629" spans="1:9">
      <c r="A4629" s="21"/>
      <c r="B4629"/>
      <c r="F4629" s="87"/>
      <c r="H4629" s="87"/>
      <c r="I4629" s="89"/>
    </row>
    <row r="4630" spans="1:9">
      <c r="A4630" s="21"/>
      <c r="B4630"/>
      <c r="F4630" s="87"/>
      <c r="H4630" s="87"/>
      <c r="I4630" s="89"/>
    </row>
    <row r="4631" spans="1:9">
      <c r="A4631" s="21"/>
      <c r="B4631"/>
      <c r="F4631" s="87"/>
      <c r="H4631" s="87"/>
      <c r="I4631" s="89"/>
    </row>
    <row r="4632" spans="1:9">
      <c r="A4632" s="21"/>
      <c r="B4632"/>
      <c r="F4632" s="87"/>
      <c r="H4632" s="87"/>
      <c r="I4632" s="89"/>
    </row>
    <row r="4633" spans="1:9">
      <c r="A4633" s="21"/>
      <c r="B4633"/>
      <c r="F4633" s="87"/>
      <c r="H4633" s="87"/>
      <c r="I4633" s="89"/>
    </row>
    <row r="4634" spans="1:9">
      <c r="A4634" s="21"/>
      <c r="B4634"/>
      <c r="F4634" s="87"/>
      <c r="H4634" s="87"/>
      <c r="I4634" s="89"/>
    </row>
    <row r="4635" spans="1:9">
      <c r="A4635" s="21"/>
      <c r="B4635"/>
      <c r="F4635" s="87"/>
      <c r="H4635" s="87"/>
      <c r="I4635" s="89"/>
    </row>
    <row r="4636" spans="1:9">
      <c r="A4636" s="21"/>
      <c r="B4636"/>
      <c r="F4636" s="87"/>
      <c r="H4636" s="87"/>
      <c r="I4636" s="89"/>
    </row>
    <row r="4637" spans="1:9">
      <c r="A4637" s="21"/>
      <c r="B4637"/>
      <c r="F4637" s="87"/>
      <c r="H4637" s="87"/>
      <c r="I4637" s="89"/>
    </row>
    <row r="4638" spans="1:9">
      <c r="A4638" s="21"/>
      <c r="B4638"/>
      <c r="F4638" s="87"/>
      <c r="H4638" s="87"/>
      <c r="I4638" s="89"/>
    </row>
    <row r="4639" spans="1:9">
      <c r="A4639" s="21"/>
      <c r="B4639"/>
      <c r="F4639" s="87"/>
      <c r="H4639" s="87"/>
      <c r="I4639" s="89"/>
    </row>
    <row r="4640" spans="1:9">
      <c r="A4640" s="21"/>
      <c r="B4640"/>
      <c r="F4640" s="87"/>
      <c r="H4640" s="87"/>
      <c r="I4640" s="89"/>
    </row>
    <row r="4641" spans="1:9">
      <c r="A4641" s="21"/>
      <c r="B4641"/>
      <c r="F4641" s="87"/>
      <c r="H4641" s="87"/>
      <c r="I4641" s="89"/>
    </row>
    <row r="4642" spans="1:9">
      <c r="A4642" s="21"/>
      <c r="B4642"/>
      <c r="F4642" s="87"/>
      <c r="H4642" s="87"/>
      <c r="I4642" s="89"/>
    </row>
    <row r="4643" spans="1:9">
      <c r="A4643" s="21"/>
      <c r="B4643"/>
      <c r="F4643" s="87"/>
      <c r="H4643" s="87"/>
      <c r="I4643" s="89"/>
    </row>
    <row r="4644" spans="1:9">
      <c r="A4644" s="21"/>
      <c r="B4644"/>
      <c r="F4644" s="87"/>
      <c r="H4644" s="87"/>
      <c r="I4644" s="89"/>
    </row>
    <row r="4645" spans="1:9">
      <c r="A4645" s="21"/>
      <c r="B4645"/>
      <c r="F4645" s="87"/>
      <c r="H4645" s="87"/>
      <c r="I4645" s="89"/>
    </row>
    <row r="4646" spans="1:9">
      <c r="A4646" s="21"/>
      <c r="B4646"/>
      <c r="F4646" s="87"/>
      <c r="H4646" s="87"/>
      <c r="I4646" s="89"/>
    </row>
    <row r="4647" spans="1:9">
      <c r="A4647" s="21"/>
      <c r="B4647"/>
      <c r="F4647" s="87"/>
      <c r="H4647" s="87"/>
      <c r="I4647" s="89"/>
    </row>
    <row r="4648" spans="1:9">
      <c r="A4648" s="21"/>
      <c r="B4648"/>
      <c r="F4648" s="87"/>
      <c r="H4648" s="87"/>
      <c r="I4648" s="89"/>
    </row>
    <row r="4649" spans="1:9">
      <c r="A4649" s="21"/>
      <c r="B4649"/>
      <c r="F4649" s="87"/>
      <c r="H4649" s="87"/>
      <c r="I4649" s="89"/>
    </row>
    <row r="4650" spans="1:9">
      <c r="A4650" s="21"/>
      <c r="B4650"/>
      <c r="F4650" s="87"/>
      <c r="H4650" s="87"/>
      <c r="I4650" s="89"/>
    </row>
    <row r="4651" spans="1:9">
      <c r="A4651" s="21"/>
      <c r="B4651"/>
      <c r="F4651" s="87"/>
      <c r="H4651" s="87"/>
      <c r="I4651" s="89"/>
    </row>
    <row r="4652" spans="1:9">
      <c r="A4652" s="21"/>
      <c r="B4652"/>
      <c r="F4652" s="87"/>
      <c r="H4652" s="87"/>
      <c r="I4652" s="89"/>
    </row>
    <row r="4653" spans="1:9">
      <c r="A4653" s="21"/>
      <c r="B4653"/>
      <c r="F4653" s="87"/>
      <c r="H4653" s="87"/>
      <c r="I4653" s="89"/>
    </row>
    <row r="4654" spans="1:9">
      <c r="A4654" s="21"/>
      <c r="B4654"/>
      <c r="F4654" s="87"/>
      <c r="H4654" s="87"/>
      <c r="I4654" s="89"/>
    </row>
    <row r="4655" spans="1:9">
      <c r="A4655" s="21"/>
      <c r="B4655"/>
      <c r="F4655" s="87"/>
      <c r="H4655" s="87"/>
      <c r="I4655" s="89"/>
    </row>
    <row r="4656" spans="1:9">
      <c r="A4656" s="21"/>
      <c r="B4656"/>
      <c r="F4656" s="87"/>
      <c r="H4656" s="87"/>
      <c r="I4656" s="89"/>
    </row>
    <row r="4657" spans="1:9">
      <c r="A4657" s="21"/>
      <c r="B4657"/>
      <c r="F4657" s="87"/>
      <c r="H4657" s="87"/>
      <c r="I4657" s="89"/>
    </row>
    <row r="4658" spans="1:9">
      <c r="A4658" s="21"/>
      <c r="B4658"/>
      <c r="F4658" s="87"/>
      <c r="H4658" s="87"/>
      <c r="I4658" s="89"/>
    </row>
    <row r="4659" spans="1:9">
      <c r="A4659" s="21"/>
      <c r="B4659"/>
      <c r="F4659" s="87"/>
      <c r="H4659" s="87"/>
      <c r="I4659" s="89"/>
    </row>
    <row r="4660" spans="1:9">
      <c r="A4660" s="21"/>
      <c r="B4660"/>
      <c r="F4660" s="87"/>
      <c r="H4660" s="87"/>
      <c r="I4660" s="89"/>
    </row>
    <row r="4661" spans="1:9">
      <c r="A4661" s="21"/>
      <c r="B4661"/>
      <c r="F4661" s="87"/>
      <c r="H4661" s="87"/>
      <c r="I4661" s="89"/>
    </row>
    <row r="4662" spans="1:9">
      <c r="A4662" s="21"/>
      <c r="B4662"/>
      <c r="F4662" s="87"/>
      <c r="H4662" s="87"/>
      <c r="I4662" s="89"/>
    </row>
    <row r="4663" spans="1:9">
      <c r="A4663" s="21"/>
      <c r="B4663"/>
      <c r="F4663" s="87"/>
      <c r="H4663" s="87"/>
      <c r="I4663" s="89"/>
    </row>
    <row r="4664" spans="1:9">
      <c r="A4664" s="21"/>
      <c r="B4664"/>
      <c r="F4664" s="87"/>
      <c r="H4664" s="87"/>
      <c r="I4664" s="89"/>
    </row>
    <row r="4665" spans="1:9">
      <c r="A4665" s="21"/>
      <c r="B4665"/>
      <c r="F4665" s="87"/>
      <c r="H4665" s="87"/>
      <c r="I4665" s="89"/>
    </row>
    <row r="4666" spans="1:9">
      <c r="A4666" s="21"/>
      <c r="B4666"/>
      <c r="F4666" s="87"/>
      <c r="H4666" s="87"/>
      <c r="I4666" s="89"/>
    </row>
    <row r="4667" spans="1:9">
      <c r="A4667" s="21"/>
      <c r="B4667"/>
      <c r="F4667" s="87"/>
      <c r="H4667" s="87"/>
      <c r="I4667" s="89"/>
    </row>
    <row r="4668" spans="1:9">
      <c r="A4668" s="21"/>
      <c r="B4668"/>
      <c r="F4668" s="87"/>
      <c r="H4668" s="87"/>
      <c r="I4668" s="89"/>
    </row>
    <row r="4669" spans="1:9">
      <c r="A4669" s="21"/>
      <c r="B4669"/>
      <c r="F4669" s="87"/>
      <c r="H4669" s="87"/>
      <c r="I4669" s="89"/>
    </row>
    <row r="4670" spans="1:9">
      <c r="A4670" s="21"/>
      <c r="B4670"/>
      <c r="F4670" s="87"/>
      <c r="H4670" s="87"/>
      <c r="I4670" s="89"/>
    </row>
    <row r="4671" spans="1:9">
      <c r="A4671" s="21"/>
      <c r="B4671"/>
      <c r="F4671" s="87"/>
      <c r="H4671" s="87"/>
      <c r="I4671" s="89"/>
    </row>
    <row r="4672" spans="1:9">
      <c r="A4672" s="21"/>
      <c r="B4672"/>
      <c r="F4672" s="87"/>
      <c r="H4672" s="87"/>
      <c r="I4672" s="89"/>
    </row>
    <row r="4673" spans="1:9">
      <c r="A4673" s="21"/>
      <c r="B4673"/>
      <c r="F4673" s="87"/>
      <c r="H4673" s="87"/>
      <c r="I4673" s="89"/>
    </row>
    <row r="4674" spans="1:9">
      <c r="A4674" s="21"/>
      <c r="B4674"/>
      <c r="F4674" s="87"/>
      <c r="H4674" s="87"/>
      <c r="I4674" s="89"/>
    </row>
    <row r="4675" spans="1:9">
      <c r="A4675" s="21"/>
      <c r="B4675"/>
      <c r="F4675" s="87"/>
      <c r="H4675" s="87"/>
      <c r="I4675" s="89"/>
    </row>
    <row r="4676" spans="1:9">
      <c r="A4676" s="21"/>
      <c r="B4676"/>
      <c r="F4676" s="87"/>
      <c r="H4676" s="87"/>
      <c r="I4676" s="89"/>
    </row>
    <row r="4677" spans="1:9">
      <c r="A4677" s="21"/>
      <c r="B4677"/>
      <c r="F4677" s="87"/>
      <c r="H4677" s="87"/>
      <c r="I4677" s="89"/>
    </row>
    <row r="4678" spans="1:9">
      <c r="A4678" s="21"/>
      <c r="B4678"/>
      <c r="F4678" s="87"/>
      <c r="H4678" s="87"/>
      <c r="I4678" s="89"/>
    </row>
    <row r="4679" spans="1:9">
      <c r="A4679" s="21"/>
      <c r="B4679"/>
      <c r="F4679" s="87"/>
      <c r="H4679" s="87"/>
      <c r="I4679" s="89"/>
    </row>
    <row r="4680" spans="1:9">
      <c r="A4680" s="21"/>
      <c r="B4680"/>
      <c r="F4680" s="87"/>
      <c r="H4680" s="87"/>
      <c r="I4680" s="89"/>
    </row>
    <row r="4681" spans="1:9">
      <c r="A4681" s="21"/>
      <c r="B4681"/>
      <c r="F4681" s="87"/>
      <c r="H4681" s="87"/>
      <c r="I4681" s="89"/>
    </row>
    <row r="4682" spans="1:9">
      <c r="A4682" s="21"/>
      <c r="B4682"/>
      <c r="F4682" s="87"/>
      <c r="H4682" s="87"/>
      <c r="I4682" s="89"/>
    </row>
    <row r="4683" spans="1:9">
      <c r="A4683" s="21"/>
      <c r="B4683"/>
      <c r="F4683" s="87"/>
      <c r="H4683" s="87"/>
      <c r="I4683" s="89"/>
    </row>
    <row r="4684" spans="1:9">
      <c r="A4684" s="21"/>
      <c r="B4684"/>
      <c r="F4684" s="87"/>
      <c r="H4684" s="87"/>
      <c r="I4684" s="89"/>
    </row>
    <row r="4685" spans="1:9">
      <c r="A4685" s="21"/>
      <c r="B4685"/>
      <c r="F4685" s="87"/>
      <c r="H4685" s="87"/>
      <c r="I4685" s="89"/>
    </row>
    <row r="4686" spans="1:9">
      <c r="A4686" s="21"/>
      <c r="B4686"/>
      <c r="F4686" s="87"/>
      <c r="H4686" s="87"/>
      <c r="I4686" s="89"/>
    </row>
    <row r="4687" spans="1:9">
      <c r="A4687" s="21"/>
      <c r="B4687"/>
      <c r="F4687" s="87"/>
      <c r="H4687" s="87"/>
      <c r="I4687" s="89"/>
    </row>
    <row r="4688" spans="1:9">
      <c r="A4688" s="21"/>
      <c r="B4688"/>
      <c r="F4688" s="87"/>
      <c r="H4688" s="87"/>
      <c r="I4688" s="89"/>
    </row>
    <row r="4689" spans="1:9">
      <c r="A4689" s="21"/>
      <c r="B4689"/>
      <c r="F4689" s="87"/>
      <c r="H4689" s="87"/>
      <c r="I4689" s="89"/>
    </row>
    <row r="4690" spans="1:9">
      <c r="A4690" s="21"/>
      <c r="B4690"/>
      <c r="F4690" s="87"/>
      <c r="H4690" s="87"/>
      <c r="I4690" s="89"/>
    </row>
    <row r="4691" spans="1:9">
      <c r="A4691" s="21"/>
      <c r="B4691"/>
      <c r="F4691" s="87"/>
      <c r="H4691" s="87"/>
      <c r="I4691" s="89"/>
    </row>
    <row r="4692" spans="1:9">
      <c r="A4692" s="21"/>
      <c r="B4692"/>
      <c r="F4692" s="87"/>
      <c r="H4692" s="87"/>
      <c r="I4692" s="89"/>
    </row>
    <row r="4693" spans="1:9">
      <c r="A4693" s="21"/>
      <c r="B4693"/>
      <c r="F4693" s="87"/>
      <c r="H4693" s="87"/>
      <c r="I4693" s="89"/>
    </row>
    <row r="4694" spans="1:9">
      <c r="A4694" s="21"/>
      <c r="B4694"/>
      <c r="F4694" s="87"/>
      <c r="H4694" s="87"/>
      <c r="I4694" s="89"/>
    </row>
    <row r="4695" spans="1:9">
      <c r="A4695" s="21"/>
      <c r="B4695"/>
      <c r="F4695" s="87"/>
      <c r="H4695" s="87"/>
      <c r="I4695" s="89"/>
    </row>
    <row r="4696" spans="1:9">
      <c r="A4696" s="21"/>
      <c r="B4696"/>
      <c r="F4696" s="87"/>
      <c r="H4696" s="87"/>
      <c r="I4696" s="89"/>
    </row>
    <row r="4697" spans="1:9">
      <c r="A4697" s="21"/>
      <c r="B4697"/>
      <c r="F4697" s="87"/>
      <c r="H4697" s="87"/>
      <c r="I4697" s="89"/>
    </row>
    <row r="4698" spans="1:9">
      <c r="A4698" s="21"/>
      <c r="B4698"/>
      <c r="F4698" s="87"/>
      <c r="H4698" s="87"/>
      <c r="I4698" s="89"/>
    </row>
    <row r="4699" spans="1:9">
      <c r="A4699" s="21"/>
      <c r="B4699"/>
      <c r="F4699" s="87"/>
      <c r="H4699" s="87"/>
      <c r="I4699" s="89"/>
    </row>
    <row r="4700" spans="1:9">
      <c r="A4700" s="21"/>
      <c r="B4700"/>
      <c r="F4700" s="87"/>
      <c r="H4700" s="87"/>
      <c r="I4700" s="89"/>
    </row>
    <row r="4701" spans="1:9">
      <c r="A4701" s="21"/>
      <c r="B4701"/>
      <c r="F4701" s="87"/>
      <c r="H4701" s="87"/>
      <c r="I4701" s="89"/>
    </row>
    <row r="4702" spans="1:9">
      <c r="A4702" s="21"/>
      <c r="B4702"/>
      <c r="F4702" s="87"/>
      <c r="H4702" s="87"/>
      <c r="I4702" s="89"/>
    </row>
    <row r="4703" spans="1:9">
      <c r="A4703" s="21"/>
      <c r="B4703"/>
      <c r="F4703" s="87"/>
      <c r="H4703" s="87"/>
      <c r="I4703" s="89"/>
    </row>
    <row r="4704" spans="1:9">
      <c r="A4704" s="21"/>
      <c r="B4704"/>
      <c r="F4704" s="87"/>
      <c r="H4704" s="87"/>
      <c r="I4704" s="89"/>
    </row>
    <row r="4705" spans="1:9">
      <c r="A4705" s="21"/>
      <c r="B4705"/>
      <c r="F4705" s="87"/>
      <c r="H4705" s="87"/>
      <c r="I4705" s="89"/>
    </row>
    <row r="4706" spans="1:9">
      <c r="A4706" s="21"/>
      <c r="B4706"/>
      <c r="F4706" s="87"/>
      <c r="H4706" s="87"/>
      <c r="I4706" s="89"/>
    </row>
    <row r="4707" spans="1:9">
      <c r="A4707" s="21"/>
      <c r="B4707"/>
      <c r="F4707" s="87"/>
      <c r="H4707" s="87"/>
      <c r="I4707" s="89"/>
    </row>
    <row r="4708" spans="1:9">
      <c r="A4708" s="21"/>
      <c r="B4708"/>
      <c r="F4708" s="87"/>
      <c r="H4708" s="87"/>
      <c r="I4708" s="89"/>
    </row>
    <row r="4709" spans="1:9">
      <c r="A4709" s="21"/>
      <c r="B4709"/>
      <c r="F4709" s="87"/>
      <c r="H4709" s="87"/>
      <c r="I4709" s="89"/>
    </row>
    <row r="4710" spans="1:9">
      <c r="A4710" s="21"/>
      <c r="B4710"/>
      <c r="F4710" s="87"/>
      <c r="H4710" s="87"/>
      <c r="I4710" s="89"/>
    </row>
    <row r="4711" spans="1:9">
      <c r="A4711" s="21"/>
      <c r="B4711"/>
      <c r="F4711" s="87"/>
      <c r="H4711" s="87"/>
      <c r="I4711" s="89"/>
    </row>
    <row r="4712" spans="1:9">
      <c r="A4712" s="21"/>
      <c r="B4712"/>
      <c r="F4712" s="87"/>
      <c r="H4712" s="87"/>
      <c r="I4712" s="89"/>
    </row>
    <row r="4713" spans="1:9">
      <c r="A4713" s="21"/>
      <c r="B4713"/>
      <c r="F4713" s="87"/>
      <c r="H4713" s="87"/>
      <c r="I4713" s="89"/>
    </row>
    <row r="4714" spans="1:9">
      <c r="A4714" s="21"/>
      <c r="B4714"/>
      <c r="F4714" s="87"/>
      <c r="H4714" s="87"/>
      <c r="I4714" s="89"/>
    </row>
    <row r="4715" spans="1:9">
      <c r="A4715" s="21"/>
      <c r="B4715"/>
      <c r="F4715" s="87"/>
      <c r="H4715" s="87"/>
      <c r="I4715" s="89"/>
    </row>
    <row r="4716" spans="1:9">
      <c r="A4716" s="21"/>
      <c r="B4716"/>
      <c r="F4716" s="87"/>
      <c r="H4716" s="87"/>
      <c r="I4716" s="89"/>
    </row>
    <row r="4717" spans="1:9">
      <c r="A4717" s="21"/>
      <c r="B4717"/>
      <c r="F4717" s="87"/>
      <c r="H4717" s="87"/>
      <c r="I4717" s="89"/>
    </row>
    <row r="4718" spans="1:9">
      <c r="A4718" s="21"/>
      <c r="B4718"/>
      <c r="F4718" s="87"/>
      <c r="H4718" s="87"/>
      <c r="I4718" s="89"/>
    </row>
    <row r="4719" spans="1:9">
      <c r="A4719" s="21"/>
      <c r="B4719"/>
      <c r="F4719" s="87"/>
      <c r="H4719" s="87"/>
      <c r="I4719" s="89"/>
    </row>
    <row r="4720" spans="1:9">
      <c r="A4720" s="21"/>
      <c r="B4720"/>
      <c r="F4720" s="87"/>
      <c r="H4720" s="87"/>
      <c r="I4720" s="89"/>
    </row>
    <row r="4721" spans="1:9">
      <c r="A4721" s="21"/>
      <c r="B4721"/>
      <c r="F4721" s="87"/>
      <c r="H4721" s="87"/>
      <c r="I4721" s="89"/>
    </row>
    <row r="4722" spans="1:9">
      <c r="A4722" s="21"/>
      <c r="B4722"/>
      <c r="F4722" s="87"/>
      <c r="H4722" s="87"/>
      <c r="I4722" s="89"/>
    </row>
    <row r="4723" spans="1:9">
      <c r="A4723" s="21"/>
      <c r="B4723"/>
      <c r="F4723" s="87"/>
      <c r="H4723" s="87"/>
      <c r="I4723" s="89"/>
    </row>
    <row r="4724" spans="1:9">
      <c r="A4724" s="21"/>
      <c r="B4724"/>
      <c r="F4724" s="87"/>
      <c r="H4724" s="87"/>
      <c r="I4724" s="89"/>
    </row>
    <row r="4725" spans="1:9">
      <c r="A4725" s="21"/>
      <c r="B4725"/>
      <c r="F4725" s="87"/>
      <c r="H4725" s="87"/>
      <c r="I4725" s="89"/>
    </row>
    <row r="4726" spans="1:9">
      <c r="A4726" s="21"/>
      <c r="B4726"/>
      <c r="F4726" s="87"/>
      <c r="H4726" s="87"/>
      <c r="I4726" s="89"/>
    </row>
    <row r="4727" spans="1:9">
      <c r="A4727" s="21"/>
      <c r="B4727"/>
      <c r="F4727" s="87"/>
      <c r="H4727" s="87"/>
      <c r="I4727" s="89"/>
    </row>
    <row r="4728" spans="1:9">
      <c r="A4728" s="21"/>
      <c r="B4728"/>
      <c r="F4728" s="87"/>
      <c r="H4728" s="87"/>
      <c r="I4728" s="89"/>
    </row>
    <row r="4729" spans="1:9">
      <c r="A4729" s="21"/>
      <c r="B4729"/>
      <c r="F4729" s="87"/>
      <c r="H4729" s="87"/>
      <c r="I4729" s="89"/>
    </row>
    <row r="4730" spans="1:9">
      <c r="A4730" s="21"/>
      <c r="B4730"/>
      <c r="F4730" s="87"/>
      <c r="H4730" s="87"/>
      <c r="I4730" s="89"/>
    </row>
    <row r="4731" spans="1:9">
      <c r="A4731" s="21"/>
      <c r="B4731"/>
      <c r="F4731" s="87"/>
      <c r="H4731" s="87"/>
      <c r="I4731" s="89"/>
    </row>
    <row r="4732" spans="1:9">
      <c r="A4732" s="21"/>
      <c r="B4732"/>
      <c r="F4732" s="87"/>
      <c r="H4732" s="87"/>
      <c r="I4732" s="89"/>
    </row>
    <row r="4733" spans="1:9">
      <c r="A4733" s="21"/>
      <c r="B4733"/>
      <c r="F4733" s="87"/>
      <c r="H4733" s="87"/>
      <c r="I4733" s="89"/>
    </row>
    <row r="4734" spans="1:9">
      <c r="A4734" s="21"/>
      <c r="B4734"/>
      <c r="F4734" s="87"/>
      <c r="H4734" s="87"/>
      <c r="I4734" s="89"/>
    </row>
    <row r="4735" spans="1:9">
      <c r="A4735" s="21"/>
      <c r="B4735"/>
      <c r="F4735" s="87"/>
      <c r="H4735" s="87"/>
      <c r="I4735" s="89"/>
    </row>
    <row r="4736" spans="1:9">
      <c r="A4736" s="21"/>
      <c r="B4736"/>
      <c r="F4736" s="87"/>
      <c r="H4736" s="87"/>
      <c r="I4736" s="89"/>
    </row>
    <row r="4737" spans="1:9">
      <c r="A4737" s="21"/>
      <c r="B4737"/>
      <c r="F4737" s="87"/>
      <c r="H4737" s="87"/>
      <c r="I4737" s="89"/>
    </row>
    <row r="4738" spans="1:9">
      <c r="A4738" s="21"/>
      <c r="B4738"/>
      <c r="F4738" s="87"/>
      <c r="H4738" s="87"/>
      <c r="I4738" s="89"/>
    </row>
    <row r="4739" spans="1:9">
      <c r="A4739" s="21"/>
      <c r="B4739"/>
      <c r="F4739" s="87"/>
      <c r="H4739" s="87"/>
      <c r="I4739" s="89"/>
    </row>
    <row r="4740" spans="1:9">
      <c r="A4740" s="21"/>
      <c r="B4740"/>
      <c r="F4740" s="87"/>
      <c r="H4740" s="87"/>
      <c r="I4740" s="89"/>
    </row>
    <row r="4741" spans="1:9">
      <c r="A4741" s="21"/>
      <c r="B4741"/>
      <c r="F4741" s="87"/>
      <c r="H4741" s="87"/>
      <c r="I4741" s="89"/>
    </row>
    <row r="4742" spans="1:9">
      <c r="A4742" s="21"/>
      <c r="B4742"/>
      <c r="F4742" s="87"/>
      <c r="H4742" s="87"/>
      <c r="I4742" s="89"/>
    </row>
    <row r="4743" spans="1:9">
      <c r="A4743" s="21"/>
      <c r="B4743"/>
      <c r="F4743" s="87"/>
      <c r="H4743" s="87"/>
      <c r="I4743" s="89"/>
    </row>
    <row r="4744" spans="1:9">
      <c r="A4744" s="21"/>
      <c r="B4744"/>
      <c r="F4744" s="87"/>
      <c r="H4744" s="87"/>
      <c r="I4744" s="89"/>
    </row>
    <row r="4745" spans="1:9">
      <c r="A4745" s="21"/>
      <c r="B4745"/>
      <c r="F4745" s="87"/>
      <c r="H4745" s="87"/>
      <c r="I4745" s="89"/>
    </row>
    <row r="4746" spans="1:9">
      <c r="A4746" s="21"/>
      <c r="B4746"/>
      <c r="F4746" s="87"/>
      <c r="H4746" s="87"/>
      <c r="I4746" s="89"/>
    </row>
    <row r="4747" spans="1:9">
      <c r="A4747" s="21"/>
      <c r="B4747"/>
      <c r="F4747" s="87"/>
      <c r="H4747" s="87"/>
      <c r="I4747" s="89"/>
    </row>
    <row r="4748" spans="1:9">
      <c r="A4748" s="21"/>
      <c r="B4748"/>
      <c r="F4748" s="87"/>
      <c r="H4748" s="87"/>
      <c r="I4748" s="89"/>
    </row>
    <row r="4749" spans="1:9">
      <c r="A4749" s="21"/>
      <c r="B4749"/>
      <c r="F4749" s="87"/>
      <c r="H4749" s="87"/>
      <c r="I4749" s="89"/>
    </row>
    <row r="4750" spans="1:9">
      <c r="A4750" s="21"/>
      <c r="B4750"/>
      <c r="F4750" s="87"/>
      <c r="H4750" s="87"/>
      <c r="I4750" s="89"/>
    </row>
    <row r="4751" spans="1:9">
      <c r="A4751" s="21"/>
      <c r="B4751"/>
      <c r="F4751" s="87"/>
      <c r="H4751" s="87"/>
      <c r="I4751" s="89"/>
    </row>
    <row r="4752" spans="1:9">
      <c r="A4752" s="21"/>
      <c r="B4752"/>
      <c r="F4752" s="87"/>
      <c r="H4752" s="87"/>
      <c r="I4752" s="89"/>
    </row>
    <row r="4753" spans="1:9">
      <c r="A4753" s="21"/>
      <c r="B4753"/>
      <c r="F4753" s="87"/>
      <c r="H4753" s="87"/>
      <c r="I4753" s="89"/>
    </row>
    <row r="4754" spans="1:9">
      <c r="A4754" s="21"/>
      <c r="B4754"/>
      <c r="F4754" s="87"/>
      <c r="H4754" s="87"/>
      <c r="I4754" s="89"/>
    </row>
    <row r="4755" spans="1:9">
      <c r="A4755" s="21"/>
      <c r="B4755"/>
      <c r="F4755" s="87"/>
      <c r="H4755" s="87"/>
      <c r="I4755" s="89"/>
    </row>
    <row r="4756" spans="1:9">
      <c r="A4756" s="21"/>
      <c r="B4756"/>
      <c r="F4756" s="87"/>
      <c r="H4756" s="87"/>
      <c r="I4756" s="89"/>
    </row>
    <row r="4757" spans="1:9">
      <c r="A4757" s="21"/>
      <c r="B4757"/>
      <c r="F4757" s="87"/>
      <c r="H4757" s="87"/>
      <c r="I4757" s="89"/>
    </row>
    <row r="4758" spans="1:9">
      <c r="A4758" s="21"/>
      <c r="B4758"/>
      <c r="F4758" s="87"/>
      <c r="H4758" s="87"/>
      <c r="I4758" s="89"/>
    </row>
    <row r="4759" spans="1:9">
      <c r="A4759" s="21"/>
      <c r="B4759"/>
      <c r="F4759" s="87"/>
      <c r="H4759" s="87"/>
      <c r="I4759" s="89"/>
    </row>
    <row r="4760" spans="1:9">
      <c r="A4760" s="21"/>
      <c r="B4760"/>
      <c r="F4760" s="87"/>
      <c r="H4760" s="87"/>
      <c r="I4760" s="89"/>
    </row>
    <row r="4761" spans="1:9">
      <c r="A4761" s="21"/>
      <c r="B4761"/>
      <c r="F4761" s="87"/>
      <c r="H4761" s="87"/>
      <c r="I4761" s="89"/>
    </row>
    <row r="4762" spans="1:9">
      <c r="A4762" s="21"/>
      <c r="B4762"/>
      <c r="F4762" s="87"/>
      <c r="H4762" s="87"/>
      <c r="I4762" s="89"/>
    </row>
    <row r="4763" spans="1:9">
      <c r="A4763" s="21"/>
      <c r="B4763"/>
      <c r="F4763" s="87"/>
      <c r="H4763" s="87"/>
      <c r="I4763" s="89"/>
    </row>
    <row r="4764" spans="1:9">
      <c r="A4764" s="21"/>
      <c r="B4764"/>
      <c r="F4764" s="87"/>
      <c r="H4764" s="87"/>
      <c r="I4764" s="89"/>
    </row>
    <row r="4765" spans="1:9">
      <c r="A4765" s="21"/>
      <c r="B4765"/>
      <c r="F4765" s="87"/>
      <c r="H4765" s="87"/>
      <c r="I4765" s="89"/>
    </row>
    <row r="4766" spans="1:9">
      <c r="A4766" s="21"/>
      <c r="B4766"/>
      <c r="F4766" s="87"/>
      <c r="H4766" s="87"/>
      <c r="I4766" s="89"/>
    </row>
    <row r="4767" spans="1:9">
      <c r="A4767" s="21"/>
      <c r="B4767"/>
      <c r="F4767" s="87"/>
      <c r="H4767" s="87"/>
      <c r="I4767" s="89"/>
    </row>
    <row r="4768" spans="1:9">
      <c r="A4768" s="21"/>
      <c r="B4768"/>
      <c r="F4768" s="87"/>
      <c r="H4768" s="87"/>
      <c r="I4768" s="89"/>
    </row>
    <row r="4769" spans="1:9">
      <c r="A4769" s="21"/>
      <c r="B4769"/>
      <c r="F4769" s="87"/>
      <c r="H4769" s="87"/>
      <c r="I4769" s="89"/>
    </row>
    <row r="4770" spans="1:9">
      <c r="A4770" s="21"/>
      <c r="B4770"/>
      <c r="F4770" s="87"/>
      <c r="H4770" s="87"/>
      <c r="I4770" s="89"/>
    </row>
    <row r="4771" spans="1:9">
      <c r="A4771" s="21"/>
      <c r="B4771"/>
      <c r="F4771" s="87"/>
      <c r="H4771" s="87"/>
      <c r="I4771" s="89"/>
    </row>
    <row r="4772" spans="1:9">
      <c r="A4772" s="21"/>
      <c r="B4772"/>
      <c r="F4772" s="87"/>
      <c r="H4772" s="87"/>
      <c r="I4772" s="89"/>
    </row>
    <row r="4773" spans="1:9">
      <c r="A4773" s="21"/>
      <c r="B4773"/>
      <c r="F4773" s="87"/>
      <c r="H4773" s="87"/>
      <c r="I4773" s="89"/>
    </row>
    <row r="4774" spans="1:9">
      <c r="A4774" s="21"/>
      <c r="B4774"/>
      <c r="F4774" s="87"/>
      <c r="H4774" s="87"/>
      <c r="I4774" s="89"/>
    </row>
    <row r="4775" spans="1:9">
      <c r="A4775" s="21"/>
      <c r="B4775"/>
      <c r="F4775" s="87"/>
      <c r="H4775" s="87"/>
      <c r="I4775" s="89"/>
    </row>
    <row r="4776" spans="1:9">
      <c r="A4776" s="21"/>
      <c r="B4776"/>
      <c r="F4776" s="87"/>
      <c r="H4776" s="87"/>
      <c r="I4776" s="89"/>
    </row>
    <row r="4777" spans="1:9">
      <c r="A4777" s="21"/>
      <c r="B4777"/>
      <c r="F4777" s="87"/>
      <c r="H4777" s="87"/>
      <c r="I4777" s="89"/>
    </row>
    <row r="4778" spans="1:9">
      <c r="A4778" s="21"/>
      <c r="B4778"/>
      <c r="F4778" s="87"/>
      <c r="H4778" s="87"/>
      <c r="I4778" s="89"/>
    </row>
    <row r="4779" spans="1:9">
      <c r="A4779" s="21"/>
      <c r="B4779"/>
      <c r="F4779" s="87"/>
      <c r="H4779" s="87"/>
      <c r="I4779" s="89"/>
    </row>
    <row r="4780" spans="1:9">
      <c r="A4780" s="21"/>
      <c r="B4780"/>
      <c r="F4780" s="87"/>
      <c r="H4780" s="87"/>
      <c r="I4780" s="89"/>
    </row>
    <row r="4781" spans="1:9">
      <c r="A4781" s="21"/>
      <c r="B4781"/>
      <c r="F4781" s="87"/>
      <c r="H4781" s="87"/>
      <c r="I4781" s="89"/>
    </row>
    <row r="4782" spans="1:9">
      <c r="A4782" s="21"/>
      <c r="B4782"/>
      <c r="F4782" s="87"/>
      <c r="H4782" s="87"/>
      <c r="I4782" s="89"/>
    </row>
    <row r="4783" spans="1:9">
      <c r="A4783" s="21"/>
      <c r="B4783"/>
      <c r="F4783" s="87"/>
      <c r="H4783" s="87"/>
      <c r="I4783" s="89"/>
    </row>
    <row r="4784" spans="1:9">
      <c r="A4784" s="21"/>
      <c r="B4784"/>
      <c r="F4784" s="87"/>
      <c r="H4784" s="87"/>
      <c r="I4784" s="89"/>
    </row>
    <row r="4785" spans="1:9">
      <c r="A4785" s="21"/>
      <c r="B4785"/>
      <c r="F4785" s="87"/>
      <c r="H4785" s="87"/>
      <c r="I4785" s="89"/>
    </row>
    <row r="4786" spans="1:9">
      <c r="A4786" s="21"/>
      <c r="B4786"/>
      <c r="F4786" s="87"/>
      <c r="H4786" s="87"/>
      <c r="I4786" s="89"/>
    </row>
    <row r="4787" spans="1:9">
      <c r="A4787" s="21"/>
      <c r="B4787"/>
      <c r="F4787" s="87"/>
      <c r="H4787" s="87"/>
      <c r="I4787" s="89"/>
    </row>
    <row r="4788" spans="1:9">
      <c r="A4788" s="21"/>
      <c r="B4788"/>
      <c r="F4788" s="87"/>
      <c r="H4788" s="87"/>
      <c r="I4788" s="89"/>
    </row>
    <row r="4789" spans="1:9">
      <c r="A4789" s="21"/>
      <c r="B4789"/>
      <c r="F4789" s="87"/>
      <c r="H4789" s="87"/>
      <c r="I4789" s="89"/>
    </row>
    <row r="4790" spans="1:9">
      <c r="A4790" s="21"/>
      <c r="B4790"/>
      <c r="F4790" s="87"/>
      <c r="H4790" s="87"/>
      <c r="I4790" s="89"/>
    </row>
    <row r="4791" spans="1:9">
      <c r="A4791" s="21"/>
      <c r="B4791"/>
      <c r="F4791" s="87"/>
      <c r="H4791" s="87"/>
      <c r="I4791" s="89"/>
    </row>
    <row r="4792" spans="1:9">
      <c r="A4792" s="21"/>
      <c r="B4792"/>
      <c r="F4792" s="87"/>
      <c r="H4792" s="87"/>
      <c r="I4792" s="89"/>
    </row>
    <row r="4793" spans="1:9">
      <c r="A4793" s="21"/>
      <c r="B4793"/>
      <c r="F4793" s="87"/>
      <c r="H4793" s="87"/>
      <c r="I4793" s="89"/>
    </row>
    <row r="4794" spans="1:9">
      <c r="A4794" s="21"/>
      <c r="B4794"/>
      <c r="F4794" s="87"/>
      <c r="H4794" s="87"/>
      <c r="I4794" s="89"/>
    </row>
    <row r="4795" spans="1:9">
      <c r="A4795" s="21"/>
      <c r="B4795"/>
      <c r="F4795" s="87"/>
      <c r="H4795" s="87"/>
      <c r="I4795" s="89"/>
    </row>
    <row r="4796" spans="1:9">
      <c r="A4796" s="21"/>
      <c r="B4796"/>
      <c r="F4796" s="87"/>
      <c r="H4796" s="87"/>
      <c r="I4796" s="89"/>
    </row>
    <row r="4797" spans="1:9">
      <c r="A4797" s="21"/>
      <c r="B4797"/>
      <c r="F4797" s="87"/>
      <c r="H4797" s="87"/>
      <c r="I4797" s="89"/>
    </row>
    <row r="4798" spans="1:9">
      <c r="A4798" s="21"/>
      <c r="B4798"/>
      <c r="F4798" s="87"/>
      <c r="H4798" s="87"/>
      <c r="I4798" s="89"/>
    </row>
    <row r="4799" spans="1:9">
      <c r="A4799" s="21"/>
      <c r="B4799"/>
      <c r="F4799" s="87"/>
      <c r="H4799" s="87"/>
      <c r="I4799" s="89"/>
    </row>
    <row r="4800" spans="1:9">
      <c r="A4800" s="21"/>
      <c r="B4800"/>
      <c r="F4800" s="87"/>
      <c r="H4800" s="87"/>
      <c r="I4800" s="89"/>
    </row>
    <row r="4801" spans="1:9">
      <c r="A4801" s="21"/>
      <c r="B4801"/>
      <c r="F4801" s="87"/>
      <c r="H4801" s="87"/>
      <c r="I4801" s="89"/>
    </row>
    <row r="4802" spans="1:9">
      <c r="A4802" s="21"/>
      <c r="B4802"/>
      <c r="F4802" s="87"/>
      <c r="H4802" s="87"/>
      <c r="I4802" s="89"/>
    </row>
    <row r="4803" spans="1:9">
      <c r="A4803" s="21"/>
      <c r="B4803"/>
      <c r="F4803" s="87"/>
      <c r="H4803" s="87"/>
      <c r="I4803" s="89"/>
    </row>
    <row r="4804" spans="1:9">
      <c r="A4804" s="21"/>
      <c r="B4804"/>
      <c r="F4804" s="87"/>
      <c r="H4804" s="87"/>
      <c r="I4804" s="89"/>
    </row>
    <row r="4805" spans="1:9">
      <c r="A4805" s="21"/>
      <c r="B4805"/>
      <c r="F4805" s="87"/>
      <c r="H4805" s="87"/>
      <c r="I4805" s="89"/>
    </row>
    <row r="4806" spans="1:9">
      <c r="A4806" s="21"/>
      <c r="B4806"/>
      <c r="F4806" s="87"/>
      <c r="H4806" s="87"/>
      <c r="I4806" s="89"/>
    </row>
    <row r="4807" spans="1:9">
      <c r="A4807" s="21"/>
      <c r="B4807"/>
      <c r="F4807" s="87"/>
      <c r="H4807" s="87"/>
      <c r="I4807" s="89"/>
    </row>
    <row r="4808" spans="1:9">
      <c r="A4808" s="21"/>
      <c r="B4808"/>
      <c r="F4808" s="87"/>
      <c r="H4808" s="87"/>
      <c r="I4808" s="89"/>
    </row>
    <row r="4809" spans="1:9">
      <c r="A4809" s="21"/>
      <c r="B4809"/>
      <c r="F4809" s="87"/>
      <c r="H4809" s="87"/>
      <c r="I4809" s="89"/>
    </row>
    <row r="4810" spans="1:9">
      <c r="A4810" s="21"/>
      <c r="B4810"/>
      <c r="F4810" s="87"/>
      <c r="H4810" s="87"/>
      <c r="I4810" s="89"/>
    </row>
    <row r="4811" spans="1:9">
      <c r="A4811" s="21"/>
      <c r="B4811"/>
      <c r="F4811" s="87"/>
      <c r="H4811" s="87"/>
      <c r="I4811" s="89"/>
    </row>
    <row r="4812" spans="1:9">
      <c r="A4812" s="21"/>
      <c r="B4812"/>
      <c r="F4812" s="87"/>
      <c r="H4812" s="87"/>
      <c r="I4812" s="89"/>
    </row>
    <row r="4813" spans="1:9">
      <c r="A4813" s="21"/>
      <c r="B4813"/>
      <c r="F4813" s="87"/>
      <c r="H4813" s="87"/>
      <c r="I4813" s="89"/>
    </row>
    <row r="4814" spans="1:9">
      <c r="A4814" s="21"/>
      <c r="B4814"/>
      <c r="F4814" s="87"/>
      <c r="H4814" s="87"/>
      <c r="I4814" s="89"/>
    </row>
    <row r="4815" spans="1:9">
      <c r="A4815" s="21"/>
      <c r="B4815"/>
      <c r="F4815" s="87"/>
      <c r="H4815" s="87"/>
      <c r="I4815" s="89"/>
    </row>
    <row r="4816" spans="1:9">
      <c r="A4816" s="21"/>
      <c r="B4816"/>
      <c r="F4816" s="87"/>
      <c r="H4816" s="87"/>
      <c r="I4816" s="89"/>
    </row>
    <row r="4817" spans="1:9">
      <c r="A4817" s="21"/>
      <c r="B4817"/>
      <c r="F4817" s="87"/>
      <c r="H4817" s="87"/>
      <c r="I4817" s="89"/>
    </row>
    <row r="4818" spans="1:9">
      <c r="A4818" s="21"/>
      <c r="B4818"/>
      <c r="F4818" s="87"/>
      <c r="H4818" s="87"/>
      <c r="I4818" s="89"/>
    </row>
    <row r="4819" spans="1:9">
      <c r="A4819" s="21"/>
      <c r="B4819"/>
      <c r="F4819" s="87"/>
      <c r="H4819" s="87"/>
      <c r="I4819" s="89"/>
    </row>
    <row r="4820" spans="1:9">
      <c r="A4820" s="21"/>
      <c r="B4820"/>
      <c r="F4820" s="87"/>
      <c r="H4820" s="87"/>
      <c r="I4820" s="89"/>
    </row>
    <row r="4821" spans="1:9">
      <c r="A4821" s="21"/>
      <c r="B4821"/>
      <c r="F4821" s="87"/>
      <c r="H4821" s="87"/>
      <c r="I4821" s="89"/>
    </row>
    <row r="4822" spans="1:9">
      <c r="A4822" s="21"/>
      <c r="B4822"/>
      <c r="F4822" s="87"/>
      <c r="H4822" s="87"/>
      <c r="I4822" s="89"/>
    </row>
    <row r="4823" spans="1:9">
      <c r="A4823" s="21"/>
      <c r="B4823"/>
      <c r="F4823" s="87"/>
      <c r="H4823" s="87"/>
      <c r="I4823" s="89"/>
    </row>
    <row r="4824" spans="1:9">
      <c r="A4824" s="21"/>
      <c r="B4824"/>
      <c r="F4824" s="87"/>
      <c r="H4824" s="87"/>
      <c r="I4824" s="89"/>
    </row>
    <row r="4825" spans="1:9">
      <c r="A4825" s="21"/>
      <c r="B4825"/>
      <c r="F4825" s="87"/>
      <c r="H4825" s="87"/>
      <c r="I4825" s="89"/>
    </row>
    <row r="4826" spans="1:9">
      <c r="A4826" s="21"/>
      <c r="B4826"/>
      <c r="F4826" s="87"/>
      <c r="H4826" s="87"/>
      <c r="I4826" s="89"/>
    </row>
    <row r="4827" spans="1:9">
      <c r="A4827" s="21"/>
      <c r="B4827"/>
      <c r="F4827" s="87"/>
      <c r="H4827" s="87"/>
      <c r="I4827" s="89"/>
    </row>
    <row r="4828" spans="1:9">
      <c r="A4828" s="21"/>
      <c r="B4828"/>
      <c r="F4828" s="87"/>
      <c r="H4828" s="87"/>
      <c r="I4828" s="89"/>
    </row>
    <row r="4829" spans="1:9">
      <c r="A4829" s="21"/>
      <c r="B4829"/>
      <c r="F4829" s="87"/>
      <c r="H4829" s="87"/>
      <c r="I4829" s="89"/>
    </row>
    <row r="4830" spans="1:9">
      <c r="A4830" s="21"/>
      <c r="B4830"/>
      <c r="F4830" s="87"/>
      <c r="H4830" s="87"/>
      <c r="I4830" s="89"/>
    </row>
    <row r="4831" spans="1:9">
      <c r="A4831" s="21"/>
      <c r="B4831"/>
      <c r="F4831" s="87"/>
      <c r="H4831" s="87"/>
      <c r="I4831" s="89"/>
    </row>
    <row r="4832" spans="1:9">
      <c r="A4832" s="21"/>
      <c r="B4832"/>
      <c r="F4832" s="87"/>
      <c r="H4832" s="87"/>
      <c r="I4832" s="89"/>
    </row>
    <row r="4833" spans="1:9">
      <c r="A4833" s="21"/>
      <c r="B4833"/>
      <c r="F4833" s="87"/>
      <c r="H4833" s="87"/>
      <c r="I4833" s="89"/>
    </row>
    <row r="4834" spans="1:9">
      <c r="A4834" s="21"/>
      <c r="B4834"/>
      <c r="F4834" s="87"/>
      <c r="H4834" s="87"/>
      <c r="I4834" s="89"/>
    </row>
    <row r="4835" spans="1:9">
      <c r="A4835" s="21"/>
      <c r="B4835"/>
      <c r="F4835" s="87"/>
      <c r="H4835" s="87"/>
      <c r="I4835" s="89"/>
    </row>
    <row r="4836" spans="1:9">
      <c r="A4836" s="21"/>
      <c r="B4836"/>
      <c r="F4836" s="87"/>
      <c r="H4836" s="87"/>
      <c r="I4836" s="89"/>
    </row>
    <row r="4837" spans="1:9">
      <c r="A4837" s="21"/>
      <c r="B4837"/>
      <c r="F4837" s="87"/>
      <c r="H4837" s="87"/>
      <c r="I4837" s="89"/>
    </row>
    <row r="4838" spans="1:9">
      <c r="A4838" s="21"/>
      <c r="B4838"/>
      <c r="F4838" s="87"/>
      <c r="H4838" s="87"/>
      <c r="I4838" s="89"/>
    </row>
    <row r="4839" spans="1:9">
      <c r="A4839" s="21"/>
      <c r="B4839"/>
      <c r="F4839" s="87"/>
      <c r="H4839" s="87"/>
      <c r="I4839" s="89"/>
    </row>
    <row r="4840" spans="1:9">
      <c r="A4840" s="21"/>
      <c r="B4840"/>
      <c r="F4840" s="87"/>
      <c r="H4840" s="87"/>
      <c r="I4840" s="89"/>
    </row>
    <row r="4841" spans="1:9">
      <c r="A4841" s="21"/>
      <c r="B4841"/>
      <c r="F4841" s="87"/>
      <c r="H4841" s="87"/>
      <c r="I4841" s="89"/>
    </row>
    <row r="4842" spans="1:9">
      <c r="A4842" s="21"/>
      <c r="B4842"/>
      <c r="F4842" s="87"/>
      <c r="H4842" s="87"/>
      <c r="I4842" s="89"/>
    </row>
    <row r="4843" spans="1:9">
      <c r="A4843" s="21"/>
      <c r="B4843"/>
      <c r="F4843" s="87"/>
      <c r="H4843" s="87"/>
      <c r="I4843" s="89"/>
    </row>
    <row r="4844" spans="1:9">
      <c r="A4844" s="21"/>
      <c r="B4844"/>
      <c r="F4844" s="87"/>
      <c r="H4844" s="87"/>
      <c r="I4844" s="89"/>
    </row>
    <row r="4845" spans="1:9">
      <c r="A4845" s="21"/>
      <c r="B4845"/>
      <c r="F4845" s="87"/>
      <c r="H4845" s="87"/>
      <c r="I4845" s="89"/>
    </row>
    <row r="4846" spans="1:9">
      <c r="A4846" s="21"/>
      <c r="B4846"/>
      <c r="F4846" s="87"/>
      <c r="H4846" s="87"/>
      <c r="I4846" s="89"/>
    </row>
    <row r="4847" spans="1:9">
      <c r="A4847" s="21"/>
      <c r="B4847"/>
      <c r="F4847" s="87"/>
      <c r="H4847" s="87"/>
      <c r="I4847" s="89"/>
    </row>
    <row r="4848" spans="1:9">
      <c r="A4848" s="21"/>
      <c r="B4848"/>
      <c r="F4848" s="87"/>
      <c r="H4848" s="87"/>
      <c r="I4848" s="89"/>
    </row>
    <row r="4849" spans="1:9">
      <c r="A4849" s="21"/>
      <c r="B4849"/>
      <c r="F4849" s="87"/>
      <c r="H4849" s="87"/>
      <c r="I4849" s="89"/>
    </row>
    <row r="4850" spans="1:9">
      <c r="A4850" s="21"/>
      <c r="B4850"/>
      <c r="F4850" s="87"/>
      <c r="H4850" s="87"/>
      <c r="I4850" s="89"/>
    </row>
    <row r="4851" spans="1:9">
      <c r="A4851" s="21"/>
      <c r="B4851"/>
      <c r="F4851" s="87"/>
      <c r="H4851" s="87"/>
      <c r="I4851" s="89"/>
    </row>
    <row r="4852" spans="1:9">
      <c r="A4852" s="21"/>
      <c r="B4852"/>
      <c r="F4852" s="87"/>
      <c r="H4852" s="87"/>
      <c r="I4852" s="89"/>
    </row>
    <row r="4853" spans="1:9">
      <c r="A4853" s="21"/>
      <c r="B4853"/>
      <c r="F4853" s="87"/>
      <c r="H4853" s="87"/>
      <c r="I4853" s="89"/>
    </row>
    <row r="4854" spans="1:9">
      <c r="A4854" s="21"/>
      <c r="B4854"/>
      <c r="F4854" s="87"/>
      <c r="H4854" s="87"/>
      <c r="I4854" s="89"/>
    </row>
    <row r="4855" spans="1:9">
      <c r="A4855" s="21"/>
      <c r="B4855"/>
      <c r="F4855" s="87"/>
      <c r="H4855" s="87"/>
      <c r="I4855" s="89"/>
    </row>
    <row r="4856" spans="1:9">
      <c r="A4856" s="21"/>
      <c r="B4856"/>
      <c r="F4856" s="87"/>
      <c r="H4856" s="87"/>
      <c r="I4856" s="89"/>
    </row>
    <row r="4857" spans="1:9">
      <c r="A4857" s="21"/>
      <c r="B4857"/>
      <c r="F4857" s="87"/>
      <c r="H4857" s="87"/>
      <c r="I4857" s="89"/>
    </row>
    <row r="4858" spans="1:9">
      <c r="A4858" s="21"/>
      <c r="B4858"/>
      <c r="F4858" s="87"/>
      <c r="H4858" s="87"/>
      <c r="I4858" s="89"/>
    </row>
    <row r="4859" spans="1:9">
      <c r="A4859" s="21"/>
      <c r="B4859"/>
      <c r="F4859" s="87"/>
      <c r="H4859" s="87"/>
      <c r="I4859" s="89"/>
    </row>
    <row r="4860" spans="1:9">
      <c r="A4860" s="21"/>
      <c r="B4860"/>
      <c r="F4860" s="87"/>
      <c r="H4860" s="87"/>
      <c r="I4860" s="89"/>
    </row>
    <row r="4861" spans="1:9">
      <c r="A4861" s="21"/>
      <c r="B4861"/>
      <c r="F4861" s="87"/>
      <c r="H4861" s="87"/>
      <c r="I4861" s="89"/>
    </row>
    <row r="4862" spans="1:9">
      <c r="A4862" s="21"/>
      <c r="B4862"/>
      <c r="F4862" s="87"/>
      <c r="H4862" s="87"/>
      <c r="I4862" s="89"/>
    </row>
    <row r="4863" spans="1:9">
      <c r="A4863" s="21"/>
      <c r="B4863"/>
      <c r="F4863" s="87"/>
      <c r="H4863" s="87"/>
      <c r="I4863" s="89"/>
    </row>
    <row r="4864" spans="1:9">
      <c r="A4864" s="21"/>
      <c r="B4864"/>
      <c r="F4864" s="87"/>
      <c r="H4864" s="87"/>
      <c r="I4864" s="89"/>
    </row>
    <row r="4865" spans="1:9">
      <c r="A4865" s="21"/>
      <c r="B4865"/>
      <c r="F4865" s="87"/>
      <c r="H4865" s="87"/>
      <c r="I4865" s="89"/>
    </row>
    <row r="4866" spans="1:9">
      <c r="A4866" s="21"/>
      <c r="B4866"/>
      <c r="F4866" s="87"/>
      <c r="H4866" s="87"/>
      <c r="I4866" s="89"/>
    </row>
    <row r="4867" spans="1:9">
      <c r="A4867" s="21"/>
      <c r="B4867"/>
      <c r="F4867" s="87"/>
      <c r="H4867" s="87"/>
      <c r="I4867" s="89"/>
    </row>
    <row r="4868" spans="1:9">
      <c r="A4868" s="21"/>
      <c r="B4868"/>
      <c r="F4868" s="87"/>
      <c r="H4868" s="87"/>
      <c r="I4868" s="89"/>
    </row>
    <row r="4869" spans="1:9">
      <c r="A4869" s="21"/>
      <c r="B4869"/>
      <c r="F4869" s="87"/>
      <c r="H4869" s="87"/>
      <c r="I4869" s="89"/>
    </row>
    <row r="4870" spans="1:9">
      <c r="A4870" s="21"/>
      <c r="B4870"/>
      <c r="F4870" s="87"/>
      <c r="H4870" s="87"/>
      <c r="I4870" s="89"/>
    </row>
    <row r="4871" spans="1:9">
      <c r="A4871" s="21"/>
      <c r="B4871"/>
      <c r="F4871" s="87"/>
      <c r="H4871" s="87"/>
      <c r="I4871" s="89"/>
    </row>
    <row r="4872" spans="1:9">
      <c r="A4872" s="21"/>
      <c r="B4872"/>
      <c r="F4872" s="87"/>
      <c r="H4872" s="87"/>
      <c r="I4872" s="89"/>
    </row>
    <row r="4873" spans="1:9">
      <c r="A4873" s="21"/>
      <c r="B4873"/>
      <c r="F4873" s="87"/>
      <c r="H4873" s="87"/>
      <c r="I4873" s="89"/>
    </row>
    <row r="4874" spans="1:9">
      <c r="A4874" s="21"/>
      <c r="B4874"/>
      <c r="F4874" s="87"/>
      <c r="H4874" s="87"/>
      <c r="I4874" s="89"/>
    </row>
    <row r="4875" spans="1:9">
      <c r="A4875" s="21"/>
      <c r="B4875"/>
      <c r="F4875" s="87"/>
      <c r="H4875" s="87"/>
      <c r="I4875" s="89"/>
    </row>
    <row r="4876" spans="1:9">
      <c r="A4876" s="21"/>
      <c r="B4876"/>
      <c r="F4876" s="87"/>
      <c r="H4876" s="87"/>
      <c r="I4876" s="89"/>
    </row>
    <row r="4877" spans="1:9">
      <c r="A4877" s="21"/>
      <c r="B4877"/>
      <c r="F4877" s="87"/>
      <c r="H4877" s="87"/>
      <c r="I4877" s="89"/>
    </row>
    <row r="4878" spans="1:9">
      <c r="A4878" s="21"/>
      <c r="B4878"/>
      <c r="F4878" s="87"/>
      <c r="H4878" s="87"/>
      <c r="I4878" s="89"/>
    </row>
    <row r="4879" spans="1:9">
      <c r="A4879" s="21"/>
      <c r="B4879"/>
      <c r="F4879" s="87"/>
      <c r="H4879" s="87"/>
      <c r="I4879" s="89"/>
    </row>
    <row r="4880" spans="1:9">
      <c r="A4880" s="21"/>
      <c r="B4880"/>
      <c r="F4880" s="87"/>
      <c r="H4880" s="87"/>
      <c r="I4880" s="89"/>
    </row>
    <row r="4881" spans="1:9">
      <c r="A4881" s="21"/>
      <c r="B4881"/>
      <c r="F4881" s="87"/>
      <c r="H4881" s="87"/>
      <c r="I4881" s="89"/>
    </row>
    <row r="4882" spans="1:9">
      <c r="A4882" s="21"/>
      <c r="B4882"/>
      <c r="F4882" s="87"/>
      <c r="H4882" s="87"/>
      <c r="I4882" s="89"/>
    </row>
    <row r="4883" spans="1:9">
      <c r="A4883" s="21"/>
      <c r="B4883"/>
      <c r="F4883" s="87"/>
      <c r="H4883" s="87"/>
      <c r="I4883" s="89"/>
    </row>
    <row r="4884" spans="1:9">
      <c r="A4884" s="21"/>
      <c r="B4884"/>
      <c r="F4884" s="87"/>
      <c r="H4884" s="87"/>
      <c r="I4884" s="89"/>
    </row>
    <row r="4885" spans="1:9">
      <c r="A4885" s="21"/>
      <c r="B4885"/>
      <c r="F4885" s="87"/>
      <c r="H4885" s="87"/>
      <c r="I4885" s="89"/>
    </row>
    <row r="4886" spans="1:9">
      <c r="A4886" s="21"/>
      <c r="B4886"/>
      <c r="F4886" s="87"/>
      <c r="H4886" s="87"/>
      <c r="I4886" s="89"/>
    </row>
    <row r="4887" spans="1:9">
      <c r="A4887" s="21"/>
      <c r="B4887"/>
      <c r="F4887" s="87"/>
      <c r="H4887" s="87"/>
      <c r="I4887" s="89"/>
    </row>
    <row r="4888" spans="1:9">
      <c r="A4888" s="21"/>
      <c r="B4888"/>
      <c r="F4888" s="87"/>
      <c r="H4888" s="87"/>
      <c r="I4888" s="89"/>
    </row>
    <row r="4889" spans="1:9">
      <c r="A4889" s="21"/>
      <c r="B4889"/>
      <c r="F4889" s="87"/>
      <c r="H4889" s="87"/>
      <c r="I4889" s="89"/>
    </row>
    <row r="4890" spans="1:9">
      <c r="A4890" s="21"/>
      <c r="B4890"/>
      <c r="F4890" s="87"/>
      <c r="H4890" s="87"/>
      <c r="I4890" s="89"/>
    </row>
    <row r="4891" spans="1:9">
      <c r="A4891" s="21"/>
      <c r="B4891"/>
      <c r="F4891" s="87"/>
      <c r="H4891" s="87"/>
      <c r="I4891" s="89"/>
    </row>
    <row r="4892" spans="1:9">
      <c r="A4892" s="21"/>
      <c r="B4892"/>
      <c r="F4892" s="87"/>
      <c r="H4892" s="87"/>
      <c r="I4892" s="89"/>
    </row>
    <row r="4893" spans="1:9">
      <c r="A4893" s="21"/>
      <c r="B4893"/>
      <c r="F4893" s="87"/>
      <c r="H4893" s="87"/>
      <c r="I4893" s="89"/>
    </row>
    <row r="4894" spans="1:9">
      <c r="A4894" s="21"/>
      <c r="B4894"/>
      <c r="F4894" s="87"/>
      <c r="H4894" s="87"/>
      <c r="I4894" s="89"/>
    </row>
    <row r="4895" spans="1:9">
      <c r="A4895" s="21"/>
      <c r="B4895"/>
      <c r="F4895" s="87"/>
      <c r="H4895" s="87"/>
      <c r="I4895" s="89"/>
    </row>
    <row r="4896" spans="1:9">
      <c r="A4896" s="21"/>
      <c r="B4896"/>
      <c r="F4896" s="87"/>
      <c r="H4896" s="87"/>
      <c r="I4896" s="89"/>
    </row>
    <row r="4897" spans="1:9">
      <c r="A4897" s="21"/>
      <c r="B4897"/>
      <c r="F4897" s="87"/>
      <c r="H4897" s="87"/>
      <c r="I4897" s="89"/>
    </row>
    <row r="4898" spans="1:9">
      <c r="A4898" s="21"/>
      <c r="B4898"/>
      <c r="F4898" s="87"/>
      <c r="H4898" s="87"/>
      <c r="I4898" s="89"/>
    </row>
    <row r="4899" spans="1:9">
      <c r="A4899" s="21"/>
      <c r="B4899"/>
      <c r="F4899" s="87"/>
      <c r="H4899" s="87"/>
      <c r="I4899" s="89"/>
    </row>
    <row r="4900" spans="1:9">
      <c r="A4900" s="21"/>
      <c r="B4900"/>
      <c r="F4900" s="87"/>
      <c r="H4900" s="87"/>
      <c r="I4900" s="89"/>
    </row>
    <row r="4901" spans="1:9">
      <c r="A4901" s="21"/>
      <c r="B4901"/>
      <c r="F4901" s="87"/>
      <c r="H4901" s="87"/>
      <c r="I4901" s="89"/>
    </row>
    <row r="4902" spans="1:9">
      <c r="A4902" s="21"/>
      <c r="B4902"/>
      <c r="F4902" s="87"/>
      <c r="H4902" s="87"/>
      <c r="I4902" s="89"/>
    </row>
    <row r="4903" spans="1:9">
      <c r="A4903" s="21"/>
      <c r="B4903"/>
      <c r="F4903" s="87"/>
      <c r="H4903" s="87"/>
      <c r="I4903" s="89"/>
    </row>
    <row r="4904" spans="1:9">
      <c r="A4904" s="21"/>
      <c r="B4904"/>
      <c r="F4904" s="87"/>
      <c r="H4904" s="87"/>
      <c r="I4904" s="89"/>
    </row>
    <row r="4905" spans="1:9">
      <c r="A4905" s="21"/>
      <c r="B4905"/>
      <c r="F4905" s="87"/>
      <c r="H4905" s="87"/>
      <c r="I4905" s="89"/>
    </row>
    <row r="4906" spans="1:9">
      <c r="A4906" s="21"/>
      <c r="B4906"/>
      <c r="F4906" s="87"/>
      <c r="H4906" s="87"/>
      <c r="I4906" s="89"/>
    </row>
    <row r="4907" spans="1:9">
      <c r="A4907" s="21"/>
      <c r="B4907"/>
      <c r="F4907" s="87"/>
      <c r="H4907" s="87"/>
      <c r="I4907" s="89"/>
    </row>
    <row r="4908" spans="1:9">
      <c r="A4908" s="21"/>
      <c r="B4908"/>
      <c r="F4908" s="87"/>
      <c r="H4908" s="87"/>
      <c r="I4908" s="89"/>
    </row>
    <row r="4909" spans="1:9">
      <c r="A4909" s="21"/>
      <c r="B4909"/>
      <c r="F4909" s="87"/>
      <c r="H4909" s="87"/>
      <c r="I4909" s="89"/>
    </row>
    <row r="4910" spans="1:9">
      <c r="A4910" s="21"/>
      <c r="B4910"/>
      <c r="F4910" s="87"/>
      <c r="H4910" s="87"/>
      <c r="I4910" s="89"/>
    </row>
    <row r="4911" spans="1:9">
      <c r="A4911" s="21"/>
      <c r="B4911"/>
      <c r="F4911" s="87"/>
      <c r="H4911" s="87"/>
      <c r="I4911" s="89"/>
    </row>
    <row r="4912" spans="1:9">
      <c r="A4912" s="21"/>
      <c r="B4912"/>
      <c r="F4912" s="87"/>
      <c r="H4912" s="87"/>
      <c r="I4912" s="89"/>
    </row>
    <row r="4913" spans="1:9">
      <c r="A4913" s="21"/>
      <c r="B4913"/>
      <c r="F4913" s="87"/>
      <c r="H4913" s="87"/>
      <c r="I4913" s="89"/>
    </row>
    <row r="4914" spans="1:9">
      <c r="A4914" s="21"/>
      <c r="B4914"/>
      <c r="F4914" s="87"/>
      <c r="H4914" s="87"/>
      <c r="I4914" s="89"/>
    </row>
    <row r="4915" spans="1:9">
      <c r="A4915" s="21"/>
      <c r="B4915"/>
      <c r="F4915" s="87"/>
      <c r="H4915" s="87"/>
      <c r="I4915" s="89"/>
    </row>
    <row r="4916" spans="1:9">
      <c r="A4916" s="21"/>
      <c r="B4916"/>
      <c r="F4916" s="87"/>
      <c r="H4916" s="87"/>
      <c r="I4916" s="89"/>
    </row>
    <row r="4917" spans="1:9">
      <c r="A4917" s="21"/>
      <c r="B4917"/>
      <c r="F4917" s="87"/>
      <c r="H4917" s="87"/>
      <c r="I4917" s="89"/>
    </row>
    <row r="4918" spans="1:9">
      <c r="A4918" s="21"/>
      <c r="B4918"/>
      <c r="F4918" s="87"/>
      <c r="H4918" s="87"/>
      <c r="I4918" s="89"/>
    </row>
    <row r="4919" spans="1:9">
      <c r="A4919" s="21"/>
      <c r="B4919"/>
      <c r="F4919" s="87"/>
      <c r="H4919" s="87"/>
      <c r="I4919" s="89"/>
    </row>
    <row r="4920" spans="1:9">
      <c r="A4920" s="21"/>
      <c r="B4920"/>
      <c r="F4920" s="87"/>
      <c r="H4920" s="87"/>
      <c r="I4920" s="89"/>
    </row>
    <row r="4921" spans="1:9">
      <c r="A4921" s="21"/>
      <c r="B4921"/>
      <c r="F4921" s="87"/>
      <c r="H4921" s="87"/>
      <c r="I4921" s="89"/>
    </row>
    <row r="4922" spans="1:9">
      <c r="A4922" s="21"/>
      <c r="B4922"/>
      <c r="F4922" s="87"/>
      <c r="H4922" s="87"/>
      <c r="I4922" s="89"/>
    </row>
    <row r="4923" spans="1:9">
      <c r="A4923" s="21"/>
      <c r="B4923"/>
      <c r="F4923" s="87"/>
      <c r="H4923" s="87"/>
      <c r="I4923" s="89"/>
    </row>
    <row r="4924" spans="1:9">
      <c r="A4924" s="21"/>
      <c r="B4924"/>
      <c r="F4924" s="87"/>
      <c r="H4924" s="87"/>
      <c r="I4924" s="89"/>
    </row>
    <row r="4925" spans="1:9">
      <c r="A4925" s="21"/>
      <c r="B4925"/>
      <c r="F4925" s="87"/>
      <c r="H4925" s="87"/>
      <c r="I4925" s="89"/>
    </row>
    <row r="4926" spans="1:9">
      <c r="A4926" s="21"/>
      <c r="B4926"/>
      <c r="F4926" s="87"/>
      <c r="H4926" s="87"/>
      <c r="I4926" s="89"/>
    </row>
    <row r="4927" spans="1:9">
      <c r="A4927" s="21"/>
      <c r="B4927"/>
      <c r="F4927" s="87"/>
      <c r="H4927" s="87"/>
      <c r="I4927" s="89"/>
    </row>
    <row r="4928" spans="1:9">
      <c r="A4928" s="21"/>
      <c r="B4928"/>
      <c r="F4928" s="87"/>
      <c r="H4928" s="87"/>
      <c r="I4928" s="89"/>
    </row>
    <row r="4929" spans="1:9">
      <c r="A4929" s="21"/>
      <c r="B4929"/>
      <c r="F4929" s="87"/>
      <c r="H4929" s="87"/>
      <c r="I4929" s="89"/>
    </row>
    <row r="4930" spans="1:9">
      <c r="A4930" s="21"/>
      <c r="B4930"/>
      <c r="F4930" s="87"/>
      <c r="H4930" s="87"/>
      <c r="I4930" s="89"/>
    </row>
    <row r="4931" spans="1:9">
      <c r="A4931" s="21"/>
      <c r="B4931"/>
      <c r="F4931" s="87"/>
      <c r="H4931" s="87"/>
      <c r="I4931" s="89"/>
    </row>
    <row r="4932" spans="1:9">
      <c r="A4932" s="21"/>
      <c r="B4932"/>
      <c r="F4932" s="87"/>
      <c r="H4932" s="87"/>
      <c r="I4932" s="89"/>
    </row>
    <row r="4933" spans="1:9">
      <c r="A4933" s="21"/>
      <c r="B4933"/>
      <c r="F4933" s="87"/>
      <c r="H4933" s="87"/>
      <c r="I4933" s="89"/>
    </row>
    <row r="4934" spans="1:9">
      <c r="A4934" s="21"/>
      <c r="B4934"/>
      <c r="F4934" s="87"/>
      <c r="H4934" s="87"/>
      <c r="I4934" s="89"/>
    </row>
    <row r="4935" spans="1:9">
      <c r="A4935" s="21"/>
      <c r="B4935"/>
      <c r="F4935" s="87"/>
      <c r="H4935" s="87"/>
      <c r="I4935" s="89"/>
    </row>
    <row r="4936" spans="1:9">
      <c r="A4936" s="21"/>
      <c r="B4936"/>
      <c r="F4936" s="87"/>
      <c r="H4936" s="87"/>
      <c r="I4936" s="89"/>
    </row>
    <row r="4937" spans="1:9">
      <c r="A4937" s="21"/>
      <c r="B4937"/>
      <c r="F4937" s="87"/>
      <c r="H4937" s="87"/>
      <c r="I4937" s="89"/>
    </row>
    <row r="4938" spans="1:9">
      <c r="A4938" s="21"/>
      <c r="B4938"/>
      <c r="F4938" s="87"/>
      <c r="H4938" s="87"/>
      <c r="I4938" s="89"/>
    </row>
    <row r="4939" spans="1:9">
      <c r="A4939" s="21"/>
      <c r="B4939"/>
      <c r="F4939" s="87"/>
      <c r="H4939" s="87"/>
      <c r="I4939" s="89"/>
    </row>
    <row r="4940" spans="1:9">
      <c r="A4940" s="21"/>
      <c r="B4940"/>
      <c r="F4940" s="87"/>
      <c r="H4940" s="87"/>
      <c r="I4940" s="89"/>
    </row>
    <row r="4941" spans="1:9">
      <c r="A4941" s="21"/>
      <c r="B4941"/>
      <c r="F4941" s="87"/>
      <c r="H4941" s="87"/>
      <c r="I4941" s="89"/>
    </row>
    <row r="4942" spans="1:9">
      <c r="A4942" s="21"/>
      <c r="B4942"/>
      <c r="F4942" s="87"/>
      <c r="H4942" s="87"/>
      <c r="I4942" s="89"/>
    </row>
    <row r="4943" spans="1:9">
      <c r="A4943" s="21"/>
      <c r="B4943"/>
      <c r="F4943" s="87"/>
      <c r="H4943" s="87"/>
      <c r="I4943" s="89"/>
    </row>
    <row r="4944" spans="1:9">
      <c r="A4944" s="21"/>
      <c r="B4944"/>
      <c r="F4944" s="87"/>
      <c r="H4944" s="87"/>
      <c r="I4944" s="89"/>
    </row>
    <row r="4945" spans="1:9">
      <c r="A4945" s="21"/>
      <c r="B4945"/>
      <c r="F4945" s="87"/>
      <c r="H4945" s="87"/>
      <c r="I4945" s="89"/>
    </row>
    <row r="4946" spans="1:9">
      <c r="A4946" s="21"/>
      <c r="B4946"/>
      <c r="F4946" s="87"/>
      <c r="H4946" s="87"/>
      <c r="I4946" s="89"/>
    </row>
    <row r="4947" spans="1:9">
      <c r="A4947" s="21"/>
      <c r="B4947"/>
      <c r="F4947" s="87"/>
      <c r="H4947" s="87"/>
      <c r="I4947" s="89"/>
    </row>
    <row r="4948" spans="1:9">
      <c r="A4948" s="21"/>
      <c r="B4948"/>
      <c r="F4948" s="87"/>
      <c r="H4948" s="87"/>
      <c r="I4948" s="89"/>
    </row>
    <row r="4949" spans="1:9">
      <c r="A4949" s="21"/>
      <c r="B4949"/>
      <c r="F4949" s="87"/>
      <c r="H4949" s="87"/>
      <c r="I4949" s="89"/>
    </row>
    <row r="4950" spans="1:9">
      <c r="A4950" s="21"/>
      <c r="B4950"/>
      <c r="F4950" s="87"/>
      <c r="H4950" s="87"/>
      <c r="I4950" s="89"/>
    </row>
    <row r="4951" spans="1:9">
      <c r="A4951" s="21"/>
      <c r="B4951"/>
      <c r="F4951" s="87"/>
      <c r="H4951" s="87"/>
      <c r="I4951" s="89"/>
    </row>
    <row r="4952" spans="1:9">
      <c r="A4952" s="21"/>
      <c r="B4952"/>
      <c r="F4952" s="87"/>
      <c r="H4952" s="87"/>
      <c r="I4952" s="89"/>
    </row>
    <row r="4953" spans="1:9">
      <c r="A4953" s="21"/>
      <c r="B4953"/>
      <c r="F4953" s="87"/>
      <c r="H4953" s="87"/>
      <c r="I4953" s="89"/>
    </row>
    <row r="4954" spans="1:9">
      <c r="A4954" s="21"/>
      <c r="B4954"/>
      <c r="F4954" s="87"/>
      <c r="H4954" s="87"/>
      <c r="I4954" s="89"/>
    </row>
    <row r="4955" spans="1:9">
      <c r="A4955" s="21"/>
      <c r="B4955"/>
      <c r="F4955" s="87"/>
      <c r="H4955" s="87"/>
      <c r="I4955" s="89"/>
    </row>
    <row r="4956" spans="1:9">
      <c r="A4956" s="21"/>
      <c r="B4956"/>
      <c r="F4956" s="87"/>
      <c r="H4956" s="87"/>
      <c r="I4956" s="89"/>
    </row>
    <row r="4957" spans="1:9">
      <c r="A4957" s="21"/>
      <c r="B4957"/>
      <c r="F4957" s="87"/>
      <c r="H4957" s="87"/>
      <c r="I4957" s="89"/>
    </row>
    <row r="4958" spans="1:9">
      <c r="A4958" s="21"/>
      <c r="B4958"/>
      <c r="F4958" s="87"/>
      <c r="H4958" s="87"/>
      <c r="I4958" s="89"/>
    </row>
    <row r="4959" spans="1:9">
      <c r="A4959" s="21"/>
      <c r="B4959"/>
      <c r="F4959" s="87"/>
      <c r="H4959" s="87"/>
      <c r="I4959" s="89"/>
    </row>
    <row r="4960" spans="1:9">
      <c r="A4960" s="21"/>
      <c r="B4960"/>
      <c r="F4960" s="87"/>
      <c r="H4960" s="87"/>
      <c r="I4960" s="89"/>
    </row>
    <row r="4961" spans="1:9">
      <c r="A4961" s="21"/>
      <c r="B4961"/>
      <c r="F4961" s="87"/>
      <c r="H4961" s="87"/>
      <c r="I4961" s="89"/>
    </row>
    <row r="4962" spans="1:9">
      <c r="A4962" s="21"/>
      <c r="B4962"/>
      <c r="F4962" s="87"/>
      <c r="H4962" s="87"/>
      <c r="I4962" s="89"/>
    </row>
    <row r="4963" spans="1:9">
      <c r="A4963" s="21"/>
      <c r="B4963"/>
      <c r="F4963" s="87"/>
      <c r="H4963" s="87"/>
      <c r="I4963" s="89"/>
    </row>
    <row r="4964" spans="1:9">
      <c r="A4964" s="21"/>
      <c r="B4964"/>
      <c r="F4964" s="87"/>
      <c r="H4964" s="87"/>
      <c r="I4964" s="89"/>
    </row>
    <row r="4965" spans="1:9">
      <c r="A4965" s="21"/>
      <c r="B4965"/>
      <c r="F4965" s="87"/>
      <c r="H4965" s="87"/>
      <c r="I4965" s="89"/>
    </row>
    <row r="4966" spans="1:9">
      <c r="A4966" s="21"/>
      <c r="B4966"/>
      <c r="F4966" s="87"/>
      <c r="H4966" s="87"/>
      <c r="I4966" s="89"/>
    </row>
    <row r="4967" spans="1:9">
      <c r="A4967" s="21"/>
      <c r="B4967"/>
      <c r="F4967" s="87"/>
      <c r="H4967" s="87"/>
      <c r="I4967" s="89"/>
    </row>
    <row r="4968" spans="1:9">
      <c r="A4968" s="21"/>
      <c r="B4968"/>
      <c r="F4968" s="87"/>
      <c r="H4968" s="87"/>
      <c r="I4968" s="89"/>
    </row>
    <row r="4969" spans="1:9">
      <c r="A4969" s="21"/>
      <c r="B4969"/>
      <c r="F4969" s="87"/>
      <c r="H4969" s="87"/>
      <c r="I4969" s="89"/>
    </row>
    <row r="4970" spans="1:9">
      <c r="A4970" s="21"/>
      <c r="B4970"/>
      <c r="F4970" s="87"/>
      <c r="H4970" s="87"/>
      <c r="I4970" s="89"/>
    </row>
    <row r="4971" spans="1:9">
      <c r="A4971" s="21"/>
      <c r="B4971"/>
      <c r="F4971" s="87"/>
      <c r="H4971" s="87"/>
      <c r="I4971" s="89"/>
    </row>
    <row r="4972" spans="1:9">
      <c r="A4972" s="21"/>
      <c r="B4972"/>
      <c r="F4972" s="87"/>
      <c r="H4972" s="87"/>
      <c r="I4972" s="89"/>
    </row>
    <row r="4973" spans="1:9">
      <c r="A4973" s="21"/>
      <c r="B4973"/>
      <c r="F4973" s="87"/>
      <c r="H4973" s="87"/>
      <c r="I4973" s="89"/>
    </row>
    <row r="4974" spans="1:9">
      <c r="A4974" s="21"/>
      <c r="B4974"/>
      <c r="F4974" s="87"/>
      <c r="H4974" s="87"/>
      <c r="I4974" s="89"/>
    </row>
    <row r="4975" spans="1:9">
      <c r="A4975" s="21"/>
      <c r="B4975"/>
      <c r="F4975" s="87"/>
      <c r="H4975" s="87"/>
      <c r="I4975" s="89"/>
    </row>
    <row r="4976" spans="1:9">
      <c r="A4976" s="21"/>
      <c r="B4976"/>
      <c r="F4976" s="87"/>
      <c r="H4976" s="87"/>
      <c r="I4976" s="89"/>
    </row>
    <row r="4977" spans="1:9">
      <c r="A4977" s="21"/>
      <c r="B4977"/>
      <c r="F4977" s="87"/>
      <c r="H4977" s="87"/>
      <c r="I4977" s="89"/>
    </row>
    <row r="4978" spans="1:9">
      <c r="A4978" s="21"/>
      <c r="B4978"/>
      <c r="F4978" s="87"/>
      <c r="H4978" s="87"/>
      <c r="I4978" s="89"/>
    </row>
    <row r="4979" spans="1:9">
      <c r="A4979" s="21"/>
      <c r="B4979"/>
      <c r="F4979" s="87"/>
      <c r="H4979" s="87"/>
      <c r="I4979" s="89"/>
    </row>
    <row r="4980" spans="1:9">
      <c r="A4980" s="21"/>
      <c r="B4980"/>
      <c r="F4980" s="87"/>
      <c r="H4980" s="87"/>
      <c r="I4980" s="89"/>
    </row>
    <row r="4981" spans="1:9">
      <c r="A4981" s="21"/>
      <c r="B4981"/>
      <c r="F4981" s="87"/>
      <c r="H4981" s="87"/>
      <c r="I4981" s="89"/>
    </row>
    <row r="4982" spans="1:9">
      <c r="A4982" s="21"/>
      <c r="B4982"/>
      <c r="F4982" s="87"/>
      <c r="H4982" s="87"/>
      <c r="I4982" s="89"/>
    </row>
    <row r="4983" spans="1:9">
      <c r="A4983" s="21"/>
      <c r="B4983"/>
      <c r="F4983" s="87"/>
      <c r="H4983" s="87"/>
      <c r="I4983" s="89"/>
    </row>
    <row r="4984" spans="1:9">
      <c r="A4984" s="21"/>
      <c r="B4984"/>
      <c r="F4984" s="87"/>
      <c r="H4984" s="87"/>
      <c r="I4984" s="89"/>
    </row>
    <row r="4985" spans="1:9">
      <c r="A4985" s="21"/>
      <c r="B4985"/>
      <c r="F4985" s="87"/>
      <c r="H4985" s="87"/>
      <c r="I4985" s="89"/>
    </row>
    <row r="4986" spans="1:9">
      <c r="A4986" s="21"/>
      <c r="B4986"/>
      <c r="F4986" s="87"/>
      <c r="H4986" s="87"/>
      <c r="I4986" s="89"/>
    </row>
    <row r="4987" spans="1:9">
      <c r="A4987" s="21"/>
      <c r="B4987"/>
      <c r="F4987" s="87"/>
      <c r="H4987" s="87"/>
      <c r="I4987" s="89"/>
    </row>
    <row r="4988" spans="1:9">
      <c r="A4988" s="21"/>
      <c r="B4988"/>
      <c r="F4988" s="87"/>
      <c r="H4988" s="87"/>
      <c r="I4988" s="89"/>
    </row>
    <row r="4989" spans="1:9">
      <c r="A4989" s="21"/>
      <c r="B4989"/>
      <c r="F4989" s="87"/>
      <c r="H4989" s="87"/>
      <c r="I4989" s="89"/>
    </row>
    <row r="4990" spans="1:9">
      <c r="A4990" s="21"/>
      <c r="B4990"/>
      <c r="F4990" s="87"/>
      <c r="H4990" s="87"/>
      <c r="I4990" s="89"/>
    </row>
    <row r="4991" spans="1:9">
      <c r="A4991" s="21"/>
      <c r="B4991"/>
      <c r="F4991" s="87"/>
      <c r="H4991" s="87"/>
      <c r="I4991" s="89"/>
    </row>
    <row r="4992" spans="1:9">
      <c r="A4992" s="21"/>
      <c r="B4992"/>
      <c r="F4992" s="87"/>
      <c r="H4992" s="87"/>
      <c r="I4992" s="89"/>
    </row>
    <row r="4993" spans="1:9">
      <c r="A4993" s="21"/>
      <c r="B4993"/>
      <c r="F4993" s="87"/>
      <c r="H4993" s="87"/>
      <c r="I4993" s="89"/>
    </row>
    <row r="4994" spans="1:9">
      <c r="A4994" s="21"/>
      <c r="B4994"/>
      <c r="F4994" s="87"/>
      <c r="H4994" s="87"/>
      <c r="I4994" s="89"/>
    </row>
    <row r="4995" spans="1:9">
      <c r="A4995" s="21"/>
      <c r="B4995"/>
      <c r="F4995" s="87"/>
      <c r="H4995" s="87"/>
      <c r="I4995" s="89"/>
    </row>
    <row r="4996" spans="1:9">
      <c r="A4996" s="21"/>
      <c r="B4996"/>
      <c r="F4996" s="87"/>
      <c r="H4996" s="87"/>
      <c r="I4996" s="89"/>
    </row>
    <row r="4997" spans="1:9">
      <c r="A4997" s="21"/>
      <c r="B4997"/>
      <c r="F4997" s="87"/>
      <c r="H4997" s="87"/>
      <c r="I4997" s="89"/>
    </row>
    <row r="4998" spans="1:9">
      <c r="A4998" s="21"/>
      <c r="B4998"/>
      <c r="F4998" s="87"/>
      <c r="H4998" s="87"/>
      <c r="I4998" s="89"/>
    </row>
    <row r="4999" spans="1:9">
      <c r="A4999" s="21"/>
      <c r="B4999"/>
      <c r="F4999" s="87"/>
      <c r="H4999" s="87"/>
      <c r="I4999" s="89"/>
    </row>
    <row r="5000" spans="1:9">
      <c r="A5000" s="21"/>
      <c r="B5000"/>
      <c r="F5000" s="87"/>
      <c r="H5000" s="87"/>
      <c r="I5000" s="89"/>
    </row>
    <row r="5001" spans="1:9">
      <c r="A5001" s="21"/>
      <c r="B5001"/>
      <c r="F5001" s="87"/>
      <c r="H5001" s="87"/>
      <c r="I5001" s="89"/>
    </row>
    <row r="5002" spans="1:9">
      <c r="A5002" s="21"/>
      <c r="B5002"/>
      <c r="F5002" s="87"/>
      <c r="H5002" s="87"/>
      <c r="I5002" s="89"/>
    </row>
    <row r="5003" spans="1:9">
      <c r="A5003" s="21"/>
      <c r="B5003"/>
      <c r="F5003" s="87"/>
      <c r="H5003" s="87"/>
      <c r="I5003" s="89"/>
    </row>
    <row r="5004" spans="1:9">
      <c r="A5004" s="21"/>
      <c r="B5004"/>
      <c r="F5004" s="87"/>
      <c r="H5004" s="87"/>
      <c r="I5004" s="89"/>
    </row>
    <row r="5005" spans="1:9">
      <c r="A5005" s="21"/>
      <c r="B5005"/>
      <c r="F5005" s="87"/>
      <c r="H5005" s="87"/>
      <c r="I5005" s="89"/>
    </row>
    <row r="5006" spans="1:9">
      <c r="A5006" s="21"/>
      <c r="B5006"/>
      <c r="F5006" s="87"/>
      <c r="H5006" s="87"/>
      <c r="I5006" s="89"/>
    </row>
    <row r="5007" spans="1:9">
      <c r="A5007" s="21"/>
      <c r="B5007"/>
      <c r="F5007" s="87"/>
      <c r="H5007" s="87"/>
      <c r="I5007" s="89"/>
    </row>
    <row r="5008" spans="1:9">
      <c r="A5008" s="21"/>
      <c r="B5008"/>
      <c r="F5008" s="87"/>
      <c r="H5008" s="87"/>
      <c r="I5008" s="89"/>
    </row>
    <row r="5009" spans="1:9">
      <c r="A5009" s="21"/>
      <c r="B5009"/>
      <c r="F5009" s="87"/>
      <c r="H5009" s="87"/>
      <c r="I5009" s="89"/>
    </row>
    <row r="5010" spans="1:9">
      <c r="A5010" s="21"/>
      <c r="B5010"/>
      <c r="F5010" s="87"/>
      <c r="H5010" s="87"/>
      <c r="I5010" s="89"/>
    </row>
    <row r="5011" spans="1:9">
      <c r="A5011" s="21"/>
      <c r="B5011"/>
      <c r="F5011" s="87"/>
      <c r="H5011" s="87"/>
      <c r="I5011" s="89"/>
    </row>
    <row r="5012" spans="1:9">
      <c r="A5012" s="21"/>
      <c r="B5012"/>
      <c r="F5012" s="87"/>
      <c r="H5012" s="87"/>
      <c r="I5012" s="89"/>
    </row>
    <row r="5013" spans="1:9">
      <c r="A5013" s="21"/>
      <c r="B5013"/>
      <c r="F5013" s="87"/>
      <c r="H5013" s="87"/>
      <c r="I5013" s="89"/>
    </row>
    <row r="5014" spans="1:9">
      <c r="A5014" s="21"/>
      <c r="B5014"/>
      <c r="F5014" s="87"/>
      <c r="H5014" s="87"/>
      <c r="I5014" s="89"/>
    </row>
    <row r="5015" spans="1:9">
      <c r="A5015" s="21"/>
      <c r="B5015"/>
      <c r="F5015" s="87"/>
      <c r="H5015" s="87"/>
      <c r="I5015" s="89"/>
    </row>
    <row r="5016" spans="1:9">
      <c r="A5016" s="21"/>
      <c r="B5016"/>
      <c r="F5016" s="87"/>
      <c r="H5016" s="87"/>
      <c r="I5016" s="89"/>
    </row>
    <row r="5017" spans="1:9">
      <c r="A5017" s="21"/>
      <c r="B5017"/>
      <c r="F5017" s="87"/>
      <c r="H5017" s="87"/>
      <c r="I5017" s="89"/>
    </row>
    <row r="5018" spans="1:9">
      <c r="A5018" s="21"/>
      <c r="B5018"/>
      <c r="F5018" s="87"/>
      <c r="H5018" s="87"/>
      <c r="I5018" s="89"/>
    </row>
    <row r="5019" spans="1:9">
      <c r="A5019" s="21"/>
      <c r="B5019"/>
      <c r="F5019" s="87"/>
      <c r="H5019" s="87"/>
      <c r="I5019" s="89"/>
    </row>
    <row r="5020" spans="1:9">
      <c r="A5020" s="21"/>
      <c r="B5020"/>
      <c r="F5020" s="87"/>
      <c r="H5020" s="87"/>
      <c r="I5020" s="89"/>
    </row>
    <row r="5021" spans="1:9">
      <c r="A5021" s="21"/>
      <c r="B5021"/>
      <c r="F5021" s="87"/>
      <c r="H5021" s="87"/>
      <c r="I5021" s="89"/>
    </row>
    <row r="5022" spans="1:9">
      <c r="A5022" s="21"/>
      <c r="B5022"/>
      <c r="F5022" s="87"/>
      <c r="H5022" s="87"/>
      <c r="I5022" s="89"/>
    </row>
    <row r="5023" spans="1:9">
      <c r="A5023" s="21"/>
      <c r="B5023"/>
      <c r="F5023" s="87"/>
      <c r="H5023" s="87"/>
      <c r="I5023" s="89"/>
    </row>
    <row r="5024" spans="1:9">
      <c r="A5024" s="21"/>
      <c r="B5024"/>
      <c r="F5024" s="87"/>
      <c r="H5024" s="87"/>
      <c r="I5024" s="89"/>
    </row>
    <row r="5025" spans="1:9">
      <c r="A5025" s="21"/>
      <c r="B5025"/>
      <c r="F5025" s="87"/>
      <c r="H5025" s="87"/>
      <c r="I5025" s="89"/>
    </row>
    <row r="5026" spans="1:9">
      <c r="A5026" s="21"/>
      <c r="B5026"/>
      <c r="F5026" s="87"/>
      <c r="H5026" s="87"/>
      <c r="I5026" s="89"/>
    </row>
    <row r="5027" spans="1:9">
      <c r="A5027" s="21"/>
      <c r="B5027"/>
      <c r="F5027" s="87"/>
      <c r="H5027" s="87"/>
      <c r="I5027" s="89"/>
    </row>
    <row r="5028" spans="1:9">
      <c r="A5028" s="21"/>
      <c r="B5028"/>
      <c r="F5028" s="87"/>
      <c r="H5028" s="87"/>
      <c r="I5028" s="89"/>
    </row>
    <row r="5029" spans="1:9">
      <c r="A5029" s="21"/>
      <c r="B5029"/>
      <c r="F5029" s="87"/>
      <c r="H5029" s="87"/>
      <c r="I5029" s="89"/>
    </row>
    <row r="5030" spans="1:9">
      <c r="A5030" s="21"/>
      <c r="B5030"/>
      <c r="F5030" s="87"/>
      <c r="H5030" s="87"/>
      <c r="I5030" s="89"/>
    </row>
    <row r="5031" spans="1:9">
      <c r="A5031" s="21"/>
      <c r="B5031"/>
      <c r="F5031" s="87"/>
      <c r="H5031" s="87"/>
      <c r="I5031" s="89"/>
    </row>
    <row r="5032" spans="1:9">
      <c r="A5032" s="21"/>
      <c r="B5032"/>
      <c r="F5032" s="87"/>
      <c r="H5032" s="87"/>
      <c r="I5032" s="89"/>
    </row>
    <row r="5033" spans="1:9">
      <c r="A5033" s="21"/>
      <c r="B5033"/>
      <c r="F5033" s="87"/>
      <c r="H5033" s="87"/>
      <c r="I5033" s="89"/>
    </row>
    <row r="5034" spans="1:9">
      <c r="A5034" s="21"/>
      <c r="B5034"/>
      <c r="F5034" s="87"/>
      <c r="H5034" s="87"/>
      <c r="I5034" s="89"/>
    </row>
    <row r="5035" spans="1:9">
      <c r="A5035" s="21"/>
      <c r="B5035"/>
      <c r="F5035" s="87"/>
      <c r="H5035" s="87"/>
      <c r="I5035" s="89"/>
    </row>
    <row r="5036" spans="1:9">
      <c r="A5036" s="21"/>
      <c r="B5036"/>
      <c r="F5036" s="87"/>
      <c r="H5036" s="87"/>
      <c r="I5036" s="89"/>
    </row>
    <row r="5037" spans="1:9">
      <c r="A5037" s="21"/>
      <c r="B5037"/>
      <c r="F5037" s="87"/>
      <c r="H5037" s="87"/>
      <c r="I5037" s="89"/>
    </row>
    <row r="5038" spans="1:9">
      <c r="A5038" s="21"/>
      <c r="B5038"/>
      <c r="F5038" s="87"/>
      <c r="H5038" s="87"/>
      <c r="I5038" s="89"/>
    </row>
    <row r="5039" spans="1:9">
      <c r="A5039" s="21"/>
      <c r="B5039"/>
      <c r="F5039" s="87"/>
      <c r="H5039" s="87"/>
      <c r="I5039" s="89"/>
    </row>
    <row r="5040" spans="1:9">
      <c r="A5040" s="21"/>
      <c r="B5040"/>
      <c r="F5040" s="87"/>
      <c r="H5040" s="87"/>
      <c r="I5040" s="89"/>
    </row>
    <row r="5041" spans="1:9">
      <c r="A5041" s="21"/>
      <c r="B5041"/>
      <c r="F5041" s="87"/>
      <c r="H5041" s="87"/>
      <c r="I5041" s="89"/>
    </row>
    <row r="5042" spans="1:9">
      <c r="A5042" s="21"/>
      <c r="B5042"/>
      <c r="F5042" s="87"/>
      <c r="H5042" s="87"/>
      <c r="I5042" s="89"/>
    </row>
    <row r="5043" spans="1:9">
      <c r="A5043" s="21"/>
      <c r="B5043"/>
      <c r="F5043" s="87"/>
      <c r="H5043" s="87"/>
      <c r="I5043" s="89"/>
    </row>
    <row r="5044" spans="1:9">
      <c r="A5044" s="21"/>
      <c r="B5044"/>
      <c r="F5044" s="87"/>
      <c r="H5044" s="87"/>
      <c r="I5044" s="89"/>
    </row>
    <row r="5045" spans="1:9">
      <c r="A5045" s="21"/>
      <c r="B5045"/>
      <c r="F5045" s="87"/>
      <c r="H5045" s="87"/>
      <c r="I5045" s="89"/>
    </row>
    <row r="5046" spans="1:9">
      <c r="A5046" s="21"/>
      <c r="B5046"/>
      <c r="F5046" s="87"/>
      <c r="H5046" s="87"/>
      <c r="I5046" s="89"/>
    </row>
    <row r="5047" spans="1:9">
      <c r="A5047" s="21"/>
      <c r="B5047"/>
      <c r="F5047" s="87"/>
      <c r="H5047" s="87"/>
      <c r="I5047" s="89"/>
    </row>
    <row r="5048" spans="1:9">
      <c r="A5048" s="21"/>
      <c r="B5048"/>
      <c r="F5048" s="87"/>
      <c r="H5048" s="87"/>
      <c r="I5048" s="89"/>
    </row>
    <row r="5049" spans="1:9">
      <c r="A5049" s="21"/>
      <c r="B5049"/>
      <c r="F5049" s="87"/>
      <c r="H5049" s="87"/>
      <c r="I5049" s="89"/>
    </row>
    <row r="5050" spans="1:9">
      <c r="A5050" s="21"/>
      <c r="B5050"/>
      <c r="F5050" s="87"/>
      <c r="H5050" s="87"/>
      <c r="I5050" s="89"/>
    </row>
    <row r="5051" spans="1:9">
      <c r="A5051" s="21"/>
      <c r="B5051"/>
      <c r="F5051" s="87"/>
      <c r="H5051" s="87"/>
      <c r="I5051" s="89"/>
    </row>
    <row r="5052" spans="1:9">
      <c r="A5052" s="21"/>
      <c r="B5052"/>
      <c r="F5052" s="87"/>
      <c r="H5052" s="87"/>
      <c r="I5052" s="89"/>
    </row>
    <row r="5053" spans="1:9">
      <c r="A5053" s="21"/>
      <c r="B5053"/>
      <c r="F5053" s="87"/>
      <c r="H5053" s="87"/>
      <c r="I5053" s="89"/>
    </row>
    <row r="5054" spans="1:9">
      <c r="A5054" s="21"/>
      <c r="B5054"/>
      <c r="F5054" s="87"/>
      <c r="H5054" s="87"/>
      <c r="I5054" s="89"/>
    </row>
    <row r="5055" spans="1:9">
      <c r="A5055" s="21"/>
      <c r="B5055"/>
      <c r="F5055" s="87"/>
      <c r="H5055" s="87"/>
      <c r="I5055" s="89"/>
    </row>
    <row r="5056" spans="1:9">
      <c r="A5056" s="21"/>
      <c r="B5056"/>
      <c r="F5056" s="87"/>
      <c r="H5056" s="87"/>
      <c r="I5056" s="89"/>
    </row>
    <row r="5057" spans="1:9">
      <c r="A5057" s="21"/>
      <c r="B5057"/>
      <c r="F5057" s="87"/>
      <c r="H5057" s="87"/>
      <c r="I5057" s="89"/>
    </row>
    <row r="5058" spans="1:9">
      <c r="A5058" s="21"/>
      <c r="B5058"/>
      <c r="F5058" s="87"/>
      <c r="H5058" s="87"/>
      <c r="I5058" s="89"/>
    </row>
    <row r="5059" spans="1:9">
      <c r="A5059" s="21"/>
      <c r="B5059"/>
      <c r="F5059" s="87"/>
      <c r="H5059" s="87"/>
      <c r="I5059" s="89"/>
    </row>
    <row r="5060" spans="1:9">
      <c r="A5060" s="21"/>
      <c r="B5060"/>
      <c r="F5060" s="87"/>
      <c r="H5060" s="87"/>
      <c r="I5060" s="89"/>
    </row>
    <row r="5061" spans="1:9">
      <c r="A5061" s="21"/>
      <c r="B5061"/>
      <c r="F5061" s="87"/>
      <c r="H5061" s="87"/>
      <c r="I5061" s="89"/>
    </row>
    <row r="5062" spans="1:9">
      <c r="A5062" s="21"/>
      <c r="B5062"/>
      <c r="F5062" s="87"/>
      <c r="H5062" s="87"/>
      <c r="I5062" s="89"/>
    </row>
    <row r="5063" spans="1:9">
      <c r="A5063" s="21"/>
      <c r="B5063"/>
      <c r="F5063" s="87"/>
      <c r="H5063" s="87"/>
      <c r="I5063" s="89"/>
    </row>
    <row r="5064" spans="1:9">
      <c r="A5064" s="21"/>
      <c r="B5064"/>
      <c r="F5064" s="87"/>
      <c r="H5064" s="87"/>
      <c r="I5064" s="89"/>
    </row>
    <row r="5065" spans="1:9">
      <c r="A5065" s="21"/>
      <c r="B5065"/>
      <c r="F5065" s="87"/>
      <c r="H5065" s="87"/>
      <c r="I5065" s="89"/>
    </row>
    <row r="5066" spans="1:9">
      <c r="A5066" s="21"/>
      <c r="B5066"/>
      <c r="F5066" s="87"/>
      <c r="H5066" s="87"/>
      <c r="I5066" s="89"/>
    </row>
    <row r="5067" spans="1:9">
      <c r="A5067" s="21"/>
      <c r="B5067"/>
      <c r="F5067" s="87"/>
      <c r="H5067" s="87"/>
      <c r="I5067" s="89"/>
    </row>
    <row r="5068" spans="1:9">
      <c r="A5068" s="21"/>
      <c r="B5068"/>
      <c r="F5068" s="87"/>
      <c r="H5068" s="87"/>
      <c r="I5068" s="89"/>
    </row>
    <row r="5069" spans="1:9">
      <c r="A5069" s="21"/>
      <c r="B5069"/>
      <c r="F5069" s="87"/>
      <c r="H5069" s="87"/>
      <c r="I5069" s="89"/>
    </row>
    <row r="5070" spans="1:9">
      <c r="A5070" s="21"/>
      <c r="B5070"/>
      <c r="F5070" s="87"/>
      <c r="H5070" s="87"/>
      <c r="I5070" s="89"/>
    </row>
    <row r="5071" spans="1:9">
      <c r="A5071" s="21"/>
      <c r="B5071"/>
      <c r="F5071" s="87"/>
      <c r="H5071" s="87"/>
      <c r="I5071" s="89"/>
    </row>
    <row r="5072" spans="1:9">
      <c r="A5072" s="21"/>
      <c r="B5072"/>
      <c r="F5072" s="87"/>
      <c r="H5072" s="87"/>
      <c r="I5072" s="89"/>
    </row>
    <row r="5073" spans="1:9">
      <c r="A5073" s="21"/>
      <c r="B5073"/>
      <c r="F5073" s="87"/>
      <c r="H5073" s="87"/>
      <c r="I5073" s="89"/>
    </row>
    <row r="5074" spans="1:9">
      <c r="A5074" s="21"/>
      <c r="B5074"/>
      <c r="F5074" s="87"/>
      <c r="H5074" s="87"/>
      <c r="I5074" s="89"/>
    </row>
    <row r="5075" spans="1:9">
      <c r="A5075" s="21"/>
      <c r="B5075"/>
      <c r="F5075" s="87"/>
      <c r="H5075" s="87"/>
      <c r="I5075" s="89"/>
    </row>
    <row r="5076" spans="1:9">
      <c r="A5076" s="21"/>
      <c r="B5076"/>
      <c r="F5076" s="87"/>
      <c r="H5076" s="87"/>
      <c r="I5076" s="89"/>
    </row>
    <row r="5077" spans="1:9">
      <c r="A5077" s="21"/>
      <c r="B5077"/>
      <c r="F5077" s="87"/>
      <c r="H5077" s="87"/>
      <c r="I5077" s="89"/>
    </row>
    <row r="5078" spans="1:9">
      <c r="A5078" s="21"/>
      <c r="B5078"/>
      <c r="F5078" s="87"/>
      <c r="H5078" s="87"/>
      <c r="I5078" s="89"/>
    </row>
    <row r="5079" spans="1:9">
      <c r="A5079" s="21"/>
      <c r="B5079"/>
      <c r="F5079" s="87"/>
      <c r="H5079" s="87"/>
      <c r="I5079" s="89"/>
    </row>
    <row r="5080" spans="1:9">
      <c r="A5080" s="21"/>
      <c r="B5080"/>
      <c r="F5080" s="87"/>
      <c r="H5080" s="87"/>
      <c r="I5080" s="89"/>
    </row>
    <row r="5081" spans="1:9">
      <c r="A5081" s="21"/>
      <c r="B5081"/>
      <c r="F5081" s="87"/>
      <c r="H5081" s="87"/>
      <c r="I5081" s="89"/>
    </row>
    <row r="5082" spans="1:9">
      <c r="A5082" s="21"/>
      <c r="B5082"/>
      <c r="F5082" s="87"/>
      <c r="H5082" s="87"/>
      <c r="I5082" s="89"/>
    </row>
    <row r="5083" spans="1:9">
      <c r="A5083" s="21"/>
      <c r="B5083"/>
      <c r="F5083" s="87"/>
      <c r="H5083" s="87"/>
      <c r="I5083" s="89"/>
    </row>
    <row r="5084" spans="1:9">
      <c r="A5084" s="21"/>
      <c r="B5084"/>
      <c r="F5084" s="87"/>
      <c r="H5084" s="87"/>
      <c r="I5084" s="89"/>
    </row>
    <row r="5085" spans="1:9">
      <c r="A5085" s="21"/>
      <c r="B5085"/>
      <c r="F5085" s="87"/>
      <c r="H5085" s="87"/>
      <c r="I5085" s="89"/>
    </row>
    <row r="5086" spans="1:9">
      <c r="A5086" s="21"/>
      <c r="B5086"/>
      <c r="F5086" s="87"/>
      <c r="H5086" s="87"/>
      <c r="I5086" s="89"/>
    </row>
    <row r="5087" spans="1:9">
      <c r="A5087" s="21"/>
      <c r="B5087"/>
      <c r="F5087" s="87"/>
      <c r="H5087" s="87"/>
      <c r="I5087" s="89"/>
    </row>
    <row r="5088" spans="1:9">
      <c r="A5088" s="21"/>
      <c r="B5088"/>
      <c r="F5088" s="87"/>
      <c r="H5088" s="87"/>
      <c r="I5088" s="89"/>
    </row>
    <row r="5089" spans="1:9">
      <c r="A5089" s="21"/>
      <c r="B5089"/>
      <c r="F5089" s="87"/>
      <c r="H5089" s="87"/>
      <c r="I5089" s="89"/>
    </row>
    <row r="5090" spans="1:9">
      <c r="A5090" s="21"/>
      <c r="B5090"/>
      <c r="F5090" s="87"/>
      <c r="H5090" s="87"/>
      <c r="I5090" s="89"/>
    </row>
    <row r="5091" spans="1:9">
      <c r="A5091" s="21"/>
      <c r="B5091"/>
      <c r="F5091" s="87"/>
      <c r="H5091" s="87"/>
      <c r="I5091" s="89"/>
    </row>
    <row r="5092" spans="1:9">
      <c r="A5092" s="21"/>
      <c r="B5092"/>
      <c r="F5092" s="87"/>
      <c r="H5092" s="87"/>
      <c r="I5092" s="89"/>
    </row>
    <row r="5093" spans="1:9">
      <c r="A5093" s="21"/>
      <c r="B5093"/>
      <c r="F5093" s="87"/>
      <c r="H5093" s="87"/>
      <c r="I5093" s="89"/>
    </row>
    <row r="5094" spans="1:9">
      <c r="A5094" s="21"/>
      <c r="B5094"/>
      <c r="F5094" s="87"/>
      <c r="H5094" s="87"/>
      <c r="I5094" s="89"/>
    </row>
    <row r="5095" spans="1:9">
      <c r="A5095" s="21"/>
      <c r="B5095"/>
      <c r="F5095" s="87"/>
      <c r="H5095" s="87"/>
      <c r="I5095" s="89"/>
    </row>
    <row r="5096" spans="1:9">
      <c r="A5096" s="21"/>
      <c r="B5096"/>
      <c r="F5096" s="87"/>
      <c r="H5096" s="87"/>
      <c r="I5096" s="89"/>
    </row>
    <row r="5097" spans="1:9">
      <c r="A5097" s="21"/>
      <c r="B5097"/>
      <c r="F5097" s="87"/>
      <c r="H5097" s="87"/>
      <c r="I5097" s="89"/>
    </row>
    <row r="5098" spans="1:9">
      <c r="A5098" s="21"/>
      <c r="B5098"/>
      <c r="F5098" s="87"/>
      <c r="H5098" s="87"/>
      <c r="I5098" s="89"/>
    </row>
    <row r="5099" spans="1:9">
      <c r="A5099" s="21"/>
      <c r="B5099"/>
      <c r="F5099" s="87"/>
      <c r="H5099" s="87"/>
      <c r="I5099" s="89"/>
    </row>
    <row r="5100" spans="1:9">
      <c r="A5100" s="21"/>
      <c r="B5100"/>
      <c r="F5100" s="87"/>
      <c r="H5100" s="87"/>
      <c r="I5100" s="89"/>
    </row>
    <row r="5101" spans="1:9">
      <c r="A5101" s="21"/>
      <c r="B5101"/>
      <c r="F5101" s="87"/>
      <c r="H5101" s="87"/>
      <c r="I5101" s="89"/>
    </row>
    <row r="5102" spans="1:9">
      <c r="A5102" s="21"/>
      <c r="B5102"/>
      <c r="F5102" s="87"/>
      <c r="H5102" s="87"/>
      <c r="I5102" s="89"/>
    </row>
    <row r="5103" spans="1:9">
      <c r="A5103" s="21"/>
      <c r="B5103"/>
      <c r="F5103" s="87"/>
      <c r="H5103" s="87"/>
      <c r="I5103" s="89"/>
    </row>
    <row r="5104" spans="1:9">
      <c r="A5104" s="21"/>
      <c r="B5104"/>
      <c r="F5104" s="87"/>
      <c r="H5104" s="87"/>
      <c r="I5104" s="89"/>
    </row>
    <row r="5105" spans="1:9">
      <c r="A5105" s="21"/>
      <c r="B5105"/>
      <c r="F5105" s="87"/>
      <c r="H5105" s="87"/>
      <c r="I5105" s="89"/>
    </row>
    <row r="5106" spans="1:9">
      <c r="A5106" s="21"/>
      <c r="B5106"/>
      <c r="F5106" s="87"/>
      <c r="H5106" s="87"/>
      <c r="I5106" s="89"/>
    </row>
    <row r="5107" spans="1:9">
      <c r="A5107" s="21"/>
      <c r="B5107"/>
      <c r="F5107" s="87"/>
      <c r="H5107" s="87"/>
      <c r="I5107" s="89"/>
    </row>
    <row r="5108" spans="1:9">
      <c r="A5108" s="21"/>
      <c r="B5108"/>
      <c r="F5108" s="87"/>
      <c r="H5108" s="87"/>
      <c r="I5108" s="89"/>
    </row>
    <row r="5109" spans="1:9">
      <c r="A5109" s="21"/>
      <c r="B5109"/>
      <c r="F5109" s="87"/>
      <c r="H5109" s="87"/>
      <c r="I5109" s="89"/>
    </row>
    <row r="5110" spans="1:9">
      <c r="A5110" s="21"/>
      <c r="B5110"/>
      <c r="F5110" s="87"/>
      <c r="H5110" s="87"/>
      <c r="I5110" s="89"/>
    </row>
    <row r="5111" spans="1:9">
      <c r="A5111" s="21"/>
      <c r="B5111"/>
      <c r="F5111" s="87"/>
      <c r="H5111" s="87"/>
      <c r="I5111" s="89"/>
    </row>
    <row r="5112" spans="1:9">
      <c r="A5112" s="21"/>
      <c r="B5112"/>
      <c r="F5112" s="87"/>
      <c r="H5112" s="87"/>
      <c r="I5112" s="89"/>
    </row>
    <row r="5113" spans="1:9">
      <c r="A5113" s="21"/>
      <c r="B5113"/>
      <c r="F5113" s="87"/>
      <c r="H5113" s="87"/>
      <c r="I5113" s="89"/>
    </row>
    <row r="5114" spans="1:9">
      <c r="A5114" s="21"/>
      <c r="B5114"/>
      <c r="F5114" s="87"/>
      <c r="H5114" s="87"/>
      <c r="I5114" s="89"/>
    </row>
    <row r="5115" spans="1:9">
      <c r="A5115" s="21"/>
      <c r="B5115"/>
      <c r="F5115" s="87"/>
      <c r="H5115" s="87"/>
      <c r="I5115" s="89"/>
    </row>
    <row r="5116" spans="1:9">
      <c r="A5116" s="21"/>
      <c r="B5116"/>
      <c r="F5116" s="87"/>
      <c r="H5116" s="87"/>
      <c r="I5116" s="89"/>
    </row>
    <row r="5117" spans="1:9">
      <c r="A5117" s="21"/>
      <c r="B5117"/>
      <c r="F5117" s="87"/>
      <c r="H5117" s="87"/>
      <c r="I5117" s="89"/>
    </row>
    <row r="5118" spans="1:9">
      <c r="A5118" s="21"/>
      <c r="B5118"/>
      <c r="F5118" s="87"/>
      <c r="H5118" s="87"/>
      <c r="I5118" s="89"/>
    </row>
    <row r="5119" spans="1:9">
      <c r="A5119" s="21"/>
      <c r="B5119"/>
      <c r="F5119" s="87"/>
      <c r="H5119" s="87"/>
      <c r="I5119" s="89"/>
    </row>
    <row r="5120" spans="1:9">
      <c r="A5120" s="21"/>
      <c r="B5120"/>
      <c r="F5120" s="87"/>
      <c r="H5120" s="87"/>
      <c r="I5120" s="89"/>
    </row>
    <row r="5121" spans="1:9">
      <c r="A5121" s="21"/>
      <c r="B5121"/>
      <c r="F5121" s="87"/>
      <c r="H5121" s="87"/>
      <c r="I5121" s="89"/>
    </row>
    <row r="5122" spans="1:9">
      <c r="A5122" s="21"/>
      <c r="B5122"/>
      <c r="F5122" s="87"/>
      <c r="H5122" s="87"/>
      <c r="I5122" s="89"/>
    </row>
    <row r="5123" spans="1:9">
      <c r="A5123" s="21"/>
      <c r="B5123"/>
      <c r="F5123" s="87"/>
      <c r="H5123" s="87"/>
      <c r="I5123" s="89"/>
    </row>
    <row r="5124" spans="1:9">
      <c r="A5124" s="21"/>
      <c r="B5124"/>
      <c r="F5124" s="87"/>
      <c r="H5124" s="87"/>
      <c r="I5124" s="89"/>
    </row>
    <row r="5125" spans="1:9">
      <c r="A5125" s="21"/>
      <c r="B5125"/>
      <c r="F5125" s="87"/>
      <c r="H5125" s="87"/>
      <c r="I5125" s="89"/>
    </row>
    <row r="5126" spans="1:9">
      <c r="A5126" s="21"/>
      <c r="B5126"/>
      <c r="F5126" s="87"/>
      <c r="H5126" s="87"/>
      <c r="I5126" s="89"/>
    </row>
    <row r="5127" spans="1:9">
      <c r="A5127" s="21"/>
      <c r="B5127"/>
      <c r="F5127" s="87"/>
      <c r="H5127" s="87"/>
      <c r="I5127" s="89"/>
    </row>
    <row r="5128" spans="1:9">
      <c r="A5128" s="21"/>
      <c r="B5128"/>
      <c r="F5128" s="87"/>
      <c r="H5128" s="87"/>
      <c r="I5128" s="89"/>
    </row>
    <row r="5129" spans="1:9">
      <c r="A5129" s="21"/>
      <c r="B5129"/>
      <c r="F5129" s="87"/>
      <c r="H5129" s="87"/>
      <c r="I5129" s="89"/>
    </row>
    <row r="5130" spans="1:9">
      <c r="A5130" s="21"/>
      <c r="B5130"/>
      <c r="F5130" s="87"/>
      <c r="H5130" s="87"/>
      <c r="I5130" s="89"/>
    </row>
    <row r="5131" spans="1:9">
      <c r="A5131" s="21"/>
      <c r="B5131"/>
      <c r="F5131" s="87"/>
      <c r="H5131" s="87"/>
      <c r="I5131" s="89"/>
    </row>
    <row r="5132" spans="1:9">
      <c r="A5132" s="21"/>
      <c r="B5132"/>
      <c r="F5132" s="87"/>
      <c r="H5132" s="87"/>
      <c r="I5132" s="89"/>
    </row>
    <row r="5133" spans="1:9">
      <c r="A5133" s="21"/>
      <c r="B5133"/>
      <c r="F5133" s="87"/>
      <c r="H5133" s="87"/>
      <c r="I5133" s="89"/>
    </row>
    <row r="5134" spans="1:9">
      <c r="A5134" s="21"/>
      <c r="B5134"/>
      <c r="F5134" s="87"/>
      <c r="H5134" s="87"/>
      <c r="I5134" s="89"/>
    </row>
    <row r="5135" spans="1:9">
      <c r="A5135" s="21"/>
      <c r="B5135"/>
      <c r="F5135" s="87"/>
      <c r="H5135" s="87"/>
      <c r="I5135" s="89"/>
    </row>
    <row r="5136" spans="1:9">
      <c r="A5136" s="21"/>
      <c r="B5136"/>
      <c r="F5136" s="87"/>
      <c r="H5136" s="87"/>
      <c r="I5136" s="89"/>
    </row>
    <row r="5137" spans="1:9">
      <c r="A5137" s="21"/>
      <c r="B5137"/>
      <c r="F5137" s="87"/>
      <c r="H5137" s="87"/>
      <c r="I5137" s="89"/>
    </row>
    <row r="5138" spans="1:9">
      <c r="A5138" s="21"/>
      <c r="B5138"/>
      <c r="F5138" s="87"/>
      <c r="H5138" s="87"/>
      <c r="I5138" s="89"/>
    </row>
    <row r="5139" spans="1:9">
      <c r="A5139" s="21"/>
      <c r="B5139"/>
      <c r="F5139" s="87"/>
      <c r="H5139" s="87"/>
      <c r="I5139" s="89"/>
    </row>
    <row r="5140" spans="1:9">
      <c r="A5140" s="21"/>
      <c r="B5140"/>
      <c r="F5140" s="87"/>
      <c r="H5140" s="87"/>
      <c r="I5140" s="89"/>
    </row>
    <row r="5141" spans="1:9">
      <c r="A5141" s="21"/>
      <c r="B5141"/>
      <c r="F5141" s="87"/>
      <c r="H5141" s="87"/>
      <c r="I5141" s="89"/>
    </row>
    <row r="5142" spans="1:9">
      <c r="A5142" s="21"/>
      <c r="B5142"/>
      <c r="F5142" s="87"/>
      <c r="H5142" s="87"/>
      <c r="I5142" s="89"/>
    </row>
    <row r="5143" spans="1:9">
      <c r="A5143" s="21"/>
      <c r="B5143"/>
      <c r="F5143" s="87"/>
      <c r="H5143" s="87"/>
      <c r="I5143" s="89"/>
    </row>
    <row r="5144" spans="1:9">
      <c r="A5144" s="21"/>
      <c r="B5144"/>
      <c r="F5144" s="87"/>
      <c r="H5144" s="87"/>
      <c r="I5144" s="89"/>
    </row>
    <row r="5145" spans="1:9">
      <c r="A5145" s="21"/>
      <c r="B5145"/>
      <c r="F5145" s="87"/>
      <c r="H5145" s="87"/>
      <c r="I5145" s="89"/>
    </row>
    <row r="5146" spans="1:9">
      <c r="A5146" s="21"/>
      <c r="B5146"/>
      <c r="F5146" s="87"/>
      <c r="H5146" s="87"/>
      <c r="I5146" s="89"/>
    </row>
    <row r="5147" spans="1:9">
      <c r="A5147" s="21"/>
      <c r="B5147"/>
      <c r="F5147" s="87"/>
      <c r="H5147" s="87"/>
      <c r="I5147" s="89"/>
    </row>
    <row r="5148" spans="1:9">
      <c r="A5148" s="21"/>
      <c r="B5148"/>
      <c r="F5148" s="87"/>
      <c r="H5148" s="87"/>
      <c r="I5148" s="89"/>
    </row>
    <row r="5149" spans="1:9">
      <c r="A5149" s="21"/>
      <c r="B5149"/>
      <c r="F5149" s="87"/>
      <c r="H5149" s="87"/>
      <c r="I5149" s="89"/>
    </row>
    <row r="5150" spans="1:9">
      <c r="A5150" s="21"/>
      <c r="B5150"/>
      <c r="F5150" s="87"/>
      <c r="H5150" s="87"/>
      <c r="I5150" s="89"/>
    </row>
    <row r="5151" spans="1:9">
      <c r="A5151" s="21"/>
      <c r="B5151"/>
      <c r="F5151" s="87"/>
      <c r="H5151" s="87"/>
      <c r="I5151" s="89"/>
    </row>
    <row r="5152" spans="1:9">
      <c r="A5152" s="21"/>
      <c r="B5152"/>
      <c r="F5152" s="87"/>
      <c r="H5152" s="87"/>
      <c r="I5152" s="89"/>
    </row>
    <row r="5153" spans="1:9">
      <c r="A5153" s="21"/>
      <c r="B5153"/>
      <c r="F5153" s="87"/>
      <c r="H5153" s="87"/>
      <c r="I5153" s="89"/>
    </row>
    <row r="5154" spans="1:9">
      <c r="A5154" s="21"/>
      <c r="B5154"/>
      <c r="F5154" s="87"/>
      <c r="H5154" s="87"/>
      <c r="I5154" s="89"/>
    </row>
    <row r="5155" spans="1:9">
      <c r="A5155" s="21"/>
      <c r="B5155"/>
      <c r="F5155" s="87"/>
      <c r="H5155" s="87"/>
      <c r="I5155" s="89"/>
    </row>
    <row r="5156" spans="1:9">
      <c r="A5156" s="21"/>
      <c r="B5156"/>
      <c r="F5156" s="87"/>
      <c r="H5156" s="87"/>
      <c r="I5156" s="89"/>
    </row>
    <row r="5157" spans="1:9">
      <c r="A5157" s="21"/>
      <c r="B5157"/>
      <c r="F5157" s="87"/>
      <c r="H5157" s="87"/>
      <c r="I5157" s="89"/>
    </row>
    <row r="5158" spans="1:9">
      <c r="A5158" s="21"/>
      <c r="B5158"/>
      <c r="F5158" s="87"/>
      <c r="H5158" s="87"/>
      <c r="I5158" s="89"/>
    </row>
    <row r="5159" spans="1:9">
      <c r="A5159" s="21"/>
      <c r="B5159"/>
      <c r="F5159" s="87"/>
      <c r="H5159" s="87"/>
      <c r="I5159" s="89"/>
    </row>
    <row r="5160" spans="1:9">
      <c r="A5160" s="21"/>
      <c r="B5160"/>
      <c r="F5160" s="87"/>
      <c r="H5160" s="87"/>
      <c r="I5160" s="89"/>
    </row>
    <row r="5161" spans="1:9">
      <c r="A5161" s="21"/>
      <c r="B5161"/>
      <c r="F5161" s="87"/>
      <c r="H5161" s="87"/>
      <c r="I5161" s="89"/>
    </row>
    <row r="5162" spans="1:9">
      <c r="A5162" s="21"/>
      <c r="B5162"/>
      <c r="F5162" s="87"/>
      <c r="H5162" s="87"/>
      <c r="I5162" s="89"/>
    </row>
    <row r="5163" spans="1:9">
      <c r="A5163" s="21"/>
      <c r="B5163"/>
      <c r="F5163" s="87"/>
      <c r="H5163" s="87"/>
      <c r="I5163" s="89"/>
    </row>
    <row r="5164" spans="1:9">
      <c r="A5164" s="21"/>
      <c r="B5164"/>
      <c r="F5164" s="87"/>
      <c r="H5164" s="87"/>
      <c r="I5164" s="89"/>
    </row>
    <row r="5165" spans="1:9">
      <c r="A5165" s="21"/>
      <c r="B5165"/>
      <c r="F5165" s="87"/>
      <c r="H5165" s="87"/>
      <c r="I5165" s="89"/>
    </row>
    <row r="5166" spans="1:9">
      <c r="A5166" s="21"/>
      <c r="B5166"/>
      <c r="F5166" s="87"/>
      <c r="H5166" s="87"/>
      <c r="I5166" s="89"/>
    </row>
    <row r="5167" spans="1:9">
      <c r="A5167" s="21"/>
      <c r="B5167"/>
      <c r="F5167" s="87"/>
      <c r="H5167" s="87"/>
      <c r="I5167" s="89"/>
    </row>
    <row r="5168" spans="1:9">
      <c r="A5168" s="21"/>
      <c r="B5168"/>
      <c r="F5168" s="87"/>
      <c r="H5168" s="87"/>
      <c r="I5168" s="89"/>
    </row>
    <row r="5169" spans="1:9">
      <c r="A5169" s="21"/>
      <c r="B5169"/>
      <c r="F5169" s="87"/>
      <c r="H5169" s="87"/>
      <c r="I5169" s="89"/>
    </row>
    <row r="5170" spans="1:9">
      <c r="A5170" s="21"/>
      <c r="B5170"/>
      <c r="F5170" s="87"/>
      <c r="H5170" s="87"/>
      <c r="I5170" s="89"/>
    </row>
    <row r="5171" spans="1:9">
      <c r="A5171" s="21"/>
      <c r="B5171"/>
      <c r="F5171" s="87"/>
      <c r="H5171" s="87"/>
      <c r="I5171" s="89"/>
    </row>
    <row r="5172" spans="1:9">
      <c r="A5172" s="21"/>
      <c r="B5172"/>
      <c r="F5172" s="87"/>
      <c r="H5172" s="87"/>
      <c r="I5172" s="89"/>
    </row>
    <row r="5173" spans="1:9">
      <c r="A5173" s="21"/>
      <c r="B5173"/>
      <c r="F5173" s="87"/>
      <c r="H5173" s="87"/>
      <c r="I5173" s="89"/>
    </row>
    <row r="5174" spans="1:9">
      <c r="A5174" s="21"/>
      <c r="B5174"/>
      <c r="F5174" s="87"/>
      <c r="H5174" s="87"/>
      <c r="I5174" s="89"/>
    </row>
    <row r="5175" spans="1:9">
      <c r="A5175" s="21"/>
      <c r="B5175"/>
      <c r="F5175" s="87"/>
      <c r="H5175" s="87"/>
      <c r="I5175" s="89"/>
    </row>
    <row r="5176" spans="1:9">
      <c r="A5176" s="21"/>
      <c r="B5176"/>
      <c r="F5176" s="87"/>
      <c r="H5176" s="87"/>
      <c r="I5176" s="89"/>
    </row>
    <row r="5177" spans="1:9">
      <c r="A5177" s="21"/>
      <c r="B5177"/>
      <c r="F5177" s="87"/>
      <c r="H5177" s="87"/>
      <c r="I5177" s="89"/>
    </row>
    <row r="5178" spans="1:9">
      <c r="A5178" s="21"/>
      <c r="B5178"/>
      <c r="F5178" s="87"/>
      <c r="H5178" s="87"/>
      <c r="I5178" s="89"/>
    </row>
    <row r="5179" spans="1:9">
      <c r="A5179" s="21"/>
      <c r="B5179"/>
      <c r="F5179" s="87"/>
      <c r="H5179" s="87"/>
      <c r="I5179" s="89"/>
    </row>
    <row r="5180" spans="1:9">
      <c r="A5180" s="21"/>
      <c r="B5180"/>
      <c r="F5180" s="87"/>
      <c r="H5180" s="87"/>
      <c r="I5180" s="89"/>
    </row>
    <row r="5181" spans="1:9">
      <c r="A5181" s="21"/>
      <c r="B5181"/>
      <c r="F5181" s="87"/>
      <c r="H5181" s="87"/>
      <c r="I5181" s="89"/>
    </row>
    <row r="5182" spans="1:9">
      <c r="A5182" s="21"/>
      <c r="B5182"/>
      <c r="F5182" s="87"/>
      <c r="H5182" s="87"/>
      <c r="I5182" s="89"/>
    </row>
    <row r="5183" spans="1:9">
      <c r="A5183" s="21"/>
      <c r="B5183"/>
      <c r="F5183" s="87"/>
      <c r="H5183" s="87"/>
      <c r="I5183" s="89"/>
    </row>
    <row r="5184" spans="1:9">
      <c r="A5184" s="21"/>
      <c r="B5184"/>
      <c r="F5184" s="87"/>
      <c r="H5184" s="87"/>
      <c r="I5184" s="89"/>
    </row>
    <row r="5185" spans="1:9">
      <c r="A5185" s="21"/>
      <c r="B5185"/>
      <c r="F5185" s="87"/>
      <c r="H5185" s="87"/>
      <c r="I5185" s="89"/>
    </row>
    <row r="5186" spans="1:9">
      <c r="A5186" s="21"/>
      <c r="B5186"/>
      <c r="F5186" s="87"/>
      <c r="H5186" s="87"/>
      <c r="I5186" s="89"/>
    </row>
    <row r="5187" spans="1:9">
      <c r="A5187" s="21"/>
      <c r="B5187"/>
      <c r="F5187" s="87"/>
      <c r="H5187" s="87"/>
      <c r="I5187" s="89"/>
    </row>
    <row r="5188" spans="1:9">
      <c r="A5188" s="21"/>
      <c r="B5188"/>
      <c r="F5188" s="87"/>
      <c r="H5188" s="87"/>
      <c r="I5188" s="89"/>
    </row>
    <row r="5189" spans="1:9">
      <c r="A5189" s="21"/>
      <c r="B5189"/>
      <c r="F5189" s="87"/>
      <c r="H5189" s="87"/>
      <c r="I5189" s="89"/>
    </row>
    <row r="5190" spans="1:9">
      <c r="A5190" s="21"/>
      <c r="B5190"/>
      <c r="F5190" s="87"/>
      <c r="H5190" s="87"/>
      <c r="I5190" s="89"/>
    </row>
    <row r="5191" spans="1:9">
      <c r="A5191" s="21"/>
      <c r="B5191"/>
      <c r="F5191" s="87"/>
      <c r="H5191" s="87"/>
      <c r="I5191" s="89"/>
    </row>
    <row r="5192" spans="1:9">
      <c r="A5192" s="21"/>
      <c r="B5192"/>
      <c r="F5192" s="87"/>
      <c r="H5192" s="87"/>
      <c r="I5192" s="89"/>
    </row>
    <row r="5193" spans="1:9">
      <c r="A5193" s="21"/>
      <c r="B5193"/>
      <c r="F5193" s="87"/>
      <c r="H5193" s="87"/>
      <c r="I5193" s="89"/>
    </row>
    <row r="5194" spans="1:9">
      <c r="A5194" s="21"/>
      <c r="B5194"/>
      <c r="F5194" s="87"/>
      <c r="H5194" s="87"/>
      <c r="I5194" s="89"/>
    </row>
    <row r="5195" spans="1:9">
      <c r="A5195" s="21"/>
      <c r="B5195"/>
      <c r="F5195" s="87"/>
      <c r="H5195" s="87"/>
      <c r="I5195" s="89"/>
    </row>
    <row r="5196" spans="1:9">
      <c r="A5196" s="21"/>
      <c r="B5196"/>
      <c r="F5196" s="87"/>
      <c r="H5196" s="87"/>
      <c r="I5196" s="89"/>
    </row>
    <row r="5197" spans="1:9">
      <c r="A5197" s="21"/>
      <c r="B5197"/>
      <c r="F5197" s="87"/>
      <c r="H5197" s="87"/>
      <c r="I5197" s="89"/>
    </row>
    <row r="5198" spans="1:9">
      <c r="A5198" s="21"/>
      <c r="B5198"/>
      <c r="F5198" s="87"/>
      <c r="H5198" s="87"/>
      <c r="I5198" s="89"/>
    </row>
    <row r="5199" spans="1:9">
      <c r="A5199" s="21"/>
      <c r="B5199"/>
      <c r="F5199" s="87"/>
      <c r="H5199" s="87"/>
      <c r="I5199" s="89"/>
    </row>
    <row r="5200" spans="1:9">
      <c r="A5200" s="21"/>
      <c r="B5200"/>
      <c r="F5200" s="87"/>
      <c r="H5200" s="87"/>
      <c r="I5200" s="89"/>
    </row>
    <row r="5201" spans="1:9">
      <c r="A5201" s="21"/>
      <c r="B5201"/>
      <c r="F5201" s="87"/>
      <c r="H5201" s="87"/>
      <c r="I5201" s="89"/>
    </row>
    <row r="5202" spans="1:9">
      <c r="A5202" s="21"/>
      <c r="B5202"/>
      <c r="F5202" s="87"/>
      <c r="H5202" s="87"/>
      <c r="I5202" s="89"/>
    </row>
    <row r="5203" spans="1:9">
      <c r="A5203" s="21"/>
      <c r="B5203"/>
      <c r="F5203" s="87"/>
      <c r="H5203" s="87"/>
      <c r="I5203" s="89"/>
    </row>
    <row r="5204" spans="1:9">
      <c r="A5204" s="21"/>
      <c r="B5204"/>
      <c r="F5204" s="87"/>
      <c r="H5204" s="87"/>
      <c r="I5204" s="89"/>
    </row>
    <row r="5205" spans="1:9">
      <c r="A5205" s="21"/>
      <c r="B5205"/>
      <c r="F5205" s="87"/>
      <c r="H5205" s="87"/>
      <c r="I5205" s="89"/>
    </row>
    <row r="5206" spans="1:9">
      <c r="A5206" s="21"/>
      <c r="B5206"/>
      <c r="F5206" s="87"/>
      <c r="H5206" s="87"/>
      <c r="I5206" s="89"/>
    </row>
    <row r="5207" spans="1:9">
      <c r="A5207" s="21"/>
      <c r="B5207"/>
      <c r="F5207" s="87"/>
      <c r="H5207" s="87"/>
      <c r="I5207" s="89"/>
    </row>
    <row r="5208" spans="1:9">
      <c r="A5208" s="21"/>
      <c r="B5208"/>
      <c r="F5208" s="87"/>
      <c r="H5208" s="87"/>
      <c r="I5208" s="89"/>
    </row>
    <row r="5209" spans="1:9">
      <c r="A5209" s="21"/>
      <c r="B5209"/>
      <c r="F5209" s="87"/>
      <c r="H5209" s="87"/>
      <c r="I5209" s="89"/>
    </row>
    <row r="5210" spans="1:9">
      <c r="A5210" s="21"/>
      <c r="B5210"/>
      <c r="F5210" s="87"/>
      <c r="H5210" s="87"/>
      <c r="I5210" s="89"/>
    </row>
    <row r="5211" spans="1:9">
      <c r="A5211" s="21"/>
      <c r="B5211"/>
      <c r="F5211" s="87"/>
      <c r="H5211" s="87"/>
      <c r="I5211" s="89"/>
    </row>
    <row r="5212" spans="1:9">
      <c r="A5212" s="21"/>
      <c r="B5212"/>
      <c r="F5212" s="87"/>
      <c r="H5212" s="87"/>
      <c r="I5212" s="89"/>
    </row>
    <row r="5213" spans="1:9">
      <c r="A5213" s="21"/>
      <c r="B5213"/>
      <c r="F5213" s="87"/>
      <c r="H5213" s="87"/>
      <c r="I5213" s="89"/>
    </row>
    <row r="5214" spans="1:9">
      <c r="A5214" s="21"/>
      <c r="B5214"/>
      <c r="F5214" s="87"/>
      <c r="H5214" s="87"/>
      <c r="I5214" s="89"/>
    </row>
    <row r="5215" spans="1:9">
      <c r="A5215" s="21"/>
      <c r="B5215"/>
      <c r="F5215" s="87"/>
      <c r="H5215" s="87"/>
      <c r="I5215" s="89"/>
    </row>
    <row r="5216" spans="1:9">
      <c r="A5216" s="21"/>
      <c r="B5216"/>
      <c r="F5216" s="87"/>
      <c r="H5216" s="87"/>
      <c r="I5216" s="89"/>
    </row>
    <row r="5217" spans="1:9">
      <c r="A5217" s="21"/>
      <c r="B5217"/>
      <c r="F5217" s="87"/>
      <c r="H5217" s="87"/>
      <c r="I5217" s="89"/>
    </row>
    <row r="5218" spans="1:9">
      <c r="A5218" s="21"/>
      <c r="B5218"/>
      <c r="F5218" s="87"/>
      <c r="H5218" s="87"/>
      <c r="I5218" s="89"/>
    </row>
    <row r="5219" spans="1:9">
      <c r="A5219" s="21"/>
      <c r="B5219"/>
      <c r="F5219" s="87"/>
      <c r="H5219" s="87"/>
      <c r="I5219" s="89"/>
    </row>
    <row r="5220" spans="1:9">
      <c r="A5220" s="21"/>
      <c r="B5220"/>
      <c r="F5220" s="87"/>
      <c r="H5220" s="87"/>
      <c r="I5220" s="89"/>
    </row>
    <row r="5221" spans="1:9">
      <c r="A5221" s="21"/>
      <c r="B5221"/>
      <c r="F5221" s="87"/>
      <c r="H5221" s="87"/>
      <c r="I5221" s="89"/>
    </row>
    <row r="5222" spans="1:9">
      <c r="A5222" s="21"/>
      <c r="B5222"/>
      <c r="F5222" s="87"/>
      <c r="H5222" s="87"/>
      <c r="I5222" s="89"/>
    </row>
    <row r="5223" spans="1:9">
      <c r="A5223" s="21"/>
      <c r="B5223"/>
      <c r="F5223" s="87"/>
      <c r="H5223" s="87"/>
      <c r="I5223" s="89"/>
    </row>
    <row r="5224" spans="1:9">
      <c r="A5224" s="21"/>
      <c r="B5224"/>
      <c r="F5224" s="87"/>
      <c r="H5224" s="87"/>
      <c r="I5224" s="89"/>
    </row>
    <row r="5225" spans="1:9">
      <c r="A5225" s="21"/>
      <c r="B5225"/>
      <c r="F5225" s="87"/>
      <c r="H5225" s="87"/>
      <c r="I5225" s="89"/>
    </row>
    <row r="5226" spans="1:9">
      <c r="A5226" s="21"/>
      <c r="B5226"/>
      <c r="F5226" s="87"/>
      <c r="H5226" s="87"/>
      <c r="I5226" s="89"/>
    </row>
    <row r="5227" spans="1:9">
      <c r="A5227" s="21"/>
      <c r="B5227"/>
      <c r="F5227" s="87"/>
      <c r="H5227" s="87"/>
      <c r="I5227" s="89"/>
    </row>
    <row r="5228" spans="1:9">
      <c r="A5228" s="21"/>
      <c r="B5228"/>
      <c r="F5228" s="87"/>
      <c r="H5228" s="87"/>
      <c r="I5228" s="89"/>
    </row>
    <row r="5229" spans="1:9">
      <c r="A5229" s="21"/>
      <c r="B5229"/>
      <c r="F5229" s="87"/>
      <c r="H5229" s="87"/>
      <c r="I5229" s="89"/>
    </row>
    <row r="5230" spans="1:9">
      <c r="A5230" s="21"/>
      <c r="B5230"/>
      <c r="F5230" s="87"/>
      <c r="H5230" s="87"/>
      <c r="I5230" s="89"/>
    </row>
    <row r="5231" spans="1:9">
      <c r="A5231" s="21"/>
      <c r="B5231"/>
      <c r="F5231" s="87"/>
      <c r="H5231" s="87"/>
      <c r="I5231" s="89"/>
    </row>
    <row r="5232" spans="1:9">
      <c r="A5232" s="21"/>
      <c r="B5232"/>
      <c r="F5232" s="87"/>
      <c r="H5232" s="87"/>
      <c r="I5232" s="89"/>
    </row>
    <row r="5233" spans="1:9">
      <c r="A5233" s="21"/>
      <c r="B5233"/>
      <c r="F5233" s="87"/>
      <c r="H5233" s="87"/>
      <c r="I5233" s="89"/>
    </row>
    <row r="5234" spans="1:9">
      <c r="A5234" s="21"/>
      <c r="B5234"/>
      <c r="F5234" s="87"/>
      <c r="H5234" s="87"/>
      <c r="I5234" s="89"/>
    </row>
    <row r="5235" spans="1:9">
      <c r="A5235" s="21"/>
      <c r="B5235"/>
      <c r="F5235" s="87"/>
      <c r="H5235" s="87"/>
      <c r="I5235" s="89"/>
    </row>
    <row r="5236" spans="1:9">
      <c r="A5236" s="21"/>
      <c r="B5236"/>
      <c r="F5236" s="87"/>
      <c r="H5236" s="87"/>
      <c r="I5236" s="89"/>
    </row>
    <row r="5237" spans="1:9">
      <c r="A5237" s="21"/>
      <c r="B5237"/>
      <c r="F5237" s="87"/>
      <c r="H5237" s="87"/>
      <c r="I5237" s="89"/>
    </row>
    <row r="5238" spans="1:9">
      <c r="A5238" s="21"/>
      <c r="B5238"/>
      <c r="F5238" s="87"/>
      <c r="H5238" s="87"/>
      <c r="I5238" s="89"/>
    </row>
    <row r="5239" spans="1:9">
      <c r="A5239" s="21"/>
      <c r="B5239"/>
      <c r="F5239" s="87"/>
      <c r="H5239" s="87"/>
      <c r="I5239" s="89"/>
    </row>
    <row r="5240" spans="1:9">
      <c r="A5240" s="21"/>
      <c r="B5240"/>
      <c r="F5240" s="87"/>
      <c r="H5240" s="87"/>
      <c r="I5240" s="89"/>
    </row>
    <row r="5241" spans="1:9">
      <c r="A5241" s="21"/>
      <c r="B5241"/>
      <c r="F5241" s="87"/>
      <c r="H5241" s="87"/>
      <c r="I5241" s="89"/>
    </row>
    <row r="5242" spans="1:9">
      <c r="A5242" s="21"/>
      <c r="B5242"/>
      <c r="F5242" s="87"/>
      <c r="H5242" s="87"/>
      <c r="I5242" s="89"/>
    </row>
    <row r="5243" spans="1:9">
      <c r="A5243" s="21"/>
      <c r="B5243"/>
      <c r="F5243" s="87"/>
      <c r="H5243" s="87"/>
      <c r="I5243" s="89"/>
    </row>
    <row r="5244" spans="1:9">
      <c r="A5244" s="21"/>
      <c r="B5244"/>
      <c r="F5244" s="87"/>
      <c r="H5244" s="87"/>
      <c r="I5244" s="89"/>
    </row>
    <row r="5245" spans="1:9">
      <c r="A5245" s="21"/>
      <c r="B5245"/>
      <c r="F5245" s="87"/>
      <c r="H5245" s="87"/>
      <c r="I5245" s="89"/>
    </row>
    <row r="5246" spans="1:9">
      <c r="A5246" s="21"/>
      <c r="B5246"/>
      <c r="F5246" s="87"/>
      <c r="H5246" s="87"/>
      <c r="I5246" s="89"/>
    </row>
    <row r="5247" spans="1:9">
      <c r="A5247" s="21"/>
      <c r="B5247"/>
      <c r="F5247" s="87"/>
      <c r="H5247" s="87"/>
      <c r="I5247" s="89"/>
    </row>
    <row r="5248" spans="1:9">
      <c r="A5248" s="21"/>
      <c r="B5248"/>
      <c r="F5248" s="87"/>
      <c r="H5248" s="87"/>
      <c r="I5248" s="89"/>
    </row>
    <row r="5249" spans="1:9">
      <c r="A5249" s="21"/>
      <c r="B5249"/>
      <c r="F5249" s="87"/>
      <c r="H5249" s="87"/>
      <c r="I5249" s="89"/>
    </row>
    <row r="5250" spans="1:9">
      <c r="A5250" s="21"/>
      <c r="B5250"/>
      <c r="F5250" s="87"/>
      <c r="H5250" s="87"/>
      <c r="I5250" s="89"/>
    </row>
    <row r="5251" spans="1:9">
      <c r="A5251" s="21"/>
      <c r="B5251"/>
      <c r="F5251" s="87"/>
      <c r="H5251" s="87"/>
      <c r="I5251" s="89"/>
    </row>
    <row r="5252" spans="1:9">
      <c r="A5252" s="21"/>
      <c r="B5252"/>
      <c r="F5252" s="87"/>
      <c r="H5252" s="87"/>
      <c r="I5252" s="89"/>
    </row>
    <row r="5253" spans="1:9">
      <c r="A5253" s="21"/>
      <c r="B5253"/>
      <c r="F5253" s="87"/>
      <c r="H5253" s="87"/>
      <c r="I5253" s="89"/>
    </row>
    <row r="5254" spans="1:9">
      <c r="A5254" s="21"/>
      <c r="B5254"/>
      <c r="F5254" s="87"/>
      <c r="H5254" s="87"/>
      <c r="I5254" s="89"/>
    </row>
    <row r="5255" spans="1:9">
      <c r="A5255" s="21"/>
      <c r="B5255"/>
      <c r="F5255" s="87"/>
      <c r="H5255" s="87"/>
      <c r="I5255" s="89"/>
    </row>
    <row r="5256" spans="1:9">
      <c r="A5256" s="21"/>
      <c r="B5256"/>
      <c r="F5256" s="87"/>
      <c r="H5256" s="87"/>
      <c r="I5256" s="89"/>
    </row>
    <row r="5257" spans="1:9">
      <c r="A5257" s="21"/>
      <c r="B5257"/>
      <c r="F5257" s="87"/>
      <c r="H5257" s="87"/>
      <c r="I5257" s="89"/>
    </row>
    <row r="5258" spans="1:9">
      <c r="A5258" s="21"/>
      <c r="B5258"/>
      <c r="F5258" s="87"/>
      <c r="H5258" s="87"/>
      <c r="I5258" s="89"/>
    </row>
    <row r="5259" spans="1:9">
      <c r="A5259" s="21"/>
      <c r="B5259"/>
      <c r="F5259" s="87"/>
      <c r="H5259" s="87"/>
      <c r="I5259" s="89"/>
    </row>
    <row r="5260" spans="1:9">
      <c r="A5260" s="21"/>
      <c r="B5260"/>
      <c r="F5260" s="87"/>
      <c r="H5260" s="87"/>
      <c r="I5260" s="89"/>
    </row>
    <row r="5261" spans="1:9">
      <c r="A5261" s="21"/>
      <c r="B5261"/>
      <c r="F5261" s="87"/>
      <c r="H5261" s="87"/>
      <c r="I5261" s="89"/>
    </row>
    <row r="5262" spans="1:9">
      <c r="A5262" s="21"/>
      <c r="B5262"/>
      <c r="F5262" s="87"/>
      <c r="H5262" s="87"/>
      <c r="I5262" s="89"/>
    </row>
    <row r="5263" spans="1:9">
      <c r="A5263" s="21"/>
      <c r="B5263"/>
      <c r="F5263" s="87"/>
      <c r="H5263" s="87"/>
      <c r="I5263" s="89"/>
    </row>
    <row r="5264" spans="1:9">
      <c r="A5264" s="21"/>
      <c r="B5264"/>
      <c r="F5264" s="87"/>
      <c r="H5264" s="87"/>
      <c r="I5264" s="89"/>
    </row>
    <row r="5265" spans="1:9">
      <c r="A5265" s="21"/>
      <c r="B5265"/>
      <c r="F5265" s="87"/>
      <c r="H5265" s="87"/>
      <c r="I5265" s="89"/>
    </row>
    <row r="5266" spans="1:9">
      <c r="A5266" s="21"/>
      <c r="B5266"/>
      <c r="F5266" s="87"/>
      <c r="H5266" s="87"/>
      <c r="I5266" s="89"/>
    </row>
    <row r="5267" spans="1:9">
      <c r="A5267" s="21"/>
      <c r="B5267"/>
      <c r="F5267" s="87"/>
      <c r="H5267" s="87"/>
      <c r="I5267" s="89"/>
    </row>
    <row r="5268" spans="1:9">
      <c r="A5268" s="21"/>
      <c r="B5268"/>
      <c r="F5268" s="87"/>
      <c r="H5268" s="87"/>
      <c r="I5268" s="89"/>
    </row>
    <row r="5269" spans="1:9">
      <c r="A5269" s="21"/>
      <c r="B5269"/>
      <c r="F5269" s="87"/>
      <c r="H5269" s="87"/>
      <c r="I5269" s="89"/>
    </row>
    <row r="5270" spans="1:9">
      <c r="A5270" s="21"/>
      <c r="B5270"/>
      <c r="F5270" s="87"/>
      <c r="H5270" s="87"/>
      <c r="I5270" s="89"/>
    </row>
    <row r="5271" spans="1:9">
      <c r="A5271" s="21"/>
      <c r="B5271"/>
      <c r="F5271" s="87"/>
      <c r="H5271" s="87"/>
      <c r="I5271" s="89"/>
    </row>
    <row r="5272" spans="1:9">
      <c r="A5272" s="21"/>
      <c r="B5272"/>
      <c r="F5272" s="87"/>
      <c r="H5272" s="87"/>
      <c r="I5272" s="89"/>
    </row>
    <row r="5273" spans="1:9">
      <c r="A5273" s="21"/>
      <c r="B5273"/>
      <c r="F5273" s="87"/>
      <c r="H5273" s="87"/>
      <c r="I5273" s="89"/>
    </row>
    <row r="5274" spans="1:9">
      <c r="A5274" s="21"/>
      <c r="B5274"/>
      <c r="F5274" s="87"/>
      <c r="H5274" s="87"/>
      <c r="I5274" s="89"/>
    </row>
    <row r="5275" spans="1:9">
      <c r="A5275" s="21"/>
      <c r="B5275"/>
      <c r="F5275" s="87"/>
      <c r="H5275" s="87"/>
      <c r="I5275" s="89"/>
    </row>
    <row r="5276" spans="1:9">
      <c r="A5276" s="21"/>
      <c r="B5276"/>
      <c r="F5276" s="87"/>
      <c r="H5276" s="87"/>
      <c r="I5276" s="89"/>
    </row>
    <row r="5277" spans="1:9">
      <c r="A5277" s="21"/>
      <c r="B5277"/>
      <c r="F5277" s="87"/>
      <c r="H5277" s="87"/>
      <c r="I5277" s="89"/>
    </row>
    <row r="5278" spans="1:9">
      <c r="A5278" s="21"/>
      <c r="B5278"/>
      <c r="F5278" s="87"/>
      <c r="H5278" s="87"/>
      <c r="I5278" s="89"/>
    </row>
    <row r="5279" spans="1:9">
      <c r="A5279" s="21"/>
      <c r="B5279"/>
      <c r="F5279" s="87"/>
      <c r="H5279" s="87"/>
      <c r="I5279" s="89"/>
    </row>
    <row r="5280" spans="1:9">
      <c r="A5280" s="21"/>
      <c r="B5280"/>
      <c r="F5280" s="87"/>
      <c r="H5280" s="87"/>
      <c r="I5280" s="89"/>
    </row>
    <row r="5281" spans="1:9">
      <c r="A5281" s="21"/>
      <c r="B5281"/>
      <c r="F5281" s="87"/>
      <c r="H5281" s="87"/>
      <c r="I5281" s="89"/>
    </row>
    <row r="5282" spans="1:9">
      <c r="A5282" s="21"/>
      <c r="B5282"/>
      <c r="F5282" s="87"/>
      <c r="H5282" s="87"/>
      <c r="I5282" s="89"/>
    </row>
    <row r="5283" spans="1:9">
      <c r="A5283" s="21"/>
      <c r="B5283"/>
      <c r="F5283" s="87"/>
      <c r="H5283" s="87"/>
      <c r="I5283" s="89"/>
    </row>
    <row r="5284" spans="1:9">
      <c r="A5284" s="21"/>
      <c r="B5284"/>
      <c r="F5284" s="87"/>
      <c r="H5284" s="87"/>
      <c r="I5284" s="89"/>
    </row>
    <row r="5285" spans="1:9">
      <c r="A5285" s="21"/>
      <c r="B5285"/>
      <c r="F5285" s="87"/>
      <c r="H5285" s="87"/>
      <c r="I5285" s="89"/>
    </row>
    <row r="5286" spans="1:9">
      <c r="A5286" s="21"/>
      <c r="B5286"/>
      <c r="F5286" s="87"/>
      <c r="H5286" s="87"/>
      <c r="I5286" s="89"/>
    </row>
    <row r="5287" spans="1:9">
      <c r="A5287" s="21"/>
      <c r="B5287"/>
      <c r="F5287" s="87"/>
      <c r="H5287" s="87"/>
      <c r="I5287" s="89"/>
    </row>
    <row r="5288" spans="1:9">
      <c r="A5288" s="21"/>
      <c r="B5288"/>
      <c r="F5288" s="87"/>
      <c r="H5288" s="87"/>
      <c r="I5288" s="89"/>
    </row>
    <row r="5289" spans="1:9">
      <c r="A5289" s="21"/>
      <c r="B5289"/>
      <c r="F5289" s="87"/>
      <c r="H5289" s="87"/>
      <c r="I5289" s="89"/>
    </row>
    <row r="5290" spans="1:9">
      <c r="A5290" s="21"/>
      <c r="B5290"/>
      <c r="F5290" s="87"/>
      <c r="H5290" s="87"/>
      <c r="I5290" s="89"/>
    </row>
    <row r="5291" spans="1:9">
      <c r="A5291" s="21"/>
      <c r="B5291"/>
      <c r="F5291" s="87"/>
      <c r="H5291" s="87"/>
      <c r="I5291" s="89"/>
    </row>
    <row r="5292" spans="1:9">
      <c r="A5292" s="21"/>
      <c r="B5292"/>
      <c r="F5292" s="87"/>
      <c r="H5292" s="87"/>
      <c r="I5292" s="89"/>
    </row>
    <row r="5293" spans="1:9">
      <c r="A5293" s="21"/>
      <c r="B5293"/>
      <c r="F5293" s="87"/>
      <c r="H5293" s="87"/>
      <c r="I5293" s="89"/>
    </row>
    <row r="5294" spans="1:9">
      <c r="A5294" s="21"/>
      <c r="B5294"/>
      <c r="F5294" s="87"/>
      <c r="H5294" s="87"/>
      <c r="I5294" s="89"/>
    </row>
    <row r="5295" spans="1:9">
      <c r="A5295" s="21"/>
      <c r="B5295"/>
      <c r="F5295" s="87"/>
      <c r="H5295" s="87"/>
      <c r="I5295" s="89"/>
    </row>
    <row r="5296" spans="1:9">
      <c r="A5296" s="21"/>
      <c r="B5296"/>
      <c r="F5296" s="87"/>
      <c r="H5296" s="87"/>
      <c r="I5296" s="89"/>
    </row>
    <row r="5297" spans="1:9">
      <c r="A5297" s="21"/>
      <c r="B5297"/>
      <c r="F5297" s="87"/>
      <c r="H5297" s="87"/>
      <c r="I5297" s="89"/>
    </row>
    <row r="5298" spans="1:9">
      <c r="A5298" s="21"/>
      <c r="B5298"/>
      <c r="F5298" s="87"/>
      <c r="H5298" s="87"/>
      <c r="I5298" s="89"/>
    </row>
    <row r="5299" spans="1:9">
      <c r="A5299" s="21"/>
      <c r="B5299"/>
      <c r="F5299" s="87"/>
      <c r="H5299" s="87"/>
      <c r="I5299" s="89"/>
    </row>
    <row r="5300" spans="1:9">
      <c r="A5300" s="21"/>
      <c r="B5300"/>
      <c r="F5300" s="87"/>
      <c r="H5300" s="87"/>
      <c r="I5300" s="89"/>
    </row>
    <row r="5301" spans="1:9">
      <c r="A5301" s="21"/>
      <c r="B5301"/>
      <c r="F5301" s="87"/>
      <c r="H5301" s="87"/>
      <c r="I5301" s="89"/>
    </row>
    <row r="5302" spans="1:9">
      <c r="A5302" s="21"/>
      <c r="B5302"/>
      <c r="F5302" s="87"/>
      <c r="H5302" s="87"/>
      <c r="I5302" s="89"/>
    </row>
    <row r="5303" spans="1:9">
      <c r="A5303" s="21"/>
      <c r="B5303"/>
      <c r="F5303" s="87"/>
      <c r="H5303" s="87"/>
      <c r="I5303" s="89"/>
    </row>
    <row r="5304" spans="1:9">
      <c r="A5304" s="21"/>
      <c r="B5304"/>
      <c r="F5304" s="87"/>
      <c r="H5304" s="87"/>
      <c r="I5304" s="89"/>
    </row>
    <row r="5305" spans="1:9">
      <c r="A5305" s="21"/>
      <c r="B5305"/>
      <c r="F5305" s="87"/>
      <c r="H5305" s="87"/>
      <c r="I5305" s="89"/>
    </row>
    <row r="5306" spans="1:9">
      <c r="A5306" s="21"/>
      <c r="B5306"/>
      <c r="F5306" s="87"/>
      <c r="H5306" s="87"/>
      <c r="I5306" s="89"/>
    </row>
    <row r="5307" spans="1:9">
      <c r="A5307" s="21"/>
      <c r="B5307"/>
      <c r="F5307" s="87"/>
      <c r="H5307" s="87"/>
      <c r="I5307" s="89"/>
    </row>
    <row r="5308" spans="1:9">
      <c r="A5308" s="21"/>
      <c r="B5308"/>
      <c r="F5308" s="87"/>
      <c r="H5308" s="87"/>
      <c r="I5308" s="89"/>
    </row>
    <row r="5309" spans="1:9">
      <c r="A5309" s="21"/>
      <c r="B5309"/>
      <c r="F5309" s="87"/>
      <c r="H5309" s="87"/>
      <c r="I5309" s="89"/>
    </row>
    <row r="5310" spans="1:9">
      <c r="A5310" s="21"/>
      <c r="B5310"/>
      <c r="F5310" s="87"/>
      <c r="H5310" s="87"/>
      <c r="I5310" s="89"/>
    </row>
    <row r="5311" spans="1:9">
      <c r="A5311" s="21"/>
      <c r="B5311"/>
      <c r="F5311" s="87"/>
      <c r="H5311" s="87"/>
      <c r="I5311" s="89"/>
    </row>
    <row r="5312" spans="1:9">
      <c r="A5312" s="21"/>
      <c r="B5312"/>
      <c r="F5312" s="87"/>
      <c r="H5312" s="87"/>
      <c r="I5312" s="89"/>
    </row>
    <row r="5313" spans="1:9">
      <c r="A5313" s="21"/>
      <c r="B5313"/>
      <c r="F5313" s="87"/>
      <c r="H5313" s="87"/>
      <c r="I5313" s="89"/>
    </row>
    <row r="5314" spans="1:9">
      <c r="A5314" s="21"/>
      <c r="B5314"/>
      <c r="F5314" s="87"/>
      <c r="H5314" s="87"/>
      <c r="I5314" s="89"/>
    </row>
    <row r="5315" spans="1:9">
      <c r="A5315" s="21"/>
      <c r="B5315"/>
      <c r="F5315" s="87"/>
      <c r="H5315" s="87"/>
      <c r="I5315" s="89"/>
    </row>
    <row r="5316" spans="1:9">
      <c r="A5316" s="21"/>
      <c r="B5316"/>
      <c r="F5316" s="87"/>
      <c r="H5316" s="87"/>
      <c r="I5316" s="89"/>
    </row>
    <row r="5317" spans="1:9">
      <c r="A5317" s="21"/>
      <c r="B5317"/>
      <c r="F5317" s="87"/>
      <c r="H5317" s="87"/>
      <c r="I5317" s="89"/>
    </row>
    <row r="5318" spans="1:9">
      <c r="A5318" s="21"/>
      <c r="B5318"/>
      <c r="F5318" s="87"/>
      <c r="H5318" s="87"/>
      <c r="I5318" s="89"/>
    </row>
    <row r="5319" spans="1:9">
      <c r="A5319" s="21"/>
      <c r="B5319"/>
      <c r="F5319" s="87"/>
      <c r="H5319" s="87"/>
      <c r="I5319" s="89"/>
    </row>
    <row r="5320" spans="1:9">
      <c r="A5320" s="21"/>
      <c r="B5320"/>
      <c r="F5320" s="87"/>
      <c r="H5320" s="87"/>
      <c r="I5320" s="89"/>
    </row>
    <row r="5321" spans="1:9">
      <c r="A5321" s="21"/>
      <c r="B5321"/>
      <c r="F5321" s="87"/>
      <c r="H5321" s="87"/>
      <c r="I5321" s="89"/>
    </row>
    <row r="5322" spans="1:9">
      <c r="A5322" s="21"/>
      <c r="B5322"/>
      <c r="F5322" s="87"/>
      <c r="H5322" s="87"/>
      <c r="I5322" s="89"/>
    </row>
    <row r="5323" spans="1:9">
      <c r="A5323" s="21"/>
      <c r="B5323"/>
      <c r="F5323" s="87"/>
      <c r="H5323" s="87"/>
      <c r="I5323" s="89"/>
    </row>
    <row r="5324" spans="1:9">
      <c r="A5324" s="21"/>
      <c r="B5324"/>
      <c r="F5324" s="87"/>
      <c r="H5324" s="87"/>
      <c r="I5324" s="89"/>
    </row>
    <row r="5325" spans="1:9">
      <c r="A5325" s="21"/>
      <c r="B5325"/>
      <c r="F5325" s="87"/>
      <c r="H5325" s="87"/>
      <c r="I5325" s="89"/>
    </row>
    <row r="5326" spans="1:9">
      <c r="A5326" s="21"/>
      <c r="B5326"/>
      <c r="F5326" s="87"/>
      <c r="H5326" s="87"/>
      <c r="I5326" s="89"/>
    </row>
    <row r="5327" spans="1:9">
      <c r="A5327" s="21"/>
      <c r="B5327"/>
      <c r="F5327" s="87"/>
      <c r="H5327" s="87"/>
      <c r="I5327" s="89"/>
    </row>
    <row r="5328" spans="1:9">
      <c r="A5328" s="21"/>
      <c r="B5328"/>
      <c r="F5328" s="87"/>
      <c r="H5328" s="87"/>
      <c r="I5328" s="89"/>
    </row>
    <row r="5329" spans="1:9">
      <c r="A5329" s="21"/>
      <c r="B5329"/>
      <c r="F5329" s="87"/>
      <c r="H5329" s="87"/>
      <c r="I5329" s="89"/>
    </row>
    <row r="5330" spans="1:9">
      <c r="A5330" s="21"/>
      <c r="B5330"/>
      <c r="F5330" s="87"/>
      <c r="H5330" s="87"/>
      <c r="I5330" s="89"/>
    </row>
    <row r="5331" spans="1:9">
      <c r="A5331" s="21"/>
      <c r="B5331"/>
      <c r="F5331" s="87"/>
      <c r="H5331" s="87"/>
      <c r="I5331" s="89"/>
    </row>
    <row r="5332" spans="1:9">
      <c r="A5332" s="21"/>
      <c r="B5332"/>
      <c r="F5332" s="87"/>
      <c r="H5332" s="87"/>
      <c r="I5332" s="89"/>
    </row>
    <row r="5333" spans="1:9">
      <c r="A5333" s="21"/>
      <c r="B5333"/>
      <c r="F5333" s="87"/>
      <c r="H5333" s="87"/>
      <c r="I5333" s="89"/>
    </row>
    <row r="5334" spans="1:9">
      <c r="A5334" s="21"/>
      <c r="B5334"/>
      <c r="F5334" s="87"/>
      <c r="H5334" s="87"/>
      <c r="I5334" s="89"/>
    </row>
    <row r="5335" spans="1:9">
      <c r="A5335" s="21"/>
      <c r="B5335"/>
      <c r="F5335" s="87"/>
      <c r="H5335" s="87"/>
      <c r="I5335" s="89"/>
    </row>
    <row r="5336" spans="1:9">
      <c r="A5336" s="21"/>
      <c r="B5336"/>
      <c r="F5336" s="87"/>
      <c r="H5336" s="87"/>
      <c r="I5336" s="89"/>
    </row>
    <row r="5337" spans="1:9">
      <c r="A5337" s="21"/>
      <c r="B5337"/>
      <c r="F5337" s="87"/>
      <c r="H5337" s="87"/>
      <c r="I5337" s="89"/>
    </row>
    <row r="5338" spans="1:9">
      <c r="A5338" s="21"/>
      <c r="B5338"/>
      <c r="F5338" s="87"/>
      <c r="H5338" s="87"/>
      <c r="I5338" s="89"/>
    </row>
    <row r="5339" spans="1:9">
      <c r="A5339" s="21"/>
      <c r="B5339"/>
      <c r="F5339" s="87"/>
      <c r="H5339" s="87"/>
      <c r="I5339" s="89"/>
    </row>
    <row r="5340" spans="1:9">
      <c r="A5340" s="21"/>
      <c r="B5340"/>
      <c r="F5340" s="87"/>
      <c r="H5340" s="87"/>
      <c r="I5340" s="89"/>
    </row>
    <row r="5341" spans="1:9">
      <c r="A5341" s="21"/>
      <c r="B5341"/>
      <c r="F5341" s="87"/>
      <c r="H5341" s="87"/>
      <c r="I5341" s="89"/>
    </row>
    <row r="5342" spans="1:9">
      <c r="A5342" s="21"/>
      <c r="B5342"/>
      <c r="F5342" s="87"/>
      <c r="H5342" s="87"/>
      <c r="I5342" s="89"/>
    </row>
    <row r="5343" spans="1:9">
      <c r="A5343" s="21"/>
      <c r="B5343"/>
      <c r="F5343" s="87"/>
      <c r="H5343" s="87"/>
      <c r="I5343" s="89"/>
    </row>
    <row r="5344" spans="1:9">
      <c r="A5344" s="21"/>
      <c r="B5344"/>
      <c r="F5344" s="87"/>
      <c r="H5344" s="87"/>
      <c r="I5344" s="89"/>
    </row>
    <row r="5345" spans="1:9">
      <c r="A5345" s="21"/>
      <c r="B5345"/>
      <c r="F5345" s="87"/>
      <c r="H5345" s="87"/>
      <c r="I5345" s="89"/>
    </row>
    <row r="5346" spans="1:9">
      <c r="A5346" s="21"/>
      <c r="B5346"/>
      <c r="F5346" s="87"/>
      <c r="H5346" s="87"/>
      <c r="I5346" s="89"/>
    </row>
    <row r="5347" spans="1:9">
      <c r="A5347" s="21"/>
      <c r="B5347"/>
      <c r="F5347" s="87"/>
      <c r="H5347" s="87"/>
      <c r="I5347" s="89"/>
    </row>
    <row r="5348" spans="1:9">
      <c r="A5348" s="21"/>
      <c r="B5348"/>
      <c r="F5348" s="87"/>
      <c r="H5348" s="87"/>
      <c r="I5348" s="89"/>
    </row>
    <row r="5349" spans="1:9">
      <c r="A5349" s="21"/>
      <c r="B5349"/>
      <c r="F5349" s="87"/>
      <c r="H5349" s="87"/>
      <c r="I5349" s="89"/>
    </row>
    <row r="5350" spans="1:9">
      <c r="A5350" s="21"/>
      <c r="B5350"/>
      <c r="F5350" s="87"/>
      <c r="H5350" s="87"/>
      <c r="I5350" s="89"/>
    </row>
    <row r="5351" spans="1:9">
      <c r="A5351" s="21"/>
      <c r="B5351"/>
      <c r="F5351" s="87"/>
      <c r="H5351" s="87"/>
      <c r="I5351" s="89"/>
    </row>
    <row r="5352" spans="1:9">
      <c r="A5352" s="21"/>
      <c r="B5352"/>
      <c r="F5352" s="87"/>
      <c r="H5352" s="87"/>
      <c r="I5352" s="89"/>
    </row>
    <row r="5353" spans="1:9">
      <c r="A5353" s="21"/>
      <c r="B5353"/>
      <c r="F5353" s="87"/>
      <c r="H5353" s="87"/>
      <c r="I5353" s="89"/>
    </row>
    <row r="5354" spans="1:9">
      <c r="A5354" s="21"/>
      <c r="B5354"/>
      <c r="F5354" s="87"/>
      <c r="H5354" s="87"/>
      <c r="I5354" s="89"/>
    </row>
    <row r="5355" spans="1:9">
      <c r="A5355" s="21"/>
      <c r="B5355"/>
      <c r="F5355" s="87"/>
      <c r="H5355" s="87"/>
      <c r="I5355" s="89"/>
    </row>
    <row r="5356" spans="1:9">
      <c r="A5356" s="21"/>
      <c r="B5356"/>
      <c r="F5356" s="87"/>
      <c r="H5356" s="87"/>
      <c r="I5356" s="89"/>
    </row>
    <row r="5357" spans="1:9">
      <c r="A5357" s="21"/>
      <c r="B5357"/>
      <c r="F5357" s="87"/>
      <c r="H5357" s="87"/>
      <c r="I5357" s="89"/>
    </row>
    <row r="5358" spans="1:9">
      <c r="A5358" s="21"/>
      <c r="B5358"/>
      <c r="F5358" s="87"/>
      <c r="H5358" s="87"/>
      <c r="I5358" s="89"/>
    </row>
    <row r="5359" spans="1:9">
      <c r="A5359" s="21"/>
      <c r="B5359"/>
      <c r="F5359" s="87"/>
      <c r="H5359" s="87"/>
      <c r="I5359" s="89"/>
    </row>
    <row r="5360" spans="1:9">
      <c r="A5360" s="21"/>
      <c r="B5360"/>
      <c r="F5360" s="87"/>
      <c r="H5360" s="87"/>
      <c r="I5360" s="89"/>
    </row>
    <row r="5361" spans="1:9">
      <c r="A5361" s="21"/>
      <c r="B5361"/>
      <c r="F5361" s="87"/>
      <c r="H5361" s="87"/>
      <c r="I5361" s="89"/>
    </row>
    <row r="5362" spans="1:9">
      <c r="A5362" s="21"/>
      <c r="B5362"/>
      <c r="F5362" s="87"/>
      <c r="H5362" s="87"/>
      <c r="I5362" s="89"/>
    </row>
    <row r="5363" spans="1:9">
      <c r="A5363" s="21"/>
      <c r="B5363"/>
      <c r="F5363" s="87"/>
      <c r="H5363" s="87"/>
      <c r="I5363" s="89"/>
    </row>
    <row r="5364" spans="1:9">
      <c r="A5364" s="21"/>
      <c r="B5364"/>
      <c r="F5364" s="87"/>
      <c r="H5364" s="87"/>
      <c r="I5364" s="89"/>
    </row>
    <row r="5365" spans="1:9">
      <c r="A5365" s="21"/>
      <c r="B5365"/>
      <c r="F5365" s="87"/>
      <c r="H5365" s="87"/>
      <c r="I5365" s="89"/>
    </row>
    <row r="5366" spans="1:9">
      <c r="A5366" s="21"/>
      <c r="B5366"/>
      <c r="F5366" s="87"/>
      <c r="H5366" s="87"/>
      <c r="I5366" s="89"/>
    </row>
    <row r="5367" spans="1:9">
      <c r="A5367" s="21"/>
      <c r="B5367"/>
      <c r="F5367" s="87"/>
      <c r="H5367" s="87"/>
      <c r="I5367" s="89"/>
    </row>
    <row r="5368" spans="1:9">
      <c r="A5368" s="21"/>
      <c r="B5368"/>
      <c r="F5368" s="87"/>
      <c r="H5368" s="87"/>
      <c r="I5368" s="89"/>
    </row>
    <row r="5369" spans="1:9">
      <c r="A5369" s="21"/>
      <c r="B5369"/>
      <c r="F5369" s="87"/>
      <c r="H5369" s="87"/>
      <c r="I5369" s="89"/>
    </row>
    <row r="5370" spans="1:9">
      <c r="A5370" s="21"/>
      <c r="B5370"/>
      <c r="F5370" s="87"/>
      <c r="H5370" s="87"/>
      <c r="I5370" s="89"/>
    </row>
    <row r="5371" spans="1:9">
      <c r="A5371" s="21"/>
      <c r="B5371"/>
      <c r="F5371" s="87"/>
      <c r="H5371" s="87"/>
      <c r="I5371" s="89"/>
    </row>
    <row r="5372" spans="1:9">
      <c r="A5372" s="21"/>
      <c r="B5372"/>
      <c r="F5372" s="87"/>
      <c r="H5372" s="87"/>
      <c r="I5372" s="89"/>
    </row>
    <row r="5373" spans="1:9">
      <c r="A5373" s="21"/>
      <c r="B5373"/>
      <c r="F5373" s="87"/>
      <c r="H5373" s="87"/>
      <c r="I5373" s="89"/>
    </row>
    <row r="5374" spans="1:9">
      <c r="A5374" s="21"/>
      <c r="B5374"/>
      <c r="F5374" s="87"/>
      <c r="H5374" s="87"/>
      <c r="I5374" s="89"/>
    </row>
    <row r="5375" spans="1:9">
      <c r="A5375" s="21"/>
      <c r="B5375"/>
      <c r="F5375" s="87"/>
      <c r="H5375" s="87"/>
      <c r="I5375" s="89"/>
    </row>
    <row r="5376" spans="1:9">
      <c r="A5376" s="21"/>
      <c r="B5376"/>
      <c r="F5376" s="87"/>
      <c r="H5376" s="87"/>
      <c r="I5376" s="89"/>
    </row>
    <row r="5377" spans="1:9">
      <c r="A5377" s="21"/>
      <c r="B5377"/>
      <c r="F5377" s="87"/>
      <c r="H5377" s="87"/>
      <c r="I5377" s="89"/>
    </row>
    <row r="5378" spans="1:9">
      <c r="A5378" s="21"/>
      <c r="B5378"/>
      <c r="F5378" s="87"/>
      <c r="H5378" s="87"/>
      <c r="I5378" s="89"/>
    </row>
    <row r="5379" spans="1:9">
      <c r="A5379" s="21"/>
      <c r="B5379"/>
      <c r="F5379" s="87"/>
      <c r="H5379" s="87"/>
      <c r="I5379" s="89"/>
    </row>
    <row r="5380" spans="1:9">
      <c r="A5380" s="21"/>
      <c r="B5380"/>
      <c r="F5380" s="87"/>
      <c r="H5380" s="87"/>
      <c r="I5380" s="89"/>
    </row>
    <row r="5381" spans="1:9">
      <c r="A5381" s="21"/>
      <c r="B5381"/>
      <c r="F5381" s="87"/>
      <c r="H5381" s="87"/>
      <c r="I5381" s="89"/>
    </row>
    <row r="5382" spans="1:9">
      <c r="A5382" s="21"/>
      <c r="B5382"/>
      <c r="F5382" s="87"/>
      <c r="H5382" s="87"/>
      <c r="I5382" s="89"/>
    </row>
    <row r="5383" spans="1:9">
      <c r="A5383" s="21"/>
      <c r="B5383"/>
      <c r="F5383" s="87"/>
      <c r="H5383" s="87"/>
      <c r="I5383" s="89"/>
    </row>
    <row r="5384" spans="1:9">
      <c r="A5384" s="21"/>
      <c r="B5384"/>
      <c r="F5384" s="87"/>
      <c r="H5384" s="87"/>
      <c r="I5384" s="89"/>
    </row>
    <row r="5385" spans="1:9">
      <c r="A5385" s="21"/>
      <c r="B5385"/>
      <c r="F5385" s="87"/>
      <c r="H5385" s="87"/>
      <c r="I5385" s="89"/>
    </row>
    <row r="5386" spans="1:9">
      <c r="A5386" s="21"/>
      <c r="B5386"/>
      <c r="F5386" s="87"/>
      <c r="H5386" s="87"/>
      <c r="I5386" s="89"/>
    </row>
    <row r="5387" spans="1:9">
      <c r="A5387" s="21"/>
      <c r="B5387"/>
      <c r="F5387" s="87"/>
      <c r="H5387" s="87"/>
      <c r="I5387" s="89"/>
    </row>
    <row r="5388" spans="1:9">
      <c r="A5388" s="21"/>
      <c r="B5388"/>
      <c r="F5388" s="87"/>
      <c r="H5388" s="87"/>
      <c r="I5388" s="89"/>
    </row>
    <row r="5389" spans="1:9">
      <c r="A5389" s="21"/>
      <c r="B5389"/>
      <c r="F5389" s="87"/>
      <c r="H5389" s="87"/>
      <c r="I5389" s="89"/>
    </row>
    <row r="5390" spans="1:9">
      <c r="A5390" s="21"/>
      <c r="B5390"/>
      <c r="F5390" s="87"/>
      <c r="H5390" s="87"/>
      <c r="I5390" s="89"/>
    </row>
    <row r="5391" spans="1:9">
      <c r="A5391" s="21"/>
      <c r="B5391"/>
      <c r="F5391" s="87"/>
      <c r="H5391" s="87"/>
      <c r="I5391" s="89"/>
    </row>
    <row r="5392" spans="1:9">
      <c r="A5392" s="21"/>
      <c r="B5392"/>
      <c r="F5392" s="87"/>
      <c r="H5392" s="87"/>
      <c r="I5392" s="89"/>
    </row>
    <row r="5393" spans="1:9">
      <c r="A5393" s="21"/>
      <c r="B5393"/>
      <c r="F5393" s="87"/>
      <c r="H5393" s="87"/>
      <c r="I5393" s="89"/>
    </row>
    <row r="5394" spans="1:9">
      <c r="A5394" s="21"/>
      <c r="B5394"/>
      <c r="F5394" s="87"/>
      <c r="H5394" s="87"/>
      <c r="I5394" s="89"/>
    </row>
    <row r="5395" spans="1:9">
      <c r="A5395" s="21"/>
      <c r="B5395"/>
      <c r="F5395" s="87"/>
      <c r="H5395" s="87"/>
      <c r="I5395" s="89"/>
    </row>
    <row r="5396" spans="1:9">
      <c r="A5396" s="21"/>
      <c r="B5396"/>
      <c r="F5396" s="87"/>
      <c r="H5396" s="87"/>
      <c r="I5396" s="89"/>
    </row>
    <row r="5397" spans="1:9">
      <c r="A5397" s="21"/>
      <c r="B5397"/>
      <c r="F5397" s="87"/>
      <c r="H5397" s="87"/>
      <c r="I5397" s="89"/>
    </row>
    <row r="5398" spans="1:9">
      <c r="A5398" s="21"/>
      <c r="B5398"/>
      <c r="F5398" s="87"/>
      <c r="H5398" s="87"/>
      <c r="I5398" s="89"/>
    </row>
    <row r="5399" spans="1:9">
      <c r="A5399" s="21"/>
      <c r="B5399"/>
      <c r="F5399" s="87"/>
      <c r="H5399" s="87"/>
      <c r="I5399" s="89"/>
    </row>
    <row r="5400" spans="1:9">
      <c r="A5400" s="21"/>
      <c r="B5400"/>
      <c r="F5400" s="87"/>
      <c r="H5400" s="87"/>
      <c r="I5400" s="89"/>
    </row>
    <row r="5401" spans="1:9">
      <c r="A5401" s="21"/>
      <c r="B5401"/>
      <c r="F5401" s="87"/>
      <c r="H5401" s="87"/>
      <c r="I5401" s="89"/>
    </row>
    <row r="5402" spans="1:9">
      <c r="A5402" s="21"/>
      <c r="B5402"/>
      <c r="F5402" s="87"/>
      <c r="H5402" s="87"/>
      <c r="I5402" s="89"/>
    </row>
    <row r="5403" spans="1:9">
      <c r="A5403" s="21"/>
      <c r="B5403"/>
      <c r="F5403" s="87"/>
      <c r="H5403" s="87"/>
      <c r="I5403" s="89"/>
    </row>
    <row r="5404" spans="1:9">
      <c r="A5404" s="21"/>
      <c r="B5404"/>
      <c r="F5404" s="87"/>
      <c r="H5404" s="87"/>
      <c r="I5404" s="89"/>
    </row>
    <row r="5405" spans="1:9">
      <c r="A5405" s="21"/>
      <c r="B5405"/>
      <c r="F5405" s="87"/>
      <c r="H5405" s="87"/>
      <c r="I5405" s="89"/>
    </row>
    <row r="5406" spans="1:9">
      <c r="A5406" s="21"/>
      <c r="B5406"/>
      <c r="F5406" s="87"/>
      <c r="H5406" s="87"/>
      <c r="I5406" s="89"/>
    </row>
    <row r="5407" spans="1:9">
      <c r="A5407" s="21"/>
      <c r="B5407"/>
      <c r="F5407" s="87"/>
      <c r="H5407" s="87"/>
      <c r="I5407" s="89"/>
    </row>
    <row r="5408" spans="1:9">
      <c r="A5408" s="21"/>
      <c r="B5408"/>
      <c r="F5408" s="87"/>
      <c r="H5408" s="87"/>
      <c r="I5408" s="89"/>
    </row>
    <row r="5409" spans="1:9">
      <c r="A5409" s="21"/>
      <c r="B5409"/>
      <c r="F5409" s="87"/>
      <c r="H5409" s="87"/>
      <c r="I5409" s="89"/>
    </row>
    <row r="5410" spans="1:9">
      <c r="A5410" s="21"/>
      <c r="B5410"/>
      <c r="F5410" s="87"/>
      <c r="H5410" s="87"/>
      <c r="I5410" s="89"/>
    </row>
    <row r="5411" spans="1:9">
      <c r="A5411" s="21"/>
      <c r="B5411"/>
      <c r="F5411" s="87"/>
      <c r="H5411" s="87"/>
      <c r="I5411" s="89"/>
    </row>
    <row r="5412" spans="1:9">
      <c r="A5412" s="21"/>
      <c r="B5412"/>
      <c r="F5412" s="87"/>
      <c r="H5412" s="87"/>
      <c r="I5412" s="89"/>
    </row>
    <row r="5413" spans="1:9">
      <c r="A5413" s="21"/>
      <c r="B5413"/>
      <c r="F5413" s="87"/>
      <c r="H5413" s="87"/>
      <c r="I5413" s="89"/>
    </row>
    <row r="5414" spans="1:9">
      <c r="A5414" s="21"/>
      <c r="B5414"/>
      <c r="F5414" s="87"/>
      <c r="H5414" s="87"/>
      <c r="I5414" s="89"/>
    </row>
    <row r="5415" spans="1:9">
      <c r="A5415" s="21"/>
      <c r="B5415"/>
      <c r="F5415" s="87"/>
      <c r="H5415" s="87"/>
      <c r="I5415" s="89"/>
    </row>
    <row r="5416" spans="1:9">
      <c r="A5416" s="21"/>
      <c r="B5416"/>
      <c r="F5416" s="87"/>
      <c r="H5416" s="87"/>
      <c r="I5416" s="89"/>
    </row>
    <row r="5417" spans="1:9">
      <c r="A5417" s="21"/>
      <c r="B5417"/>
      <c r="F5417" s="87"/>
      <c r="H5417" s="87"/>
      <c r="I5417" s="89"/>
    </row>
    <row r="5418" spans="1:9">
      <c r="A5418" s="21"/>
      <c r="B5418"/>
      <c r="F5418" s="87"/>
      <c r="H5418" s="87"/>
      <c r="I5418" s="89"/>
    </row>
    <row r="5419" spans="1:9">
      <c r="A5419" s="21"/>
      <c r="B5419"/>
      <c r="F5419" s="87"/>
      <c r="H5419" s="87"/>
      <c r="I5419" s="89"/>
    </row>
    <row r="5420" spans="1:9">
      <c r="A5420" s="21"/>
      <c r="B5420"/>
      <c r="F5420" s="87"/>
      <c r="H5420" s="87"/>
      <c r="I5420" s="89"/>
    </row>
    <row r="5421" spans="1:9">
      <c r="A5421" s="21"/>
      <c r="B5421"/>
      <c r="F5421" s="87"/>
      <c r="H5421" s="87"/>
      <c r="I5421" s="89"/>
    </row>
    <row r="5422" spans="1:9">
      <c r="A5422" s="21"/>
      <c r="B5422"/>
      <c r="F5422" s="87"/>
      <c r="H5422" s="87"/>
      <c r="I5422" s="89"/>
    </row>
    <row r="5423" spans="1:9">
      <c r="A5423" s="21"/>
      <c r="B5423"/>
      <c r="F5423" s="87"/>
      <c r="H5423" s="87"/>
      <c r="I5423" s="89"/>
    </row>
    <row r="5424" spans="1:9">
      <c r="A5424" s="21"/>
      <c r="B5424"/>
      <c r="F5424" s="87"/>
      <c r="H5424" s="87"/>
      <c r="I5424" s="89"/>
    </row>
    <row r="5425" spans="1:9">
      <c r="A5425" s="21"/>
      <c r="B5425"/>
      <c r="F5425" s="87"/>
      <c r="H5425" s="87"/>
      <c r="I5425" s="89"/>
    </row>
    <row r="5426" spans="1:9">
      <c r="A5426" s="21"/>
      <c r="B5426"/>
      <c r="F5426" s="87"/>
      <c r="H5426" s="87"/>
      <c r="I5426" s="89"/>
    </row>
    <row r="5427" spans="1:9">
      <c r="A5427" s="21"/>
      <c r="B5427"/>
      <c r="F5427" s="87"/>
      <c r="H5427" s="87"/>
      <c r="I5427" s="89"/>
    </row>
    <row r="5428" spans="1:9">
      <c r="A5428" s="21"/>
      <c r="B5428"/>
      <c r="F5428" s="87"/>
      <c r="H5428" s="87"/>
      <c r="I5428" s="89"/>
    </row>
    <row r="5429" spans="1:9">
      <c r="A5429" s="21"/>
      <c r="B5429"/>
      <c r="F5429" s="87"/>
      <c r="H5429" s="87"/>
      <c r="I5429" s="89"/>
    </row>
    <row r="5430" spans="1:9">
      <c r="A5430" s="21"/>
      <c r="B5430"/>
      <c r="F5430" s="87"/>
      <c r="H5430" s="87"/>
      <c r="I5430" s="89"/>
    </row>
    <row r="5431" spans="1:9">
      <c r="A5431" s="21"/>
      <c r="B5431"/>
      <c r="F5431" s="87"/>
      <c r="H5431" s="87"/>
      <c r="I5431" s="89"/>
    </row>
    <row r="5432" spans="1:9">
      <c r="A5432" s="21"/>
      <c r="B5432"/>
      <c r="F5432" s="87"/>
      <c r="H5432" s="87"/>
      <c r="I5432" s="89"/>
    </row>
    <row r="5433" spans="1:9">
      <c r="A5433" s="21"/>
      <c r="B5433"/>
      <c r="F5433" s="87"/>
      <c r="H5433" s="87"/>
      <c r="I5433" s="89"/>
    </row>
    <row r="5434" spans="1:9">
      <c r="A5434" s="21"/>
      <c r="B5434"/>
      <c r="F5434" s="87"/>
      <c r="H5434" s="87"/>
      <c r="I5434" s="89"/>
    </row>
    <row r="5435" spans="1:9">
      <c r="A5435" s="21"/>
      <c r="B5435"/>
      <c r="F5435" s="87"/>
      <c r="H5435" s="87"/>
      <c r="I5435" s="89"/>
    </row>
    <row r="5436" spans="1:9">
      <c r="A5436" s="21"/>
      <c r="B5436"/>
      <c r="F5436" s="87"/>
      <c r="H5436" s="87"/>
      <c r="I5436" s="89"/>
    </row>
    <row r="5437" spans="1:9">
      <c r="A5437" s="21"/>
      <c r="B5437"/>
      <c r="F5437" s="87"/>
      <c r="H5437" s="87"/>
      <c r="I5437" s="89"/>
    </row>
    <row r="5438" spans="1:9">
      <c r="A5438" s="21"/>
      <c r="B5438"/>
      <c r="F5438" s="87"/>
      <c r="H5438" s="87"/>
      <c r="I5438" s="89"/>
    </row>
    <row r="5439" spans="1:9">
      <c r="A5439" s="21"/>
      <c r="B5439"/>
      <c r="F5439" s="87"/>
      <c r="H5439" s="87"/>
      <c r="I5439" s="89"/>
    </row>
    <row r="5440" spans="1:9">
      <c r="A5440" s="21"/>
      <c r="B5440"/>
      <c r="F5440" s="87"/>
      <c r="H5440" s="87"/>
      <c r="I5440" s="89"/>
    </row>
    <row r="5441" spans="1:9">
      <c r="A5441" s="21"/>
      <c r="B5441"/>
      <c r="F5441" s="87"/>
      <c r="H5441" s="87"/>
      <c r="I5441" s="89"/>
    </row>
    <row r="5442" spans="1:9">
      <c r="A5442" s="21"/>
      <c r="B5442"/>
      <c r="F5442" s="87"/>
      <c r="H5442" s="87"/>
      <c r="I5442" s="89"/>
    </row>
    <row r="5443" spans="1:9">
      <c r="A5443" s="21"/>
      <c r="B5443"/>
      <c r="F5443" s="87"/>
      <c r="H5443" s="87"/>
      <c r="I5443" s="89"/>
    </row>
    <row r="5444" spans="1:9">
      <c r="A5444" s="21"/>
      <c r="B5444"/>
      <c r="F5444" s="87"/>
      <c r="H5444" s="87"/>
      <c r="I5444" s="89"/>
    </row>
    <row r="5445" spans="1:9">
      <c r="A5445" s="21"/>
      <c r="B5445"/>
      <c r="F5445" s="87"/>
      <c r="H5445" s="87"/>
      <c r="I5445" s="89"/>
    </row>
    <row r="5446" spans="1:9">
      <c r="A5446" s="21"/>
      <c r="B5446"/>
      <c r="F5446" s="87"/>
      <c r="H5446" s="87"/>
      <c r="I5446" s="89"/>
    </row>
    <row r="5447" spans="1:9">
      <c r="A5447" s="21"/>
      <c r="B5447"/>
      <c r="F5447" s="87"/>
      <c r="H5447" s="87"/>
      <c r="I5447" s="89"/>
    </row>
    <row r="5448" spans="1:9">
      <c r="A5448" s="21"/>
      <c r="B5448"/>
      <c r="F5448" s="87"/>
      <c r="H5448" s="87"/>
      <c r="I5448" s="89"/>
    </row>
    <row r="5449" spans="1:9">
      <c r="A5449" s="21"/>
      <c r="B5449"/>
      <c r="F5449" s="87"/>
      <c r="H5449" s="87"/>
      <c r="I5449" s="89"/>
    </row>
    <row r="5450" spans="1:9">
      <c r="A5450" s="21"/>
      <c r="B5450"/>
      <c r="F5450" s="87"/>
      <c r="H5450" s="87"/>
      <c r="I5450" s="89"/>
    </row>
    <row r="5451" spans="1:9">
      <c r="A5451" s="21"/>
      <c r="B5451"/>
      <c r="F5451" s="87"/>
      <c r="H5451" s="87"/>
      <c r="I5451" s="89"/>
    </row>
    <row r="5452" spans="1:9">
      <c r="A5452" s="21"/>
      <c r="B5452"/>
      <c r="F5452" s="87"/>
      <c r="H5452" s="87"/>
      <c r="I5452" s="89"/>
    </row>
    <row r="5453" spans="1:9">
      <c r="A5453" s="21"/>
      <c r="B5453"/>
      <c r="F5453" s="87"/>
      <c r="H5453" s="87"/>
      <c r="I5453" s="89"/>
    </row>
    <row r="5454" spans="1:9">
      <c r="A5454" s="21"/>
      <c r="B5454"/>
      <c r="F5454" s="87"/>
      <c r="H5454" s="87"/>
      <c r="I5454" s="89"/>
    </row>
    <row r="5455" spans="1:9">
      <c r="A5455" s="21"/>
      <c r="B5455"/>
      <c r="F5455" s="87"/>
      <c r="H5455" s="87"/>
      <c r="I5455" s="89"/>
    </row>
    <row r="5456" spans="1:9">
      <c r="A5456" s="21"/>
      <c r="B5456"/>
      <c r="F5456" s="87"/>
      <c r="H5456" s="87"/>
      <c r="I5456" s="89"/>
    </row>
    <row r="5457" spans="1:9">
      <c r="A5457" s="21"/>
      <c r="B5457"/>
      <c r="F5457" s="87"/>
      <c r="H5457" s="87"/>
      <c r="I5457" s="89"/>
    </row>
    <row r="5458" spans="1:9">
      <c r="A5458" s="21"/>
      <c r="B5458"/>
      <c r="F5458" s="87"/>
      <c r="H5458" s="87"/>
      <c r="I5458" s="89"/>
    </row>
    <row r="5459" spans="1:9">
      <c r="A5459" s="21"/>
      <c r="B5459"/>
      <c r="F5459" s="87"/>
      <c r="H5459" s="87"/>
      <c r="I5459" s="89"/>
    </row>
    <row r="5460" spans="1:9">
      <c r="A5460" s="21"/>
      <c r="B5460"/>
      <c r="F5460" s="87"/>
      <c r="H5460" s="87"/>
      <c r="I5460" s="89"/>
    </row>
    <row r="5461" spans="1:9">
      <c r="A5461" s="21"/>
      <c r="B5461"/>
      <c r="F5461" s="87"/>
      <c r="H5461" s="87"/>
      <c r="I5461" s="89"/>
    </row>
    <row r="5462" spans="1:9">
      <c r="A5462" s="21"/>
      <c r="B5462"/>
      <c r="F5462" s="87"/>
      <c r="H5462" s="87"/>
      <c r="I5462" s="89"/>
    </row>
    <row r="5463" spans="1:9">
      <c r="A5463" s="21"/>
      <c r="B5463"/>
      <c r="F5463" s="87"/>
      <c r="H5463" s="87"/>
      <c r="I5463" s="89"/>
    </row>
    <row r="5464" spans="1:9">
      <c r="A5464" s="21"/>
      <c r="B5464"/>
      <c r="F5464" s="87"/>
      <c r="H5464" s="87"/>
      <c r="I5464" s="89"/>
    </row>
    <row r="5465" spans="1:9">
      <c r="A5465" s="21"/>
      <c r="B5465"/>
      <c r="F5465" s="87"/>
      <c r="H5465" s="87"/>
      <c r="I5465" s="89"/>
    </row>
    <row r="5466" spans="1:9">
      <c r="A5466" s="21"/>
      <c r="B5466"/>
      <c r="F5466" s="87"/>
      <c r="H5466" s="87"/>
      <c r="I5466" s="89"/>
    </row>
    <row r="5467" spans="1:9">
      <c r="A5467" s="21"/>
      <c r="B5467"/>
      <c r="F5467" s="87"/>
      <c r="H5467" s="87"/>
      <c r="I5467" s="89"/>
    </row>
    <row r="5468" spans="1:9">
      <c r="A5468" s="21"/>
      <c r="B5468"/>
      <c r="F5468" s="87"/>
      <c r="H5468" s="87"/>
      <c r="I5468" s="89"/>
    </row>
    <row r="5469" spans="1:9">
      <c r="A5469" s="21"/>
      <c r="B5469"/>
      <c r="F5469" s="87"/>
      <c r="H5469" s="87"/>
      <c r="I5469" s="89"/>
    </row>
    <row r="5470" spans="1:9">
      <c r="A5470" s="21"/>
      <c r="B5470"/>
      <c r="F5470" s="87"/>
      <c r="H5470" s="87"/>
      <c r="I5470" s="89"/>
    </row>
    <row r="5471" spans="1:9">
      <c r="A5471" s="21"/>
      <c r="B5471"/>
      <c r="F5471" s="87"/>
      <c r="H5471" s="87"/>
      <c r="I5471" s="89"/>
    </row>
    <row r="5472" spans="1:9">
      <c r="A5472" s="21"/>
      <c r="B5472"/>
      <c r="F5472" s="87"/>
      <c r="H5472" s="87"/>
      <c r="I5472" s="89"/>
    </row>
    <row r="5473" spans="1:9">
      <c r="A5473" s="21"/>
      <c r="B5473"/>
      <c r="F5473" s="87"/>
      <c r="H5473" s="87"/>
      <c r="I5473" s="89"/>
    </row>
    <row r="5474" spans="1:9">
      <c r="A5474" s="21"/>
      <c r="B5474"/>
      <c r="F5474" s="87"/>
      <c r="H5474" s="87"/>
      <c r="I5474" s="89"/>
    </row>
    <row r="5475" spans="1:9">
      <c r="A5475" s="21"/>
      <c r="B5475"/>
      <c r="F5475" s="87"/>
      <c r="H5475" s="87"/>
      <c r="I5475" s="89"/>
    </row>
    <row r="5476" spans="1:9">
      <c r="A5476" s="21"/>
      <c r="B5476"/>
      <c r="F5476" s="87"/>
      <c r="H5476" s="87"/>
      <c r="I5476" s="89"/>
    </row>
    <row r="5477" spans="1:9">
      <c r="A5477" s="21"/>
      <c r="B5477"/>
      <c r="F5477" s="87"/>
      <c r="H5477" s="87"/>
      <c r="I5477" s="89"/>
    </row>
    <row r="5478" spans="1:9">
      <c r="A5478" s="21"/>
      <c r="B5478"/>
      <c r="F5478" s="87"/>
      <c r="H5478" s="87"/>
      <c r="I5478" s="89"/>
    </row>
    <row r="5479" spans="1:9">
      <c r="A5479" s="21"/>
      <c r="B5479"/>
      <c r="F5479" s="87"/>
      <c r="H5479" s="87"/>
      <c r="I5479" s="89"/>
    </row>
    <row r="5480" spans="1:9">
      <c r="A5480" s="21"/>
      <c r="B5480"/>
      <c r="F5480" s="87"/>
      <c r="H5480" s="87"/>
      <c r="I5480" s="89"/>
    </row>
    <row r="5481" spans="1:9">
      <c r="A5481" s="21"/>
      <c r="B5481"/>
      <c r="F5481" s="87"/>
      <c r="H5481" s="87"/>
      <c r="I5481" s="89"/>
    </row>
    <row r="5482" spans="1:9">
      <c r="A5482" s="21"/>
      <c r="B5482"/>
      <c r="F5482" s="87"/>
      <c r="H5482" s="87"/>
      <c r="I5482" s="89"/>
    </row>
    <row r="5483" spans="1:9">
      <c r="A5483" s="21"/>
      <c r="B5483"/>
      <c r="F5483" s="87"/>
      <c r="H5483" s="87"/>
      <c r="I5483" s="89"/>
    </row>
    <row r="5484" spans="1:9">
      <c r="A5484" s="21"/>
      <c r="B5484"/>
      <c r="F5484" s="87"/>
      <c r="H5484" s="87"/>
      <c r="I5484" s="89"/>
    </row>
    <row r="5485" spans="1:9">
      <c r="A5485" s="21"/>
      <c r="B5485"/>
      <c r="F5485" s="87"/>
      <c r="H5485" s="87"/>
      <c r="I5485" s="89"/>
    </row>
    <row r="5486" spans="1:9">
      <c r="A5486" s="21"/>
      <c r="B5486"/>
      <c r="F5486" s="87"/>
      <c r="H5486" s="87"/>
      <c r="I5486" s="89"/>
    </row>
    <row r="5487" spans="1:9">
      <c r="A5487" s="21"/>
      <c r="B5487"/>
      <c r="F5487" s="87"/>
      <c r="H5487" s="87"/>
      <c r="I5487" s="89"/>
    </row>
    <row r="5488" spans="1:9">
      <c r="A5488" s="21"/>
      <c r="B5488"/>
      <c r="F5488" s="87"/>
      <c r="H5488" s="87"/>
      <c r="I5488" s="89"/>
    </row>
    <row r="5489" spans="1:9">
      <c r="A5489" s="21"/>
      <c r="B5489"/>
      <c r="F5489" s="87"/>
      <c r="H5489" s="87"/>
      <c r="I5489" s="89"/>
    </row>
    <row r="5490" spans="1:9">
      <c r="A5490" s="21"/>
      <c r="B5490"/>
      <c r="F5490" s="87"/>
      <c r="H5490" s="87"/>
      <c r="I5490" s="89"/>
    </row>
    <row r="5491" spans="1:9">
      <c r="A5491" s="21"/>
      <c r="B5491"/>
      <c r="F5491" s="87"/>
      <c r="H5491" s="87"/>
      <c r="I5491" s="89"/>
    </row>
    <row r="5492" spans="1:9">
      <c r="A5492" s="21"/>
      <c r="B5492"/>
      <c r="F5492" s="87"/>
      <c r="H5492" s="87"/>
      <c r="I5492" s="89"/>
    </row>
    <row r="5493" spans="1:9">
      <c r="A5493" s="21"/>
      <c r="B5493"/>
      <c r="F5493" s="87"/>
      <c r="H5493" s="87"/>
      <c r="I5493" s="89"/>
    </row>
    <row r="5494" spans="1:9">
      <c r="A5494" s="21"/>
      <c r="B5494"/>
      <c r="F5494" s="87"/>
      <c r="H5494" s="87"/>
      <c r="I5494" s="89"/>
    </row>
    <row r="5495" spans="1:9">
      <c r="A5495" s="21"/>
      <c r="B5495"/>
      <c r="F5495" s="87"/>
      <c r="H5495" s="87"/>
      <c r="I5495" s="89"/>
    </row>
    <row r="5496" spans="1:9">
      <c r="A5496" s="21"/>
      <c r="B5496"/>
      <c r="F5496" s="87"/>
      <c r="H5496" s="87"/>
      <c r="I5496" s="89"/>
    </row>
    <row r="5497" spans="1:9">
      <c r="A5497" s="21"/>
      <c r="B5497"/>
      <c r="F5497" s="87"/>
      <c r="H5497" s="87"/>
      <c r="I5497" s="89"/>
    </row>
    <row r="5498" spans="1:9">
      <c r="A5498" s="21"/>
      <c r="B5498"/>
      <c r="F5498" s="87"/>
      <c r="H5498" s="87"/>
      <c r="I5498" s="89"/>
    </row>
    <row r="5499" spans="1:9">
      <c r="A5499" s="21"/>
      <c r="B5499"/>
      <c r="F5499" s="87"/>
      <c r="H5499" s="87"/>
      <c r="I5499" s="89"/>
    </row>
    <row r="5500" spans="1:9">
      <c r="A5500" s="21"/>
      <c r="B5500"/>
      <c r="F5500" s="87"/>
      <c r="H5500" s="87"/>
      <c r="I5500" s="89"/>
    </row>
    <row r="5501" spans="1:9">
      <c r="A5501" s="21"/>
      <c r="B5501"/>
      <c r="F5501" s="87"/>
      <c r="H5501" s="87"/>
      <c r="I5501" s="89"/>
    </row>
    <row r="5502" spans="1:9">
      <c r="A5502" s="21"/>
      <c r="B5502"/>
      <c r="F5502" s="87"/>
      <c r="H5502" s="87"/>
      <c r="I5502" s="89"/>
    </row>
    <row r="5503" spans="1:9">
      <c r="A5503" s="21"/>
      <c r="B5503"/>
      <c r="F5503" s="87"/>
      <c r="H5503" s="87"/>
      <c r="I5503" s="89"/>
    </row>
    <row r="5504" spans="1:9">
      <c r="A5504" s="21"/>
      <c r="B5504"/>
      <c r="F5504" s="87"/>
      <c r="H5504" s="87"/>
      <c r="I5504" s="89"/>
    </row>
    <row r="5505" spans="1:9">
      <c r="A5505" s="21"/>
      <c r="B5505"/>
      <c r="F5505" s="87"/>
      <c r="H5505" s="87"/>
      <c r="I5505" s="89"/>
    </row>
    <row r="5506" spans="1:9">
      <c r="A5506" s="21"/>
      <c r="B5506"/>
      <c r="F5506" s="87"/>
      <c r="H5506" s="87"/>
      <c r="I5506" s="89"/>
    </row>
    <row r="5507" spans="1:9">
      <c r="A5507" s="21"/>
      <c r="B5507"/>
      <c r="F5507" s="87"/>
      <c r="H5507" s="87"/>
      <c r="I5507" s="89"/>
    </row>
    <row r="5508" spans="1:9">
      <c r="A5508" s="21"/>
      <c r="B5508"/>
      <c r="F5508" s="87"/>
      <c r="H5508" s="87"/>
      <c r="I5508" s="89"/>
    </row>
    <row r="5509" spans="1:9">
      <c r="A5509" s="21"/>
      <c r="B5509"/>
      <c r="F5509" s="87"/>
      <c r="H5509" s="87"/>
      <c r="I5509" s="89"/>
    </row>
    <row r="5510" spans="1:9">
      <c r="A5510" s="21"/>
      <c r="B5510"/>
      <c r="F5510" s="87"/>
      <c r="H5510" s="87"/>
      <c r="I5510" s="89"/>
    </row>
    <row r="5511" spans="1:9">
      <c r="A5511" s="21"/>
      <c r="B5511"/>
      <c r="F5511" s="87"/>
      <c r="H5511" s="87"/>
      <c r="I5511" s="89"/>
    </row>
    <row r="5512" spans="1:9">
      <c r="A5512" s="21"/>
      <c r="B5512"/>
      <c r="F5512" s="87"/>
      <c r="H5512" s="87"/>
      <c r="I5512" s="89"/>
    </row>
    <row r="5513" spans="1:9">
      <c r="A5513" s="21"/>
      <c r="B5513"/>
      <c r="F5513" s="87"/>
      <c r="H5513" s="87"/>
      <c r="I5513" s="89"/>
    </row>
    <row r="5514" spans="1:9">
      <c r="A5514" s="21"/>
      <c r="B5514"/>
      <c r="F5514" s="87"/>
      <c r="H5514" s="87"/>
      <c r="I5514" s="89"/>
    </row>
    <row r="5515" spans="1:9">
      <c r="A5515" s="21"/>
      <c r="B5515"/>
      <c r="F5515" s="87"/>
      <c r="H5515" s="87"/>
      <c r="I5515" s="89"/>
    </row>
    <row r="5516" spans="1:9">
      <c r="A5516" s="21"/>
      <c r="B5516"/>
      <c r="F5516" s="87"/>
      <c r="H5516" s="87"/>
      <c r="I5516" s="89"/>
    </row>
    <row r="5517" spans="1:9">
      <c r="A5517" s="21"/>
      <c r="B5517"/>
      <c r="F5517" s="87"/>
      <c r="H5517" s="87"/>
      <c r="I5517" s="89"/>
    </row>
    <row r="5518" spans="1:9">
      <c r="A5518" s="21"/>
      <c r="B5518"/>
      <c r="F5518" s="87"/>
      <c r="H5518" s="87"/>
      <c r="I5518" s="89"/>
    </row>
    <row r="5519" spans="1:9">
      <c r="A5519" s="21"/>
      <c r="B5519"/>
      <c r="F5519" s="87"/>
      <c r="H5519" s="87"/>
      <c r="I5519" s="89"/>
    </row>
    <row r="5520" spans="1:9">
      <c r="A5520" s="21"/>
      <c r="B5520"/>
      <c r="F5520" s="87"/>
      <c r="H5520" s="87"/>
      <c r="I5520" s="89"/>
    </row>
    <row r="5521" spans="1:9">
      <c r="A5521" s="21"/>
      <c r="B5521"/>
      <c r="F5521" s="87"/>
      <c r="H5521" s="87"/>
      <c r="I5521" s="89"/>
    </row>
    <row r="5522" spans="1:9">
      <c r="A5522" s="21"/>
      <c r="B5522"/>
      <c r="F5522" s="87"/>
      <c r="H5522" s="87"/>
      <c r="I5522" s="89"/>
    </row>
    <row r="5523" spans="1:9">
      <c r="A5523" s="21"/>
      <c r="B5523"/>
      <c r="F5523" s="87"/>
      <c r="H5523" s="87"/>
      <c r="I5523" s="89"/>
    </row>
    <row r="5524" spans="1:9">
      <c r="A5524" s="21"/>
      <c r="B5524"/>
      <c r="F5524" s="87"/>
      <c r="H5524" s="87"/>
      <c r="I5524" s="89"/>
    </row>
    <row r="5525" spans="1:9">
      <c r="A5525" s="21"/>
      <c r="B5525"/>
      <c r="F5525" s="87"/>
      <c r="H5525" s="87"/>
      <c r="I5525" s="89"/>
    </row>
    <row r="5526" spans="1:9">
      <c r="A5526" s="21"/>
      <c r="B5526"/>
      <c r="F5526" s="87"/>
      <c r="H5526" s="87"/>
      <c r="I5526" s="89"/>
    </row>
    <row r="5527" spans="1:9">
      <c r="A5527" s="21"/>
      <c r="B5527"/>
      <c r="F5527" s="87"/>
      <c r="H5527" s="87"/>
      <c r="I5527" s="89"/>
    </row>
    <row r="5528" spans="1:9">
      <c r="A5528" s="21"/>
      <c r="B5528"/>
      <c r="F5528" s="87"/>
      <c r="H5528" s="87"/>
      <c r="I5528" s="89"/>
    </row>
    <row r="5529" spans="1:9">
      <c r="A5529" s="21"/>
      <c r="B5529"/>
      <c r="F5529" s="87"/>
      <c r="H5529" s="87"/>
      <c r="I5529" s="89"/>
    </row>
    <row r="5530" spans="1:9">
      <c r="A5530" s="21"/>
      <c r="B5530"/>
      <c r="F5530" s="87"/>
      <c r="H5530" s="87"/>
      <c r="I5530" s="89"/>
    </row>
    <row r="5531" spans="1:9">
      <c r="A5531" s="21"/>
      <c r="B5531"/>
      <c r="F5531" s="87"/>
      <c r="H5531" s="87"/>
      <c r="I5531" s="89"/>
    </row>
    <row r="5532" spans="1:9">
      <c r="A5532" s="21"/>
      <c r="B5532"/>
      <c r="F5532" s="87"/>
      <c r="H5532" s="87"/>
      <c r="I5532" s="89"/>
    </row>
    <row r="5533" spans="1:9">
      <c r="A5533" s="21"/>
      <c r="B5533"/>
      <c r="F5533" s="87"/>
      <c r="H5533" s="87"/>
      <c r="I5533" s="89"/>
    </row>
    <row r="5534" spans="1:9">
      <c r="A5534" s="21"/>
      <c r="B5534"/>
      <c r="F5534" s="87"/>
      <c r="H5534" s="87"/>
      <c r="I5534" s="89"/>
    </row>
    <row r="5535" spans="1:9">
      <c r="A5535" s="21"/>
      <c r="B5535"/>
      <c r="F5535" s="87"/>
      <c r="H5535" s="87"/>
      <c r="I5535" s="89"/>
    </row>
    <row r="5536" spans="1:9">
      <c r="A5536" s="21"/>
      <c r="B5536"/>
      <c r="F5536" s="87"/>
      <c r="H5536" s="87"/>
      <c r="I5536" s="89"/>
    </row>
    <row r="5537" spans="1:9">
      <c r="A5537" s="21"/>
      <c r="B5537"/>
      <c r="F5537" s="87"/>
      <c r="H5537" s="87"/>
      <c r="I5537" s="89"/>
    </row>
    <row r="5538" spans="1:9">
      <c r="A5538" s="21"/>
      <c r="B5538"/>
      <c r="F5538" s="87"/>
      <c r="H5538" s="87"/>
      <c r="I5538" s="89"/>
    </row>
    <row r="5539" spans="1:9">
      <c r="A5539" s="21"/>
      <c r="B5539"/>
      <c r="F5539" s="87"/>
      <c r="H5539" s="87"/>
      <c r="I5539" s="89"/>
    </row>
    <row r="5540" spans="1:9">
      <c r="A5540" s="21"/>
      <c r="B5540"/>
      <c r="F5540" s="87"/>
      <c r="H5540" s="87"/>
      <c r="I5540" s="89"/>
    </row>
    <row r="5541" spans="1:9">
      <c r="A5541" s="21"/>
      <c r="B5541"/>
      <c r="F5541" s="87"/>
      <c r="H5541" s="87"/>
      <c r="I5541" s="89"/>
    </row>
    <row r="5542" spans="1:9">
      <c r="A5542" s="21"/>
      <c r="B5542"/>
      <c r="F5542" s="87"/>
      <c r="H5542" s="87"/>
      <c r="I5542" s="89"/>
    </row>
    <row r="5543" spans="1:9">
      <c r="A5543" s="21"/>
      <c r="B5543"/>
      <c r="F5543" s="87"/>
      <c r="H5543" s="87"/>
      <c r="I5543" s="89"/>
    </row>
    <row r="5544" spans="1:9">
      <c r="A5544" s="21"/>
      <c r="B5544"/>
      <c r="F5544" s="87"/>
      <c r="H5544" s="87"/>
      <c r="I5544" s="89"/>
    </row>
    <row r="5545" spans="1:9">
      <c r="A5545" s="21"/>
      <c r="B5545"/>
      <c r="F5545" s="87"/>
      <c r="H5545" s="87"/>
      <c r="I5545" s="89"/>
    </row>
    <row r="5546" spans="1:9">
      <c r="A5546" s="21"/>
      <c r="B5546"/>
      <c r="F5546" s="87"/>
      <c r="H5546" s="87"/>
      <c r="I5546" s="89"/>
    </row>
    <row r="5547" spans="1:9">
      <c r="A5547" s="21"/>
      <c r="B5547"/>
      <c r="F5547" s="87"/>
      <c r="H5547" s="87"/>
      <c r="I5547" s="89"/>
    </row>
    <row r="5548" spans="1:9">
      <c r="A5548" s="21"/>
      <c r="B5548"/>
      <c r="F5548" s="87"/>
      <c r="H5548" s="87"/>
      <c r="I5548" s="89"/>
    </row>
    <row r="5549" spans="1:9">
      <c r="A5549" s="21"/>
      <c r="B5549"/>
      <c r="F5549" s="87"/>
      <c r="H5549" s="87"/>
      <c r="I5549" s="89"/>
    </row>
    <row r="5550" spans="1:9">
      <c r="A5550" s="21"/>
      <c r="B5550"/>
      <c r="F5550" s="87"/>
      <c r="H5550" s="87"/>
      <c r="I5550" s="89"/>
    </row>
    <row r="5551" spans="1:9">
      <c r="A5551" s="21"/>
      <c r="B5551"/>
      <c r="F5551" s="87"/>
      <c r="H5551" s="87"/>
      <c r="I5551" s="89"/>
    </row>
    <row r="5552" spans="1:9">
      <c r="A5552" s="21"/>
      <c r="B5552"/>
      <c r="F5552" s="87"/>
      <c r="H5552" s="87"/>
      <c r="I5552" s="89"/>
    </row>
    <row r="5553" spans="1:9">
      <c r="A5553" s="21"/>
      <c r="B5553"/>
      <c r="F5553" s="87"/>
      <c r="H5553" s="87"/>
      <c r="I5553" s="89"/>
    </row>
    <row r="5554" spans="1:9">
      <c r="A5554" s="21"/>
      <c r="B5554"/>
      <c r="F5554" s="87"/>
      <c r="H5554" s="87"/>
      <c r="I5554" s="89"/>
    </row>
    <row r="5555" spans="1:9">
      <c r="A5555" s="21"/>
      <c r="B5555"/>
      <c r="F5555" s="87"/>
      <c r="H5555" s="87"/>
      <c r="I5555" s="89"/>
    </row>
    <row r="5556" spans="1:9">
      <c r="A5556" s="21"/>
      <c r="B5556"/>
      <c r="F5556" s="87"/>
      <c r="H5556" s="87"/>
      <c r="I5556" s="89"/>
    </row>
    <row r="5557" spans="1:9">
      <c r="A5557" s="21"/>
      <c r="B5557"/>
      <c r="F5557" s="87"/>
      <c r="H5557" s="87"/>
      <c r="I5557" s="89"/>
    </row>
    <row r="5558" spans="1:9">
      <c r="A5558" s="21"/>
      <c r="B5558"/>
      <c r="F5558" s="87"/>
      <c r="H5558" s="87"/>
      <c r="I5558" s="89"/>
    </row>
    <row r="5559" spans="1:9">
      <c r="A5559" s="21"/>
      <c r="B5559"/>
      <c r="F5559" s="87"/>
      <c r="H5559" s="87"/>
      <c r="I5559" s="89"/>
    </row>
    <row r="5560" spans="1:9">
      <c r="A5560" s="21"/>
      <c r="B5560"/>
      <c r="F5560" s="87"/>
      <c r="H5560" s="87"/>
      <c r="I5560" s="89"/>
    </row>
    <row r="5561" spans="1:9">
      <c r="A5561" s="21"/>
      <c r="B5561"/>
      <c r="F5561" s="87"/>
      <c r="H5561" s="87"/>
      <c r="I5561" s="89"/>
    </row>
    <row r="5562" spans="1:9">
      <c r="A5562" s="21"/>
      <c r="B5562"/>
      <c r="F5562" s="87"/>
      <c r="H5562" s="87"/>
      <c r="I5562" s="89"/>
    </row>
    <row r="5563" spans="1:9">
      <c r="A5563" s="21"/>
      <c r="B5563"/>
      <c r="F5563" s="87"/>
      <c r="H5563" s="87"/>
      <c r="I5563" s="89"/>
    </row>
    <row r="5564" spans="1:9">
      <c r="A5564" s="21"/>
      <c r="B5564"/>
      <c r="F5564" s="87"/>
      <c r="H5564" s="87"/>
      <c r="I5564" s="89"/>
    </row>
    <row r="5565" spans="1:9">
      <c r="A5565" s="21"/>
      <c r="B5565"/>
      <c r="F5565" s="87"/>
      <c r="H5565" s="87"/>
      <c r="I5565" s="89"/>
    </row>
    <row r="5566" spans="1:9">
      <c r="A5566" s="21"/>
      <c r="B5566"/>
      <c r="F5566" s="87"/>
      <c r="H5566" s="87"/>
      <c r="I5566" s="89"/>
    </row>
    <row r="5567" spans="1:9">
      <c r="A5567" s="21"/>
      <c r="B5567"/>
      <c r="F5567" s="87"/>
      <c r="H5567" s="87"/>
      <c r="I5567" s="89"/>
    </row>
    <row r="5568" spans="1:9">
      <c r="A5568" s="21"/>
      <c r="B5568"/>
      <c r="F5568" s="87"/>
      <c r="H5568" s="87"/>
      <c r="I5568" s="89"/>
    </row>
    <row r="5569" spans="1:9">
      <c r="A5569" s="21"/>
      <c r="B5569"/>
      <c r="F5569" s="87"/>
      <c r="H5569" s="87"/>
      <c r="I5569" s="89"/>
    </row>
    <row r="5570" spans="1:9">
      <c r="A5570" s="21"/>
      <c r="B5570"/>
      <c r="F5570" s="87"/>
      <c r="H5570" s="87"/>
      <c r="I5570" s="89"/>
    </row>
    <row r="5571" spans="1:9">
      <c r="A5571" s="21"/>
      <c r="B5571"/>
      <c r="F5571" s="87"/>
      <c r="H5571" s="87"/>
      <c r="I5571" s="89"/>
    </row>
    <row r="5572" spans="1:9">
      <c r="A5572" s="21"/>
      <c r="B5572"/>
      <c r="F5572" s="87"/>
      <c r="H5572" s="87"/>
      <c r="I5572" s="89"/>
    </row>
    <row r="5573" spans="1:9">
      <c r="A5573" s="21"/>
      <c r="B5573"/>
      <c r="F5573" s="87"/>
      <c r="H5573" s="87"/>
      <c r="I5573" s="89"/>
    </row>
    <row r="5574" spans="1:9">
      <c r="A5574" s="21"/>
      <c r="B5574"/>
      <c r="F5574" s="87"/>
      <c r="H5574" s="87"/>
      <c r="I5574" s="89"/>
    </row>
    <row r="5575" spans="1:9">
      <c r="A5575" s="21"/>
      <c r="B5575"/>
      <c r="F5575" s="87"/>
      <c r="H5575" s="87"/>
      <c r="I5575" s="89"/>
    </row>
    <row r="5576" spans="1:9">
      <c r="A5576" s="21"/>
      <c r="B5576"/>
      <c r="F5576" s="87"/>
      <c r="H5576" s="87"/>
      <c r="I5576" s="89"/>
    </row>
    <row r="5577" spans="1:9">
      <c r="A5577" s="21"/>
      <c r="B5577"/>
      <c r="F5577" s="87"/>
      <c r="H5577" s="87"/>
      <c r="I5577" s="89"/>
    </row>
    <row r="5578" spans="1:9">
      <c r="A5578" s="21"/>
      <c r="B5578"/>
      <c r="F5578" s="87"/>
      <c r="H5578" s="87"/>
      <c r="I5578" s="89"/>
    </row>
    <row r="5579" spans="1:9">
      <c r="A5579" s="21"/>
      <c r="B5579"/>
      <c r="F5579" s="87"/>
      <c r="H5579" s="87"/>
      <c r="I5579" s="89"/>
    </row>
    <row r="5580" spans="1:9">
      <c r="A5580" s="21"/>
      <c r="B5580"/>
      <c r="F5580" s="87"/>
      <c r="H5580" s="87"/>
      <c r="I5580" s="89"/>
    </row>
    <row r="5581" spans="1:9">
      <c r="A5581" s="21"/>
      <c r="B5581"/>
      <c r="F5581" s="87"/>
      <c r="H5581" s="87"/>
      <c r="I5581" s="89"/>
    </row>
    <row r="5582" spans="1:9">
      <c r="A5582" s="21"/>
      <c r="B5582"/>
      <c r="F5582" s="87"/>
      <c r="H5582" s="87"/>
      <c r="I5582" s="89"/>
    </row>
    <row r="5583" spans="1:9">
      <c r="A5583" s="21"/>
      <c r="B5583"/>
      <c r="F5583" s="87"/>
      <c r="H5583" s="87"/>
      <c r="I5583" s="89"/>
    </row>
    <row r="5584" spans="1:9">
      <c r="A5584" s="21"/>
      <c r="B5584"/>
      <c r="F5584" s="87"/>
      <c r="H5584" s="87"/>
      <c r="I5584" s="89"/>
    </row>
    <row r="5585" spans="1:9">
      <c r="A5585" s="21"/>
      <c r="B5585"/>
      <c r="F5585" s="87"/>
      <c r="H5585" s="87"/>
      <c r="I5585" s="89"/>
    </row>
    <row r="5586" spans="1:9">
      <c r="A5586" s="21"/>
      <c r="B5586"/>
      <c r="F5586" s="87"/>
      <c r="H5586" s="87"/>
      <c r="I5586" s="89"/>
    </row>
    <row r="5587" spans="1:9">
      <c r="A5587" s="21"/>
      <c r="B5587"/>
      <c r="F5587" s="87"/>
      <c r="H5587" s="87"/>
      <c r="I5587" s="89"/>
    </row>
    <row r="5588" spans="1:9">
      <c r="A5588" s="21"/>
      <c r="B5588"/>
      <c r="F5588" s="87"/>
      <c r="H5588" s="87"/>
      <c r="I5588" s="89"/>
    </row>
    <row r="5589" spans="1:9">
      <c r="A5589" s="21"/>
      <c r="B5589"/>
      <c r="F5589" s="87"/>
      <c r="H5589" s="87"/>
      <c r="I5589" s="89"/>
    </row>
    <row r="5590" spans="1:9">
      <c r="A5590" s="21"/>
      <c r="B5590"/>
      <c r="F5590" s="87"/>
      <c r="H5590" s="87"/>
      <c r="I5590" s="89"/>
    </row>
    <row r="5591" spans="1:9">
      <c r="A5591" s="21"/>
      <c r="B5591"/>
      <c r="F5591" s="87"/>
      <c r="H5591" s="87"/>
      <c r="I5591" s="89"/>
    </row>
    <row r="5592" spans="1:9">
      <c r="A5592" s="21"/>
      <c r="B5592"/>
      <c r="F5592" s="87"/>
      <c r="H5592" s="87"/>
      <c r="I5592" s="89"/>
    </row>
    <row r="5593" spans="1:9">
      <c r="A5593" s="21"/>
      <c r="B5593"/>
      <c r="F5593" s="87"/>
      <c r="H5593" s="87"/>
      <c r="I5593" s="89"/>
    </row>
    <row r="5594" spans="1:9">
      <c r="A5594" s="21"/>
      <c r="B5594"/>
      <c r="F5594" s="87"/>
      <c r="H5594" s="87"/>
      <c r="I5594" s="89"/>
    </row>
    <row r="5595" spans="1:9">
      <c r="A5595" s="21"/>
      <c r="B5595"/>
      <c r="F5595" s="87"/>
      <c r="H5595" s="87"/>
      <c r="I5595" s="89"/>
    </row>
    <row r="5596" spans="1:9">
      <c r="A5596" s="21"/>
      <c r="B5596"/>
      <c r="F5596" s="87"/>
      <c r="H5596" s="87"/>
      <c r="I5596" s="89"/>
    </row>
    <row r="5597" spans="1:9">
      <c r="A5597" s="21"/>
      <c r="B5597"/>
      <c r="F5597" s="87"/>
      <c r="H5597" s="87"/>
      <c r="I5597" s="89"/>
    </row>
    <row r="5598" spans="1:9">
      <c r="A5598" s="21"/>
      <c r="B5598"/>
      <c r="F5598" s="87"/>
      <c r="H5598" s="87"/>
      <c r="I5598" s="89"/>
    </row>
    <row r="5599" spans="1:9">
      <c r="A5599" s="21"/>
      <c r="B5599"/>
      <c r="F5599" s="87"/>
      <c r="H5599" s="87"/>
      <c r="I5599" s="89"/>
    </row>
    <row r="5600" spans="1:9">
      <c r="A5600" s="21"/>
      <c r="B5600"/>
      <c r="F5600" s="87"/>
      <c r="H5600" s="87"/>
      <c r="I5600" s="89"/>
    </row>
    <row r="5601" spans="1:9">
      <c r="A5601" s="21"/>
      <c r="B5601"/>
      <c r="F5601" s="87"/>
      <c r="H5601" s="87"/>
      <c r="I5601" s="89"/>
    </row>
    <row r="5602" spans="1:9">
      <c r="A5602" s="21"/>
      <c r="B5602"/>
      <c r="F5602" s="87"/>
      <c r="H5602" s="87"/>
      <c r="I5602" s="89"/>
    </row>
    <row r="5603" spans="1:9">
      <c r="A5603" s="21"/>
      <c r="B5603"/>
      <c r="F5603" s="87"/>
      <c r="H5603" s="87"/>
      <c r="I5603" s="89"/>
    </row>
    <row r="5604" spans="1:9">
      <c r="A5604" s="21"/>
      <c r="B5604"/>
      <c r="F5604" s="87"/>
      <c r="H5604" s="87"/>
      <c r="I5604" s="89"/>
    </row>
    <row r="5605" spans="1:9">
      <c r="A5605" s="21"/>
      <c r="B5605"/>
      <c r="F5605" s="87"/>
      <c r="H5605" s="87"/>
      <c r="I5605" s="89"/>
    </row>
    <row r="5606" spans="1:9">
      <c r="A5606" s="21"/>
      <c r="B5606"/>
      <c r="F5606" s="87"/>
      <c r="H5606" s="87"/>
      <c r="I5606" s="89"/>
    </row>
    <row r="5607" spans="1:9">
      <c r="A5607" s="21"/>
      <c r="B5607"/>
      <c r="F5607" s="87"/>
      <c r="H5607" s="87"/>
      <c r="I5607" s="89"/>
    </row>
    <row r="5608" spans="1:9">
      <c r="A5608" s="21"/>
      <c r="B5608"/>
      <c r="F5608" s="87"/>
      <c r="H5608" s="87"/>
      <c r="I5608" s="89"/>
    </row>
    <row r="5609" spans="1:9">
      <c r="A5609" s="21"/>
      <c r="B5609"/>
      <c r="F5609" s="87"/>
      <c r="H5609" s="87"/>
      <c r="I5609" s="89"/>
    </row>
    <row r="5610" spans="1:9">
      <c r="A5610" s="21"/>
      <c r="B5610"/>
      <c r="F5610" s="87"/>
      <c r="H5610" s="87"/>
      <c r="I5610" s="89"/>
    </row>
    <row r="5611" spans="1:9">
      <c r="A5611" s="21"/>
      <c r="B5611"/>
      <c r="F5611" s="87"/>
      <c r="H5611" s="87"/>
      <c r="I5611" s="89"/>
    </row>
    <row r="5612" spans="1:9">
      <c r="A5612" s="21"/>
      <c r="B5612"/>
      <c r="F5612" s="87"/>
      <c r="H5612" s="87"/>
      <c r="I5612" s="89"/>
    </row>
    <row r="5613" spans="1:9">
      <c r="A5613" s="21"/>
      <c r="B5613"/>
      <c r="F5613" s="87"/>
      <c r="H5613" s="87"/>
      <c r="I5613" s="89"/>
    </row>
    <row r="5614" spans="1:9">
      <c r="A5614" s="21"/>
      <c r="B5614"/>
      <c r="F5614" s="87"/>
      <c r="H5614" s="87"/>
      <c r="I5614" s="89"/>
    </row>
    <row r="5615" spans="1:9">
      <c r="A5615" s="21"/>
      <c r="B5615"/>
      <c r="F5615" s="87"/>
      <c r="H5615" s="87"/>
      <c r="I5615" s="89"/>
    </row>
    <row r="5616" spans="1:9">
      <c r="A5616" s="21"/>
      <c r="B5616"/>
      <c r="F5616" s="87"/>
      <c r="H5616" s="87"/>
      <c r="I5616" s="89"/>
    </row>
    <row r="5617" spans="1:9">
      <c r="A5617" s="21"/>
      <c r="B5617"/>
      <c r="F5617" s="87"/>
      <c r="H5617" s="87"/>
      <c r="I5617" s="89"/>
    </row>
    <row r="5618" spans="1:9">
      <c r="A5618" s="21"/>
      <c r="B5618"/>
      <c r="F5618" s="87"/>
      <c r="H5618" s="87"/>
      <c r="I5618" s="89"/>
    </row>
    <row r="5619" spans="1:9">
      <c r="A5619" s="21"/>
      <c r="B5619"/>
      <c r="F5619" s="87"/>
      <c r="H5619" s="87"/>
      <c r="I5619" s="89"/>
    </row>
    <row r="5620" spans="1:9">
      <c r="A5620" s="21"/>
      <c r="B5620"/>
      <c r="F5620" s="87"/>
      <c r="H5620" s="87"/>
      <c r="I5620" s="89"/>
    </row>
    <row r="5621" spans="1:9">
      <c r="A5621" s="21"/>
      <c r="B5621"/>
      <c r="F5621" s="87"/>
      <c r="H5621" s="87"/>
      <c r="I5621" s="89"/>
    </row>
    <row r="5622" spans="1:9">
      <c r="A5622" s="21"/>
      <c r="B5622"/>
      <c r="F5622" s="87"/>
      <c r="H5622" s="87"/>
      <c r="I5622" s="89"/>
    </row>
    <row r="5623" spans="1:9">
      <c r="A5623" s="21"/>
      <c r="B5623"/>
      <c r="F5623" s="87"/>
      <c r="H5623" s="87"/>
      <c r="I5623" s="89"/>
    </row>
    <row r="5624" spans="1:9">
      <c r="A5624" s="21"/>
      <c r="B5624"/>
      <c r="F5624" s="87"/>
      <c r="H5624" s="87"/>
      <c r="I5624" s="89"/>
    </row>
    <row r="5625" spans="1:9">
      <c r="A5625" s="21"/>
      <c r="B5625"/>
      <c r="F5625" s="87"/>
      <c r="H5625" s="87"/>
      <c r="I5625" s="89"/>
    </row>
    <row r="5626" spans="1:9">
      <c r="A5626" s="21"/>
      <c r="B5626"/>
      <c r="F5626" s="87"/>
      <c r="H5626" s="87"/>
      <c r="I5626" s="89"/>
    </row>
    <row r="5627" spans="1:9">
      <c r="A5627" s="21"/>
      <c r="B5627"/>
      <c r="F5627" s="87"/>
      <c r="H5627" s="87"/>
      <c r="I5627" s="89"/>
    </row>
    <row r="5628" spans="1:9">
      <c r="A5628" s="21"/>
      <c r="B5628"/>
      <c r="F5628" s="87"/>
      <c r="H5628" s="87"/>
      <c r="I5628" s="89"/>
    </row>
    <row r="5629" spans="1:9">
      <c r="A5629" s="21"/>
      <c r="B5629"/>
      <c r="F5629" s="87"/>
      <c r="H5629" s="87"/>
      <c r="I5629" s="89"/>
    </row>
    <row r="5630" spans="1:9">
      <c r="A5630" s="21"/>
      <c r="B5630"/>
      <c r="F5630" s="87"/>
      <c r="H5630" s="87"/>
      <c r="I5630" s="89"/>
    </row>
    <row r="5631" spans="1:9">
      <c r="A5631" s="21"/>
      <c r="B5631"/>
      <c r="F5631" s="87"/>
      <c r="H5631" s="87"/>
      <c r="I5631" s="89"/>
    </row>
    <row r="5632" spans="1:9">
      <c r="A5632" s="21"/>
      <c r="B5632"/>
      <c r="F5632" s="87"/>
      <c r="H5632" s="87"/>
      <c r="I5632" s="89"/>
    </row>
    <row r="5633" spans="1:9">
      <c r="A5633" s="21"/>
      <c r="B5633"/>
      <c r="F5633" s="87"/>
      <c r="H5633" s="87"/>
      <c r="I5633" s="89"/>
    </row>
    <row r="5634" spans="1:9">
      <c r="A5634" s="21"/>
      <c r="B5634"/>
      <c r="F5634" s="87"/>
      <c r="H5634" s="87"/>
      <c r="I5634" s="89"/>
    </row>
    <row r="5635" spans="1:9">
      <c r="A5635" s="21"/>
      <c r="B5635"/>
      <c r="F5635" s="87"/>
      <c r="H5635" s="87"/>
      <c r="I5635" s="89"/>
    </row>
    <row r="5636" spans="1:9">
      <c r="A5636" s="21"/>
      <c r="B5636"/>
      <c r="F5636" s="87"/>
      <c r="H5636" s="87"/>
      <c r="I5636" s="89"/>
    </row>
    <row r="5637" spans="1:9">
      <c r="A5637" s="21"/>
      <c r="B5637"/>
      <c r="F5637" s="87"/>
      <c r="H5637" s="87"/>
      <c r="I5637" s="89"/>
    </row>
    <row r="5638" spans="1:9">
      <c r="A5638" s="21"/>
      <c r="B5638"/>
      <c r="F5638" s="87"/>
      <c r="H5638" s="87"/>
      <c r="I5638" s="89"/>
    </row>
    <row r="5639" spans="1:9">
      <c r="A5639" s="21"/>
      <c r="B5639"/>
      <c r="F5639" s="87"/>
      <c r="H5639" s="87"/>
      <c r="I5639" s="89"/>
    </row>
    <row r="5640" spans="1:9">
      <c r="A5640" s="21"/>
      <c r="B5640"/>
      <c r="F5640" s="87"/>
      <c r="H5640" s="87"/>
      <c r="I5640" s="89"/>
    </row>
    <row r="5641" spans="1:9">
      <c r="A5641" s="21"/>
      <c r="B5641"/>
      <c r="F5641" s="87"/>
      <c r="H5641" s="87"/>
      <c r="I5641" s="89"/>
    </row>
    <row r="5642" spans="1:9">
      <c r="A5642" s="21"/>
      <c r="B5642"/>
      <c r="F5642" s="87"/>
      <c r="H5642" s="87"/>
      <c r="I5642" s="89"/>
    </row>
    <row r="5643" spans="1:9">
      <c r="A5643" s="21"/>
      <c r="B5643"/>
      <c r="F5643" s="87"/>
      <c r="H5643" s="87"/>
      <c r="I5643" s="89"/>
    </row>
    <row r="5644" spans="1:9">
      <c r="A5644" s="21"/>
      <c r="B5644"/>
      <c r="F5644" s="87"/>
      <c r="H5644" s="87"/>
      <c r="I5644" s="89"/>
    </row>
    <row r="5645" spans="1:9">
      <c r="A5645" s="21"/>
      <c r="B5645"/>
      <c r="F5645" s="87"/>
      <c r="H5645" s="87"/>
      <c r="I5645" s="89"/>
    </row>
    <row r="5646" spans="1:9">
      <c r="A5646" s="21"/>
      <c r="B5646"/>
      <c r="F5646" s="87"/>
      <c r="H5646" s="87"/>
      <c r="I5646" s="89"/>
    </row>
    <row r="5647" spans="1:9">
      <c r="A5647" s="21"/>
      <c r="B5647"/>
      <c r="F5647" s="87"/>
      <c r="H5647" s="87"/>
      <c r="I5647" s="89"/>
    </row>
    <row r="5648" spans="1:9">
      <c r="A5648" s="21"/>
      <c r="B5648"/>
      <c r="F5648" s="87"/>
      <c r="H5648" s="87"/>
      <c r="I5648" s="89"/>
    </row>
    <row r="5649" spans="1:9">
      <c r="A5649" s="21"/>
      <c r="B5649"/>
      <c r="F5649" s="87"/>
      <c r="H5649" s="87"/>
      <c r="I5649" s="89"/>
    </row>
    <row r="5650" spans="1:9">
      <c r="A5650" s="21"/>
      <c r="B5650"/>
      <c r="F5650" s="87"/>
      <c r="H5650" s="87"/>
      <c r="I5650" s="89"/>
    </row>
    <row r="5651" spans="1:9">
      <c r="A5651" s="21"/>
      <c r="B5651"/>
      <c r="F5651" s="87"/>
      <c r="H5651" s="87"/>
      <c r="I5651" s="89"/>
    </row>
    <row r="5652" spans="1:9">
      <c r="A5652" s="21"/>
      <c r="B5652"/>
      <c r="F5652" s="87"/>
      <c r="H5652" s="87"/>
      <c r="I5652" s="89"/>
    </row>
    <row r="5653" spans="1:9">
      <c r="A5653" s="21"/>
      <c r="B5653"/>
      <c r="F5653" s="87"/>
      <c r="H5653" s="87"/>
      <c r="I5653" s="89"/>
    </row>
    <row r="5654" spans="1:9">
      <c r="A5654" s="21"/>
      <c r="B5654"/>
      <c r="F5654" s="87"/>
      <c r="H5654" s="87"/>
      <c r="I5654" s="89"/>
    </row>
    <row r="5655" spans="1:9">
      <c r="A5655" s="21"/>
      <c r="B5655"/>
      <c r="F5655" s="87"/>
      <c r="H5655" s="87"/>
      <c r="I5655" s="89"/>
    </row>
    <row r="5656" spans="1:9">
      <c r="A5656" s="21"/>
      <c r="B5656"/>
      <c r="F5656" s="87"/>
      <c r="H5656" s="87"/>
      <c r="I5656" s="89"/>
    </row>
    <row r="5657" spans="1:9">
      <c r="A5657" s="21"/>
      <c r="B5657"/>
      <c r="F5657" s="87"/>
      <c r="H5657" s="87"/>
      <c r="I5657" s="89"/>
    </row>
    <row r="5658" spans="1:9">
      <c r="A5658" s="21"/>
      <c r="B5658"/>
      <c r="F5658" s="87"/>
      <c r="H5658" s="87"/>
      <c r="I5658" s="89"/>
    </row>
    <row r="5659" spans="1:9">
      <c r="A5659" s="21"/>
      <c r="B5659"/>
      <c r="F5659" s="87"/>
      <c r="H5659" s="87"/>
      <c r="I5659" s="89"/>
    </row>
    <row r="5660" spans="1:9">
      <c r="A5660" s="21"/>
      <c r="B5660"/>
      <c r="F5660" s="87"/>
      <c r="H5660" s="87"/>
      <c r="I5660" s="89"/>
    </row>
    <row r="5661" spans="1:9">
      <c r="A5661" s="21"/>
      <c r="B5661"/>
      <c r="F5661" s="87"/>
      <c r="H5661" s="87"/>
      <c r="I5661" s="89"/>
    </row>
    <row r="5662" spans="1:9">
      <c r="A5662" s="21"/>
      <c r="B5662"/>
      <c r="F5662" s="87"/>
      <c r="H5662" s="87"/>
      <c r="I5662" s="89"/>
    </row>
    <row r="5663" spans="1:9">
      <c r="A5663" s="21"/>
      <c r="B5663"/>
      <c r="F5663" s="87"/>
      <c r="H5663" s="87"/>
      <c r="I5663" s="89"/>
    </row>
    <row r="5664" spans="1:9">
      <c r="A5664" s="21"/>
      <c r="B5664"/>
      <c r="F5664" s="87"/>
      <c r="H5664" s="87"/>
      <c r="I5664" s="89"/>
    </row>
    <row r="5665" spans="1:9">
      <c r="A5665" s="21"/>
      <c r="B5665"/>
      <c r="F5665" s="87"/>
      <c r="H5665" s="87"/>
      <c r="I5665" s="89"/>
    </row>
    <row r="5666" spans="1:9">
      <c r="A5666" s="21"/>
      <c r="B5666"/>
      <c r="F5666" s="87"/>
      <c r="H5666" s="87"/>
      <c r="I5666" s="89"/>
    </row>
    <row r="5667" spans="1:9">
      <c r="A5667" s="21"/>
      <c r="B5667"/>
      <c r="F5667" s="87"/>
      <c r="H5667" s="87"/>
      <c r="I5667" s="89"/>
    </row>
    <row r="5668" spans="1:9">
      <c r="A5668" s="21"/>
      <c r="B5668"/>
      <c r="F5668" s="87"/>
      <c r="H5668" s="87"/>
      <c r="I5668" s="89"/>
    </row>
    <row r="5669" spans="1:9">
      <c r="A5669" s="21"/>
      <c r="B5669"/>
      <c r="F5669" s="87"/>
      <c r="H5669" s="87"/>
      <c r="I5669" s="89"/>
    </row>
    <row r="5670" spans="1:9">
      <c r="A5670" s="21"/>
      <c r="B5670"/>
      <c r="F5670" s="87"/>
      <c r="H5670" s="87"/>
      <c r="I5670" s="89"/>
    </row>
    <row r="5671" spans="1:9">
      <c r="A5671" s="21"/>
      <c r="B5671"/>
      <c r="F5671" s="87"/>
      <c r="H5671" s="87"/>
      <c r="I5671" s="89"/>
    </row>
    <row r="5672" spans="1:9">
      <c r="A5672" s="21"/>
      <c r="B5672"/>
      <c r="F5672" s="87"/>
      <c r="H5672" s="87"/>
      <c r="I5672" s="89"/>
    </row>
    <row r="5673" spans="1:9">
      <c r="A5673" s="21"/>
      <c r="B5673"/>
      <c r="F5673" s="87"/>
      <c r="H5673" s="87"/>
      <c r="I5673" s="89"/>
    </row>
    <row r="5674" spans="1:9">
      <c r="A5674" s="21"/>
      <c r="B5674"/>
      <c r="F5674" s="87"/>
      <c r="H5674" s="87"/>
      <c r="I5674" s="89"/>
    </row>
    <row r="5675" spans="1:9">
      <c r="A5675" s="21"/>
      <c r="B5675"/>
      <c r="F5675" s="87"/>
      <c r="H5675" s="87"/>
      <c r="I5675" s="89"/>
    </row>
    <row r="5676" spans="1:9">
      <c r="A5676" s="21"/>
      <c r="B5676"/>
      <c r="F5676" s="87"/>
      <c r="H5676" s="87"/>
      <c r="I5676" s="89"/>
    </row>
    <row r="5677" spans="1:9">
      <c r="A5677" s="21"/>
      <c r="B5677"/>
      <c r="F5677" s="87"/>
      <c r="H5677" s="87"/>
      <c r="I5677" s="89"/>
    </row>
    <row r="5678" spans="1:9">
      <c r="A5678" s="21"/>
      <c r="B5678"/>
      <c r="F5678" s="87"/>
      <c r="H5678" s="87"/>
      <c r="I5678" s="89"/>
    </row>
    <row r="5679" spans="1:9">
      <c r="A5679" s="21"/>
      <c r="B5679"/>
      <c r="F5679" s="87"/>
      <c r="H5679" s="87"/>
      <c r="I5679" s="89"/>
    </row>
    <row r="5680" spans="1:9">
      <c r="A5680" s="21"/>
      <c r="B5680"/>
      <c r="F5680" s="87"/>
      <c r="H5680" s="87"/>
      <c r="I5680" s="89"/>
    </row>
    <row r="5681" spans="1:9">
      <c r="A5681" s="21"/>
      <c r="B5681"/>
      <c r="F5681" s="87"/>
      <c r="H5681" s="87"/>
      <c r="I5681" s="89"/>
    </row>
    <row r="5682" spans="1:9">
      <c r="A5682" s="21"/>
      <c r="B5682"/>
      <c r="F5682" s="87"/>
      <c r="H5682" s="87"/>
      <c r="I5682" s="89"/>
    </row>
    <row r="5683" spans="1:9">
      <c r="A5683" s="21"/>
      <c r="B5683"/>
      <c r="F5683" s="87"/>
      <c r="H5683" s="87"/>
      <c r="I5683" s="89"/>
    </row>
    <row r="5684" spans="1:9">
      <c r="A5684" s="21"/>
      <c r="B5684"/>
      <c r="F5684" s="87"/>
      <c r="H5684" s="87"/>
      <c r="I5684" s="89"/>
    </row>
    <row r="5685" spans="1:9">
      <c r="A5685" s="21"/>
      <c r="B5685"/>
      <c r="F5685" s="87"/>
      <c r="H5685" s="87"/>
      <c r="I5685" s="89"/>
    </row>
    <row r="5686" spans="1:9">
      <c r="A5686" s="21"/>
      <c r="B5686"/>
      <c r="F5686" s="87"/>
      <c r="H5686" s="87"/>
      <c r="I5686" s="89"/>
    </row>
    <row r="5687" spans="1:9">
      <c r="A5687" s="21"/>
      <c r="B5687"/>
      <c r="F5687" s="87"/>
      <c r="H5687" s="87"/>
      <c r="I5687" s="89"/>
    </row>
    <row r="5688" spans="1:9">
      <c r="A5688" s="21"/>
      <c r="B5688"/>
      <c r="F5688" s="87"/>
      <c r="H5688" s="87"/>
      <c r="I5688" s="89"/>
    </row>
    <row r="5689" spans="1:9">
      <c r="A5689" s="21"/>
      <c r="B5689"/>
      <c r="F5689" s="87"/>
      <c r="H5689" s="87"/>
      <c r="I5689" s="89"/>
    </row>
    <row r="5690" spans="1:9">
      <c r="A5690" s="21"/>
      <c r="B5690"/>
      <c r="F5690" s="87"/>
      <c r="H5690" s="87"/>
      <c r="I5690" s="89"/>
    </row>
    <row r="5691" spans="1:9">
      <c r="A5691" s="21"/>
      <c r="B5691"/>
      <c r="F5691" s="87"/>
      <c r="H5691" s="87"/>
      <c r="I5691" s="89"/>
    </row>
    <row r="5692" spans="1:9">
      <c r="A5692" s="21"/>
      <c r="B5692"/>
      <c r="F5692" s="87"/>
      <c r="H5692" s="87"/>
      <c r="I5692" s="89"/>
    </row>
    <row r="5693" spans="1:9">
      <c r="A5693" s="21"/>
      <c r="B5693"/>
      <c r="F5693" s="87"/>
      <c r="H5693" s="87"/>
      <c r="I5693" s="89"/>
    </row>
    <row r="5694" spans="1:9">
      <c r="A5694" s="21"/>
      <c r="B5694"/>
      <c r="F5694" s="87"/>
      <c r="H5694" s="87"/>
      <c r="I5694" s="89"/>
    </row>
    <row r="5695" spans="1:9">
      <c r="A5695" s="21"/>
      <c r="B5695"/>
      <c r="F5695" s="87"/>
      <c r="H5695" s="87"/>
      <c r="I5695" s="89"/>
    </row>
    <row r="5696" spans="1:9">
      <c r="A5696" s="21"/>
      <c r="B5696"/>
      <c r="F5696" s="87"/>
      <c r="H5696" s="87"/>
      <c r="I5696" s="89"/>
    </row>
    <row r="5697" spans="1:9">
      <c r="A5697" s="21"/>
      <c r="B5697"/>
      <c r="F5697" s="87"/>
      <c r="H5697" s="87"/>
      <c r="I5697" s="89"/>
    </row>
    <row r="5698" spans="1:9">
      <c r="A5698" s="21"/>
      <c r="B5698"/>
      <c r="F5698" s="87"/>
      <c r="H5698" s="87"/>
      <c r="I5698" s="89"/>
    </row>
    <row r="5699" spans="1:9">
      <c r="A5699" s="21"/>
      <c r="B5699"/>
      <c r="F5699" s="87"/>
      <c r="H5699" s="87"/>
      <c r="I5699" s="89"/>
    </row>
    <row r="5700" spans="1:9">
      <c r="A5700" s="21"/>
      <c r="B5700"/>
      <c r="F5700" s="87"/>
      <c r="H5700" s="87"/>
      <c r="I5700" s="89"/>
    </row>
    <row r="5701" spans="1:9">
      <c r="A5701" s="21"/>
      <c r="B5701"/>
      <c r="F5701" s="87"/>
      <c r="H5701" s="87"/>
      <c r="I5701" s="89"/>
    </row>
    <row r="5702" spans="1:9">
      <c r="A5702" s="21"/>
      <c r="B5702"/>
      <c r="F5702" s="87"/>
      <c r="H5702" s="87"/>
      <c r="I5702" s="89"/>
    </row>
    <row r="5703" spans="1:9">
      <c r="A5703" s="21"/>
      <c r="B5703"/>
      <c r="F5703" s="87"/>
      <c r="H5703" s="87"/>
      <c r="I5703" s="89"/>
    </row>
    <row r="5704" spans="1:9">
      <c r="A5704" s="21"/>
      <c r="B5704"/>
      <c r="F5704" s="87"/>
      <c r="H5704" s="87"/>
      <c r="I5704" s="89"/>
    </row>
    <row r="5705" spans="1:9">
      <c r="A5705" s="21"/>
      <c r="B5705"/>
      <c r="F5705" s="87"/>
      <c r="H5705" s="87"/>
      <c r="I5705" s="89"/>
    </row>
    <row r="5706" spans="1:9">
      <c r="A5706" s="21"/>
      <c r="B5706"/>
      <c r="F5706" s="87"/>
      <c r="H5706" s="87"/>
      <c r="I5706" s="89"/>
    </row>
    <row r="5707" spans="1:9">
      <c r="A5707" s="21"/>
      <c r="B5707"/>
      <c r="F5707" s="87"/>
      <c r="H5707" s="87"/>
      <c r="I5707" s="89"/>
    </row>
    <row r="5708" spans="1:9">
      <c r="A5708" s="21"/>
      <c r="B5708"/>
      <c r="F5708" s="87"/>
      <c r="H5708" s="87"/>
      <c r="I5708" s="89"/>
    </row>
    <row r="5709" spans="1:9">
      <c r="A5709" s="21"/>
      <c r="B5709"/>
      <c r="F5709" s="87"/>
      <c r="H5709" s="87"/>
      <c r="I5709" s="89"/>
    </row>
    <row r="5710" spans="1:9">
      <c r="A5710" s="21"/>
      <c r="B5710"/>
      <c r="F5710" s="87"/>
      <c r="H5710" s="87"/>
      <c r="I5710" s="89"/>
    </row>
    <row r="5711" spans="1:9">
      <c r="A5711" s="21"/>
      <c r="B5711"/>
      <c r="F5711" s="87"/>
      <c r="H5711" s="87"/>
      <c r="I5711" s="89"/>
    </row>
    <row r="5712" spans="1:9">
      <c r="A5712" s="21"/>
      <c r="B5712"/>
      <c r="F5712" s="87"/>
      <c r="H5712" s="87"/>
      <c r="I5712" s="89"/>
    </row>
    <row r="5713" spans="1:9">
      <c r="A5713" s="21"/>
      <c r="B5713"/>
      <c r="F5713" s="87"/>
      <c r="H5713" s="87"/>
      <c r="I5713" s="89"/>
    </row>
    <row r="5714" spans="1:9">
      <c r="A5714" s="21"/>
      <c r="B5714"/>
      <c r="F5714" s="87"/>
      <c r="H5714" s="87"/>
      <c r="I5714" s="89"/>
    </row>
    <row r="5715" spans="1:9">
      <c r="A5715" s="21"/>
      <c r="B5715"/>
      <c r="F5715" s="87"/>
      <c r="H5715" s="87"/>
      <c r="I5715" s="89"/>
    </row>
    <row r="5716" spans="1:9">
      <c r="A5716" s="21"/>
      <c r="B5716"/>
      <c r="F5716" s="87"/>
      <c r="H5716" s="87"/>
      <c r="I5716" s="89"/>
    </row>
    <row r="5717" spans="1:9">
      <c r="A5717" s="21"/>
      <c r="B5717"/>
      <c r="F5717" s="87"/>
      <c r="H5717" s="87"/>
      <c r="I5717" s="89"/>
    </row>
    <row r="5718" spans="1:9">
      <c r="A5718" s="21"/>
      <c r="B5718"/>
      <c r="F5718" s="87"/>
      <c r="H5718" s="87"/>
      <c r="I5718" s="89"/>
    </row>
    <row r="5719" spans="1:9">
      <c r="A5719" s="21"/>
      <c r="B5719"/>
      <c r="F5719" s="87"/>
      <c r="H5719" s="87"/>
      <c r="I5719" s="89"/>
    </row>
    <row r="5720" spans="1:9">
      <c r="A5720" s="21"/>
      <c r="B5720"/>
      <c r="F5720" s="87"/>
      <c r="H5720" s="87"/>
      <c r="I5720" s="89"/>
    </row>
    <row r="5721" spans="1:9">
      <c r="A5721" s="21"/>
      <c r="B5721"/>
      <c r="F5721" s="87"/>
      <c r="H5721" s="87"/>
      <c r="I5721" s="89"/>
    </row>
    <row r="5722" spans="1:9">
      <c r="A5722" s="21"/>
      <c r="B5722"/>
      <c r="F5722" s="87"/>
      <c r="H5722" s="87"/>
      <c r="I5722" s="89"/>
    </row>
    <row r="5723" spans="1:9">
      <c r="A5723" s="21"/>
      <c r="B5723"/>
      <c r="F5723" s="87"/>
      <c r="H5723" s="87"/>
      <c r="I5723" s="89"/>
    </row>
    <row r="5724" spans="1:9">
      <c r="A5724" s="21"/>
      <c r="B5724"/>
      <c r="F5724" s="87"/>
      <c r="H5724" s="87"/>
      <c r="I5724" s="89"/>
    </row>
    <row r="5725" spans="1:9">
      <c r="A5725" s="21"/>
      <c r="B5725"/>
      <c r="F5725" s="87"/>
      <c r="H5725" s="87"/>
      <c r="I5725" s="89"/>
    </row>
    <row r="5726" spans="1:9">
      <c r="A5726" s="21"/>
      <c r="B5726"/>
      <c r="F5726" s="87"/>
      <c r="H5726" s="87"/>
      <c r="I5726" s="89"/>
    </row>
    <row r="5727" spans="1:9">
      <c r="A5727" s="21"/>
      <c r="B5727"/>
      <c r="F5727" s="87"/>
      <c r="H5727" s="87"/>
      <c r="I5727" s="89"/>
    </row>
    <row r="5728" spans="1:9">
      <c r="A5728" s="21"/>
      <c r="B5728"/>
      <c r="F5728" s="87"/>
      <c r="H5728" s="87"/>
      <c r="I5728" s="89"/>
    </row>
    <row r="5729" spans="1:9">
      <c r="A5729" s="21"/>
      <c r="B5729"/>
      <c r="F5729" s="87"/>
      <c r="H5729" s="87"/>
      <c r="I5729" s="89"/>
    </row>
    <row r="5730" spans="1:9">
      <c r="A5730" s="21"/>
      <c r="B5730"/>
      <c r="F5730" s="87"/>
      <c r="H5730" s="87"/>
      <c r="I5730" s="89"/>
    </row>
    <row r="5731" spans="1:9">
      <c r="A5731" s="21"/>
      <c r="B5731"/>
      <c r="F5731" s="87"/>
      <c r="H5731" s="87"/>
      <c r="I5731" s="89"/>
    </row>
    <row r="5732" spans="1:9">
      <c r="A5732" s="21"/>
      <c r="B5732"/>
      <c r="F5732" s="87"/>
      <c r="H5732" s="87"/>
      <c r="I5732" s="89"/>
    </row>
    <row r="5733" spans="1:9">
      <c r="A5733" s="21"/>
      <c r="B5733"/>
      <c r="F5733" s="87"/>
      <c r="H5733" s="87"/>
      <c r="I5733" s="89"/>
    </row>
    <row r="5734" spans="1:9">
      <c r="A5734" s="21"/>
      <c r="B5734"/>
      <c r="F5734" s="87"/>
      <c r="H5734" s="87"/>
      <c r="I5734" s="89"/>
    </row>
    <row r="5735" spans="1:9">
      <c r="A5735" s="21"/>
      <c r="B5735"/>
      <c r="F5735" s="87"/>
      <c r="H5735" s="87"/>
      <c r="I5735" s="89"/>
    </row>
    <row r="5736" spans="1:9">
      <c r="A5736" s="21"/>
      <c r="B5736"/>
      <c r="F5736" s="87"/>
      <c r="H5736" s="87"/>
      <c r="I5736" s="89"/>
    </row>
    <row r="5737" spans="1:9">
      <c r="A5737" s="21"/>
      <c r="B5737"/>
      <c r="F5737" s="87"/>
      <c r="H5737" s="87"/>
      <c r="I5737" s="89"/>
    </row>
    <row r="5738" spans="1:9">
      <c r="A5738" s="21"/>
      <c r="B5738"/>
      <c r="F5738" s="87"/>
      <c r="H5738" s="87"/>
      <c r="I5738" s="89"/>
    </row>
    <row r="5739" spans="1:9">
      <c r="A5739" s="21"/>
      <c r="B5739"/>
      <c r="F5739" s="87"/>
      <c r="H5739" s="87"/>
      <c r="I5739" s="89"/>
    </row>
    <row r="5740" spans="1:9">
      <c r="A5740" s="21"/>
      <c r="B5740"/>
      <c r="F5740" s="87"/>
      <c r="H5740" s="87"/>
      <c r="I5740" s="89"/>
    </row>
    <row r="5741" spans="1:9">
      <c r="A5741" s="21"/>
      <c r="B5741"/>
      <c r="F5741" s="87"/>
      <c r="H5741" s="87"/>
      <c r="I5741" s="89"/>
    </row>
    <row r="5742" spans="1:9">
      <c r="A5742" s="21"/>
      <c r="B5742"/>
      <c r="F5742" s="87"/>
      <c r="H5742" s="87"/>
      <c r="I5742" s="89"/>
    </row>
    <row r="5743" spans="1:9">
      <c r="A5743" s="21"/>
      <c r="B5743"/>
      <c r="F5743" s="87"/>
      <c r="H5743" s="87"/>
      <c r="I5743" s="89"/>
    </row>
    <row r="5744" spans="1:9">
      <c r="A5744" s="21"/>
      <c r="B5744"/>
      <c r="F5744" s="87"/>
      <c r="H5744" s="87"/>
      <c r="I5744" s="89"/>
    </row>
    <row r="5745" spans="1:9">
      <c r="A5745" s="21"/>
      <c r="B5745"/>
      <c r="F5745" s="87"/>
      <c r="H5745" s="87"/>
      <c r="I5745" s="89"/>
    </row>
    <row r="5746" spans="1:9">
      <c r="A5746" s="21"/>
      <c r="B5746"/>
      <c r="F5746" s="87"/>
      <c r="H5746" s="87"/>
      <c r="I5746" s="89"/>
    </row>
    <row r="5747" spans="1:9">
      <c r="A5747" s="21"/>
      <c r="B5747"/>
      <c r="F5747" s="87"/>
      <c r="H5747" s="87"/>
      <c r="I5747" s="89"/>
    </row>
    <row r="5748" spans="1:9">
      <c r="A5748" s="21"/>
      <c r="B5748"/>
      <c r="F5748" s="87"/>
      <c r="H5748" s="87"/>
      <c r="I5748" s="89"/>
    </row>
    <row r="5749" spans="1:9">
      <c r="A5749" s="21"/>
      <c r="B5749"/>
      <c r="F5749" s="87"/>
      <c r="H5749" s="87"/>
      <c r="I5749" s="89"/>
    </row>
    <row r="5750" spans="1:9">
      <c r="A5750" s="21"/>
      <c r="B5750"/>
      <c r="F5750" s="87"/>
      <c r="H5750" s="87"/>
      <c r="I5750" s="89"/>
    </row>
    <row r="5751" spans="1:9">
      <c r="A5751" s="21"/>
      <c r="B5751"/>
      <c r="F5751" s="87"/>
      <c r="H5751" s="87"/>
      <c r="I5751" s="89"/>
    </row>
    <row r="5752" spans="1:9">
      <c r="A5752" s="21"/>
      <c r="B5752"/>
      <c r="F5752" s="87"/>
      <c r="H5752" s="87"/>
      <c r="I5752" s="89"/>
    </row>
    <row r="5753" spans="1:9">
      <c r="A5753" s="21"/>
      <c r="B5753"/>
      <c r="F5753" s="87"/>
      <c r="H5753" s="87"/>
      <c r="I5753" s="89"/>
    </row>
    <row r="5754" spans="1:9">
      <c r="A5754" s="21"/>
      <c r="B5754"/>
      <c r="F5754" s="87"/>
      <c r="H5754" s="87"/>
      <c r="I5754" s="89"/>
    </row>
    <row r="5755" spans="1:9">
      <c r="A5755" s="21"/>
      <c r="B5755"/>
      <c r="F5755" s="87"/>
      <c r="H5755" s="87"/>
      <c r="I5755" s="89"/>
    </row>
    <row r="5756" spans="1:9">
      <c r="A5756" s="21"/>
      <c r="B5756"/>
      <c r="F5756" s="87"/>
      <c r="H5756" s="87"/>
      <c r="I5756" s="89"/>
    </row>
    <row r="5757" spans="1:9">
      <c r="A5757" s="21"/>
      <c r="B5757"/>
      <c r="F5757" s="87"/>
      <c r="H5757" s="87"/>
      <c r="I5757" s="89"/>
    </row>
    <row r="5758" spans="1:9">
      <c r="A5758" s="21"/>
      <c r="B5758"/>
      <c r="F5758" s="87"/>
      <c r="H5758" s="87"/>
      <c r="I5758" s="89"/>
    </row>
    <row r="5759" spans="1:9">
      <c r="A5759" s="21"/>
      <c r="B5759"/>
      <c r="F5759" s="87"/>
      <c r="H5759" s="87"/>
      <c r="I5759" s="89"/>
    </row>
    <row r="5760" spans="1:9">
      <c r="A5760" s="21"/>
      <c r="B5760"/>
      <c r="F5760" s="87"/>
      <c r="H5760" s="87"/>
      <c r="I5760" s="89"/>
    </row>
    <row r="5761" spans="1:9">
      <c r="A5761" s="21"/>
      <c r="B5761"/>
      <c r="F5761" s="87"/>
      <c r="H5761" s="87"/>
      <c r="I5761" s="89"/>
    </row>
    <row r="5762" spans="1:9">
      <c r="A5762" s="21"/>
      <c r="B5762"/>
      <c r="F5762" s="87"/>
      <c r="H5762" s="87"/>
      <c r="I5762" s="89"/>
    </row>
    <row r="5763" spans="1:9">
      <c r="A5763" s="21"/>
      <c r="B5763"/>
      <c r="F5763" s="87"/>
      <c r="H5763" s="87"/>
      <c r="I5763" s="89"/>
    </row>
    <row r="5764" spans="1:9">
      <c r="A5764" s="21"/>
      <c r="B5764"/>
      <c r="F5764" s="87"/>
      <c r="H5764" s="87"/>
      <c r="I5764" s="89"/>
    </row>
    <row r="5765" spans="1:9">
      <c r="A5765" s="21"/>
      <c r="B5765"/>
      <c r="F5765" s="87"/>
      <c r="H5765" s="87"/>
      <c r="I5765" s="89"/>
    </row>
    <row r="5766" spans="1:9">
      <c r="A5766" s="21"/>
      <c r="B5766"/>
      <c r="F5766" s="87"/>
      <c r="H5766" s="87"/>
      <c r="I5766" s="89"/>
    </row>
    <row r="5767" spans="1:9">
      <c r="A5767" s="21"/>
      <c r="B5767"/>
      <c r="F5767" s="87"/>
      <c r="H5767" s="87"/>
      <c r="I5767" s="89"/>
    </row>
    <row r="5768" spans="1:9">
      <c r="A5768" s="21"/>
      <c r="B5768"/>
      <c r="F5768" s="87"/>
      <c r="H5768" s="87"/>
      <c r="I5768" s="89"/>
    </row>
    <row r="5769" spans="1:9">
      <c r="A5769" s="21"/>
      <c r="B5769"/>
      <c r="F5769" s="87"/>
      <c r="H5769" s="87"/>
      <c r="I5769" s="89"/>
    </row>
    <row r="5770" spans="1:9">
      <c r="A5770" s="21"/>
      <c r="B5770"/>
      <c r="F5770" s="87"/>
      <c r="H5770" s="87"/>
      <c r="I5770" s="89"/>
    </row>
    <row r="5771" spans="1:9">
      <c r="A5771" s="21"/>
      <c r="B5771"/>
      <c r="F5771" s="87"/>
      <c r="H5771" s="87"/>
      <c r="I5771" s="89"/>
    </row>
    <row r="5772" spans="1:9">
      <c r="A5772" s="21"/>
      <c r="B5772"/>
      <c r="F5772" s="87"/>
      <c r="H5772" s="87"/>
      <c r="I5772" s="89"/>
    </row>
    <row r="5773" spans="1:9">
      <c r="A5773" s="21"/>
      <c r="B5773"/>
      <c r="F5773" s="87"/>
      <c r="H5773" s="87"/>
      <c r="I5773" s="89"/>
    </row>
    <row r="5774" spans="1:9">
      <c r="A5774" s="21"/>
      <c r="B5774"/>
      <c r="F5774" s="87"/>
      <c r="H5774" s="87"/>
      <c r="I5774" s="89"/>
    </row>
    <row r="5775" spans="1:9">
      <c r="A5775" s="21"/>
      <c r="B5775"/>
      <c r="F5775" s="87"/>
      <c r="H5775" s="87"/>
      <c r="I5775" s="89"/>
    </row>
    <row r="5776" spans="1:9">
      <c r="A5776" s="21"/>
      <c r="B5776"/>
      <c r="F5776" s="87"/>
      <c r="H5776" s="87"/>
      <c r="I5776" s="89"/>
    </row>
    <row r="5777" spans="1:9">
      <c r="A5777" s="21"/>
      <c r="B5777"/>
      <c r="F5777" s="87"/>
      <c r="H5777" s="87"/>
      <c r="I5777" s="89"/>
    </row>
    <row r="5778" spans="1:9">
      <c r="A5778" s="21"/>
      <c r="B5778"/>
      <c r="F5778" s="87"/>
      <c r="H5778" s="87"/>
      <c r="I5778" s="89"/>
    </row>
    <row r="5779" spans="1:9">
      <c r="A5779" s="21"/>
      <c r="B5779"/>
      <c r="F5779" s="87"/>
      <c r="H5779" s="87"/>
      <c r="I5779" s="89"/>
    </row>
    <row r="5780" spans="1:9">
      <c r="A5780" s="21"/>
      <c r="B5780"/>
      <c r="F5780" s="87"/>
      <c r="H5780" s="87"/>
      <c r="I5780" s="89"/>
    </row>
    <row r="5781" spans="1:9">
      <c r="A5781" s="21"/>
      <c r="B5781"/>
      <c r="F5781" s="87"/>
      <c r="H5781" s="87"/>
      <c r="I5781" s="89"/>
    </row>
    <row r="5782" spans="1:9">
      <c r="A5782" s="21"/>
      <c r="B5782"/>
      <c r="F5782" s="87"/>
      <c r="H5782" s="87"/>
      <c r="I5782" s="89"/>
    </row>
    <row r="5783" spans="1:9">
      <c r="A5783" s="21"/>
      <c r="B5783"/>
      <c r="F5783" s="87"/>
      <c r="H5783" s="87"/>
      <c r="I5783" s="89"/>
    </row>
    <row r="5784" spans="1:9">
      <c r="A5784" s="21"/>
      <c r="B5784"/>
      <c r="F5784" s="87"/>
      <c r="H5784" s="87"/>
      <c r="I5784" s="89"/>
    </row>
    <row r="5785" spans="1:9">
      <c r="A5785" s="21"/>
      <c r="B5785"/>
      <c r="F5785" s="87"/>
      <c r="H5785" s="87"/>
      <c r="I5785" s="89"/>
    </row>
    <row r="5786" spans="1:9">
      <c r="A5786" s="21"/>
      <c r="B5786"/>
      <c r="F5786" s="87"/>
      <c r="H5786" s="87"/>
      <c r="I5786" s="89"/>
    </row>
    <row r="5787" spans="1:9">
      <c r="A5787" s="21"/>
      <c r="B5787"/>
      <c r="F5787" s="87"/>
      <c r="H5787" s="87"/>
      <c r="I5787" s="89"/>
    </row>
    <row r="5788" spans="1:9">
      <c r="A5788" s="21"/>
      <c r="B5788"/>
      <c r="F5788" s="87"/>
      <c r="H5788" s="87"/>
      <c r="I5788" s="89"/>
    </row>
    <row r="5789" spans="1:9">
      <c r="A5789" s="21"/>
      <c r="B5789"/>
      <c r="F5789" s="87"/>
      <c r="H5789" s="87"/>
      <c r="I5789" s="89"/>
    </row>
    <row r="5790" spans="1:9">
      <c r="A5790" s="21"/>
      <c r="B5790"/>
      <c r="F5790" s="87"/>
      <c r="H5790" s="87"/>
      <c r="I5790" s="89"/>
    </row>
    <row r="5791" spans="1:9">
      <c r="A5791" s="21"/>
      <c r="B5791"/>
      <c r="F5791" s="87"/>
      <c r="H5791" s="87"/>
      <c r="I5791" s="89"/>
    </row>
    <row r="5792" spans="1:9">
      <c r="A5792" s="21"/>
      <c r="B5792"/>
      <c r="F5792" s="87"/>
      <c r="H5792" s="87"/>
      <c r="I5792" s="89"/>
    </row>
    <row r="5793" spans="1:9">
      <c r="A5793" s="21"/>
      <c r="B5793"/>
      <c r="F5793" s="87"/>
      <c r="H5793" s="87"/>
      <c r="I5793" s="89"/>
    </row>
    <row r="5794" spans="1:9">
      <c r="A5794" s="21"/>
      <c r="B5794"/>
      <c r="F5794" s="87"/>
      <c r="H5794" s="87"/>
      <c r="I5794" s="89"/>
    </row>
    <row r="5795" spans="1:9">
      <c r="A5795" s="21"/>
      <c r="B5795"/>
      <c r="F5795" s="87"/>
      <c r="H5795" s="87"/>
      <c r="I5795" s="89"/>
    </row>
    <row r="5796" spans="1:9">
      <c r="A5796" s="21"/>
      <c r="B5796"/>
      <c r="F5796" s="87"/>
      <c r="H5796" s="87"/>
      <c r="I5796" s="89"/>
    </row>
    <row r="5797" spans="1:9">
      <c r="A5797" s="21"/>
      <c r="B5797"/>
      <c r="F5797" s="87"/>
      <c r="H5797" s="87"/>
      <c r="I5797" s="89"/>
    </row>
    <row r="5798" spans="1:9">
      <c r="A5798" s="21"/>
      <c r="B5798"/>
      <c r="F5798" s="87"/>
      <c r="H5798" s="87"/>
      <c r="I5798" s="89"/>
    </row>
    <row r="5799" spans="1:9">
      <c r="A5799" s="21"/>
      <c r="B5799"/>
      <c r="F5799" s="87"/>
      <c r="H5799" s="87"/>
      <c r="I5799" s="89"/>
    </row>
    <row r="5800" spans="1:9">
      <c r="A5800" s="21"/>
      <c r="B5800"/>
      <c r="F5800" s="87"/>
      <c r="H5800" s="87"/>
      <c r="I5800" s="89"/>
    </row>
    <row r="5801" spans="1:9">
      <c r="A5801" s="21"/>
      <c r="B5801"/>
      <c r="F5801" s="87"/>
      <c r="H5801" s="87"/>
      <c r="I5801" s="89"/>
    </row>
    <row r="5802" spans="1:9">
      <c r="A5802" s="21"/>
      <c r="B5802"/>
      <c r="F5802" s="87"/>
      <c r="H5802" s="87"/>
      <c r="I5802" s="89"/>
    </row>
    <row r="5803" spans="1:9">
      <c r="A5803" s="21"/>
      <c r="B5803"/>
      <c r="F5803" s="87"/>
      <c r="H5803" s="87"/>
      <c r="I5803" s="89"/>
    </row>
    <row r="5804" spans="1:9">
      <c r="A5804" s="21"/>
      <c r="B5804"/>
      <c r="F5804" s="87"/>
      <c r="H5804" s="87"/>
      <c r="I5804" s="89"/>
    </row>
    <row r="5805" spans="1:9">
      <c r="A5805" s="21"/>
      <c r="B5805"/>
      <c r="F5805" s="87"/>
      <c r="H5805" s="87"/>
      <c r="I5805" s="89"/>
    </row>
    <row r="5806" spans="1:9">
      <c r="A5806" s="21"/>
      <c r="B5806"/>
      <c r="F5806" s="87"/>
      <c r="H5806" s="87"/>
      <c r="I5806" s="89"/>
    </row>
    <row r="5807" spans="1:9">
      <c r="A5807" s="21"/>
      <c r="B5807"/>
      <c r="F5807" s="87"/>
      <c r="H5807" s="87"/>
      <c r="I5807" s="89"/>
    </row>
    <row r="5808" spans="1:9">
      <c r="A5808" s="21"/>
      <c r="B5808"/>
      <c r="F5808" s="87"/>
      <c r="H5808" s="87"/>
      <c r="I5808" s="89"/>
    </row>
    <row r="5809" spans="1:9">
      <c r="A5809" s="21"/>
      <c r="B5809"/>
      <c r="F5809" s="87"/>
      <c r="H5809" s="87"/>
      <c r="I5809" s="89"/>
    </row>
    <row r="5810" spans="1:9">
      <c r="A5810" s="21"/>
      <c r="B5810"/>
      <c r="F5810" s="87"/>
      <c r="H5810" s="87"/>
      <c r="I5810" s="89"/>
    </row>
    <row r="5811" spans="1:9">
      <c r="A5811" s="21"/>
      <c r="B5811"/>
      <c r="F5811" s="87"/>
      <c r="H5811" s="87"/>
      <c r="I5811" s="89"/>
    </row>
    <row r="5812" spans="1:9">
      <c r="A5812" s="21"/>
      <c r="B5812"/>
      <c r="F5812" s="87"/>
      <c r="H5812" s="87"/>
      <c r="I5812" s="89"/>
    </row>
    <row r="5813" spans="1:9">
      <c r="A5813" s="21"/>
      <c r="B5813"/>
      <c r="F5813" s="87"/>
      <c r="H5813" s="87"/>
      <c r="I5813" s="89"/>
    </row>
    <row r="5814" spans="1:9">
      <c r="A5814" s="21"/>
      <c r="B5814"/>
      <c r="F5814" s="87"/>
      <c r="H5814" s="87"/>
      <c r="I5814" s="89"/>
    </row>
    <row r="5815" spans="1:9">
      <c r="A5815" s="21"/>
      <c r="B5815"/>
      <c r="F5815" s="87"/>
      <c r="H5815" s="87"/>
      <c r="I5815" s="89"/>
    </row>
    <row r="5816" spans="1:9">
      <c r="A5816" s="21"/>
      <c r="B5816"/>
      <c r="F5816" s="87"/>
      <c r="H5816" s="87"/>
      <c r="I5816" s="89"/>
    </row>
    <row r="5817" spans="1:9">
      <c r="A5817" s="21"/>
      <c r="B5817"/>
      <c r="F5817" s="87"/>
      <c r="H5817" s="87"/>
      <c r="I5817" s="89"/>
    </row>
    <row r="5818" spans="1:9">
      <c r="A5818" s="21"/>
      <c r="B5818"/>
      <c r="F5818" s="87"/>
      <c r="H5818" s="87"/>
      <c r="I5818" s="89"/>
    </row>
    <row r="5819" spans="1:9">
      <c r="A5819" s="21"/>
      <c r="B5819"/>
      <c r="F5819" s="87"/>
      <c r="H5819" s="87"/>
      <c r="I5819" s="89"/>
    </row>
    <row r="5820" spans="1:9">
      <c r="A5820" s="21"/>
      <c r="B5820"/>
      <c r="F5820" s="87"/>
      <c r="H5820" s="87"/>
      <c r="I5820" s="89"/>
    </row>
    <row r="5821" spans="1:9">
      <c r="A5821" s="21"/>
      <c r="B5821"/>
      <c r="F5821" s="87"/>
      <c r="H5821" s="87"/>
      <c r="I5821" s="89"/>
    </row>
    <row r="5822" spans="1:9">
      <c r="A5822" s="21"/>
      <c r="B5822"/>
      <c r="F5822" s="87"/>
      <c r="H5822" s="87"/>
      <c r="I5822" s="89"/>
    </row>
    <row r="5823" spans="1:9">
      <c r="A5823" s="21"/>
      <c r="B5823"/>
      <c r="F5823" s="87"/>
      <c r="H5823" s="87"/>
      <c r="I5823" s="89"/>
    </row>
    <row r="5824" spans="1:9">
      <c r="A5824" s="21"/>
      <c r="B5824"/>
      <c r="F5824" s="87"/>
      <c r="H5824" s="87"/>
      <c r="I5824" s="89"/>
    </row>
    <row r="5825" spans="1:9">
      <c r="A5825" s="21"/>
      <c r="B5825"/>
      <c r="F5825" s="87"/>
      <c r="H5825" s="87"/>
      <c r="I5825" s="89"/>
    </row>
    <row r="5826" spans="1:9">
      <c r="A5826" s="21"/>
      <c r="B5826"/>
      <c r="F5826" s="87"/>
      <c r="H5826" s="87"/>
      <c r="I5826" s="89"/>
    </row>
    <row r="5827" spans="1:9">
      <c r="A5827" s="21"/>
      <c r="B5827"/>
      <c r="F5827" s="87"/>
      <c r="H5827" s="87"/>
      <c r="I5827" s="89"/>
    </row>
    <row r="5828" spans="1:9">
      <c r="A5828" s="21"/>
      <c r="B5828"/>
      <c r="F5828" s="87"/>
      <c r="H5828" s="87"/>
      <c r="I5828" s="89"/>
    </row>
    <row r="5829" spans="1:9">
      <c r="A5829" s="21"/>
      <c r="B5829"/>
      <c r="F5829" s="87"/>
      <c r="H5829" s="87"/>
      <c r="I5829" s="89"/>
    </row>
    <row r="5830" spans="1:9">
      <c r="A5830" s="21"/>
      <c r="B5830"/>
      <c r="F5830" s="87"/>
      <c r="H5830" s="87"/>
      <c r="I5830" s="89"/>
    </row>
    <row r="5831" spans="1:9">
      <c r="A5831" s="21"/>
      <c r="B5831"/>
      <c r="F5831" s="87"/>
      <c r="H5831" s="87"/>
      <c r="I5831" s="89"/>
    </row>
    <row r="5832" spans="1:9">
      <c r="A5832" s="21"/>
      <c r="B5832"/>
      <c r="F5832" s="87"/>
      <c r="H5832" s="87"/>
      <c r="I5832" s="89"/>
    </row>
    <row r="5833" spans="1:9">
      <c r="A5833" s="21"/>
      <c r="B5833"/>
      <c r="F5833" s="87"/>
      <c r="H5833" s="87"/>
      <c r="I5833" s="89"/>
    </row>
    <row r="5834" spans="1:9">
      <c r="A5834" s="21"/>
      <c r="B5834"/>
      <c r="F5834" s="87"/>
      <c r="H5834" s="87"/>
      <c r="I5834" s="89"/>
    </row>
    <row r="5835" spans="1:9">
      <c r="A5835" s="21"/>
      <c r="B5835"/>
      <c r="F5835" s="87"/>
      <c r="H5835" s="87"/>
      <c r="I5835" s="89"/>
    </row>
    <row r="5836" spans="1:9">
      <c r="A5836" s="21"/>
      <c r="B5836"/>
      <c r="F5836" s="87"/>
      <c r="H5836" s="87"/>
      <c r="I5836" s="89"/>
    </row>
    <row r="5837" spans="1:9">
      <c r="A5837" s="21"/>
      <c r="B5837"/>
      <c r="F5837" s="87"/>
      <c r="H5837" s="87"/>
      <c r="I5837" s="89"/>
    </row>
    <row r="5838" spans="1:9">
      <c r="A5838" s="21"/>
      <c r="B5838"/>
      <c r="F5838" s="87"/>
      <c r="H5838" s="87"/>
      <c r="I5838" s="89"/>
    </row>
    <row r="5839" spans="1:9">
      <c r="A5839" s="21"/>
      <c r="B5839"/>
      <c r="F5839" s="87"/>
      <c r="H5839" s="87"/>
      <c r="I5839" s="89"/>
    </row>
    <row r="5840" spans="1:9">
      <c r="A5840" s="21"/>
      <c r="B5840"/>
      <c r="F5840" s="87"/>
      <c r="H5840" s="87"/>
      <c r="I5840" s="89"/>
    </row>
    <row r="5841" spans="1:9">
      <c r="A5841" s="21"/>
      <c r="B5841"/>
      <c r="F5841" s="87"/>
      <c r="H5841" s="87"/>
      <c r="I5841" s="89"/>
    </row>
    <row r="5842" spans="1:9">
      <c r="A5842" s="21"/>
      <c r="B5842"/>
      <c r="F5842" s="87"/>
      <c r="H5842" s="87"/>
      <c r="I5842" s="89"/>
    </row>
    <row r="5843" spans="1:9">
      <c r="A5843" s="21"/>
      <c r="B5843"/>
      <c r="F5843" s="87"/>
      <c r="H5843" s="87"/>
      <c r="I5843" s="89"/>
    </row>
    <row r="5844" spans="1:9">
      <c r="A5844" s="21"/>
      <c r="B5844"/>
      <c r="F5844" s="87"/>
      <c r="H5844" s="87"/>
      <c r="I5844" s="89"/>
    </row>
    <row r="5845" spans="1:9">
      <c r="A5845" s="21"/>
      <c r="B5845"/>
      <c r="F5845" s="87"/>
      <c r="H5845" s="87"/>
      <c r="I5845" s="89"/>
    </row>
    <row r="5846" spans="1:9">
      <c r="A5846" s="21"/>
      <c r="B5846"/>
      <c r="F5846" s="87"/>
      <c r="H5846" s="87"/>
      <c r="I5846" s="89"/>
    </row>
    <row r="5847" spans="1:9">
      <c r="A5847" s="21"/>
      <c r="B5847"/>
      <c r="F5847" s="87"/>
      <c r="H5847" s="87"/>
      <c r="I5847" s="89"/>
    </row>
    <row r="5848" spans="1:9">
      <c r="A5848" s="21"/>
      <c r="B5848"/>
      <c r="F5848" s="87"/>
      <c r="H5848" s="87"/>
      <c r="I5848" s="89"/>
    </row>
    <row r="5849" spans="1:9">
      <c r="A5849" s="21"/>
      <c r="B5849"/>
      <c r="F5849" s="87"/>
      <c r="H5849" s="87"/>
      <c r="I5849" s="89"/>
    </row>
    <row r="5850" spans="1:9">
      <c r="A5850" s="21"/>
      <c r="B5850"/>
      <c r="F5850" s="87"/>
      <c r="H5850" s="87"/>
      <c r="I5850" s="89"/>
    </row>
    <row r="5851" spans="1:9">
      <c r="A5851" s="21"/>
      <c r="B5851"/>
      <c r="F5851" s="87"/>
      <c r="H5851" s="87"/>
      <c r="I5851" s="89"/>
    </row>
    <row r="5852" spans="1:9">
      <c r="A5852" s="21"/>
      <c r="B5852"/>
      <c r="F5852" s="87"/>
      <c r="H5852" s="87"/>
      <c r="I5852" s="89"/>
    </row>
    <row r="5853" spans="1:9">
      <c r="A5853" s="21"/>
      <c r="B5853"/>
      <c r="F5853" s="87"/>
      <c r="H5853" s="87"/>
      <c r="I5853" s="89"/>
    </row>
    <row r="5854" spans="1:9">
      <c r="A5854" s="21"/>
      <c r="B5854"/>
      <c r="F5854" s="87"/>
      <c r="H5854" s="87"/>
      <c r="I5854" s="89"/>
    </row>
    <row r="5855" spans="1:9">
      <c r="A5855" s="21"/>
      <c r="B5855"/>
      <c r="F5855" s="87"/>
      <c r="H5855" s="87"/>
      <c r="I5855" s="89"/>
    </row>
    <row r="5856" spans="1:9">
      <c r="A5856" s="21"/>
      <c r="B5856"/>
      <c r="F5856" s="87"/>
      <c r="H5856" s="87"/>
      <c r="I5856" s="89"/>
    </row>
    <row r="5857" spans="1:9">
      <c r="A5857" s="21"/>
      <c r="B5857"/>
      <c r="F5857" s="87"/>
      <c r="H5857" s="87"/>
      <c r="I5857" s="89"/>
    </row>
    <row r="5858" spans="1:9">
      <c r="A5858" s="21"/>
      <c r="B5858"/>
      <c r="F5858" s="87"/>
      <c r="H5858" s="87"/>
      <c r="I5858" s="89"/>
    </row>
    <row r="5859" spans="1:9">
      <c r="A5859" s="21"/>
      <c r="B5859"/>
      <c r="F5859" s="87"/>
      <c r="H5859" s="87"/>
      <c r="I5859" s="89"/>
    </row>
    <row r="5860" spans="1:9">
      <c r="A5860" s="21"/>
      <c r="B5860"/>
      <c r="F5860" s="87"/>
      <c r="H5860" s="87"/>
      <c r="I5860" s="89"/>
    </row>
    <row r="5861" spans="1:9">
      <c r="A5861" s="21"/>
      <c r="B5861"/>
      <c r="F5861" s="87"/>
      <c r="H5861" s="87"/>
      <c r="I5861" s="89"/>
    </row>
    <row r="5862" spans="1:9">
      <c r="A5862" s="21"/>
      <c r="B5862"/>
      <c r="F5862" s="87"/>
      <c r="H5862" s="87"/>
      <c r="I5862" s="89"/>
    </row>
    <row r="5863" spans="1:9">
      <c r="A5863" s="21"/>
      <c r="B5863"/>
      <c r="F5863" s="87"/>
      <c r="H5863" s="87"/>
      <c r="I5863" s="89"/>
    </row>
    <row r="5864" spans="1:9">
      <c r="A5864" s="21"/>
      <c r="B5864"/>
      <c r="F5864" s="87"/>
      <c r="H5864" s="87"/>
      <c r="I5864" s="89"/>
    </row>
    <row r="5865" spans="1:9">
      <c r="A5865" s="21"/>
      <c r="B5865"/>
      <c r="F5865" s="87"/>
      <c r="H5865" s="87"/>
      <c r="I5865" s="89"/>
    </row>
    <row r="5866" spans="1:9">
      <c r="A5866" s="21"/>
      <c r="B5866"/>
      <c r="F5866" s="87"/>
      <c r="H5866" s="87"/>
      <c r="I5866" s="89"/>
    </row>
    <row r="5867" spans="1:9">
      <c r="A5867" s="21"/>
      <c r="B5867"/>
      <c r="F5867" s="87"/>
      <c r="H5867" s="87"/>
      <c r="I5867" s="89"/>
    </row>
    <row r="5868" spans="1:9">
      <c r="A5868" s="21"/>
      <c r="B5868"/>
      <c r="F5868" s="87"/>
      <c r="H5868" s="87"/>
      <c r="I5868" s="89"/>
    </row>
    <row r="5869" spans="1:9">
      <c r="A5869" s="21"/>
      <c r="B5869"/>
      <c r="F5869" s="87"/>
      <c r="H5869" s="87"/>
      <c r="I5869" s="89"/>
    </row>
    <row r="5870" spans="1:9">
      <c r="A5870" s="21"/>
      <c r="B5870"/>
      <c r="F5870" s="87"/>
      <c r="H5870" s="87"/>
      <c r="I5870" s="89"/>
    </row>
    <row r="5871" spans="1:9">
      <c r="A5871" s="21"/>
      <c r="B5871"/>
      <c r="F5871" s="87"/>
      <c r="H5871" s="87"/>
      <c r="I5871" s="89"/>
    </row>
    <row r="5872" spans="1:9">
      <c r="A5872" s="21"/>
      <c r="B5872"/>
      <c r="F5872" s="87"/>
      <c r="H5872" s="87"/>
      <c r="I5872" s="89"/>
    </row>
    <row r="5873" spans="1:9">
      <c r="A5873" s="21"/>
      <c r="B5873"/>
      <c r="F5873" s="87"/>
      <c r="H5873" s="87"/>
      <c r="I5873" s="89"/>
    </row>
    <row r="5874" spans="1:9">
      <c r="A5874" s="21"/>
      <c r="B5874"/>
      <c r="F5874" s="87"/>
      <c r="H5874" s="87"/>
      <c r="I5874" s="89"/>
    </row>
    <row r="5875" spans="1:9">
      <c r="A5875" s="21"/>
      <c r="B5875"/>
      <c r="F5875" s="87"/>
      <c r="H5875" s="87"/>
      <c r="I5875" s="89"/>
    </row>
    <row r="5876" spans="1:9">
      <c r="A5876" s="21"/>
      <c r="B5876"/>
      <c r="F5876" s="87"/>
      <c r="H5876" s="87"/>
      <c r="I5876" s="89"/>
    </row>
    <row r="5877" spans="1:9">
      <c r="A5877" s="21"/>
      <c r="B5877"/>
      <c r="F5877" s="87"/>
      <c r="H5877" s="87"/>
      <c r="I5877" s="89"/>
    </row>
    <row r="5878" spans="1:9">
      <c r="A5878" s="21"/>
      <c r="B5878"/>
      <c r="F5878" s="87"/>
      <c r="H5878" s="87"/>
      <c r="I5878" s="89"/>
    </row>
    <row r="5879" spans="1:9">
      <c r="A5879" s="21"/>
      <c r="B5879"/>
      <c r="F5879" s="87"/>
      <c r="H5879" s="87"/>
      <c r="I5879" s="89"/>
    </row>
    <row r="5880" spans="1:9">
      <c r="A5880" s="21"/>
      <c r="B5880"/>
      <c r="F5880" s="87"/>
      <c r="H5880" s="87"/>
      <c r="I5880" s="89"/>
    </row>
    <row r="5881" spans="1:9">
      <c r="A5881" s="21"/>
      <c r="B5881"/>
      <c r="F5881" s="87"/>
      <c r="H5881" s="87"/>
      <c r="I5881" s="89"/>
    </row>
    <row r="5882" spans="1:9">
      <c r="A5882" s="21"/>
      <c r="B5882"/>
      <c r="F5882" s="87"/>
      <c r="H5882" s="87"/>
      <c r="I5882" s="89"/>
    </row>
    <row r="5883" spans="1:9">
      <c r="A5883" s="21"/>
      <c r="B5883"/>
      <c r="F5883" s="87"/>
      <c r="H5883" s="87"/>
      <c r="I5883" s="89"/>
    </row>
    <row r="5884" spans="1:9">
      <c r="A5884" s="21"/>
      <c r="B5884"/>
      <c r="F5884" s="87"/>
      <c r="H5884" s="87"/>
      <c r="I5884" s="89"/>
    </row>
    <row r="5885" spans="1:9">
      <c r="A5885" s="21"/>
      <c r="B5885"/>
      <c r="F5885" s="87"/>
      <c r="H5885" s="87"/>
      <c r="I5885" s="89"/>
    </row>
    <row r="5886" spans="1:9">
      <c r="A5886" s="21"/>
      <c r="B5886"/>
      <c r="F5886" s="87"/>
      <c r="H5886" s="87"/>
      <c r="I5886" s="89"/>
    </row>
    <row r="5887" spans="1:9">
      <c r="A5887" s="21"/>
      <c r="B5887"/>
      <c r="F5887" s="87"/>
      <c r="H5887" s="87"/>
      <c r="I5887" s="89"/>
    </row>
    <row r="5888" spans="1:9">
      <c r="A5888" s="21"/>
      <c r="B5888"/>
      <c r="F5888" s="87"/>
      <c r="H5888" s="87"/>
      <c r="I5888" s="89"/>
    </row>
    <row r="5889" spans="1:9">
      <c r="A5889" s="21"/>
      <c r="B5889"/>
      <c r="F5889" s="87"/>
      <c r="H5889" s="87"/>
      <c r="I5889" s="89"/>
    </row>
    <row r="5890" spans="1:9">
      <c r="A5890" s="21"/>
      <c r="B5890"/>
      <c r="F5890" s="87"/>
      <c r="H5890" s="87"/>
      <c r="I5890" s="89"/>
    </row>
    <row r="5891" spans="1:9">
      <c r="A5891" s="21"/>
      <c r="B5891"/>
      <c r="F5891" s="87"/>
      <c r="H5891" s="87"/>
      <c r="I5891" s="89"/>
    </row>
    <row r="5892" spans="1:9">
      <c r="A5892" s="21"/>
      <c r="B5892"/>
      <c r="F5892" s="87"/>
      <c r="H5892" s="87"/>
      <c r="I5892" s="89"/>
    </row>
    <row r="5893" spans="1:9">
      <c r="A5893" s="21"/>
      <c r="B5893"/>
      <c r="F5893" s="87"/>
      <c r="H5893" s="87"/>
      <c r="I5893" s="89"/>
    </row>
    <row r="5894" spans="1:9">
      <c r="A5894" s="21"/>
      <c r="B5894"/>
      <c r="F5894" s="87"/>
      <c r="H5894" s="87"/>
      <c r="I5894" s="89"/>
    </row>
    <row r="5895" spans="1:9">
      <c r="A5895" s="21"/>
      <c r="B5895"/>
      <c r="F5895" s="87"/>
      <c r="H5895" s="87"/>
      <c r="I5895" s="89"/>
    </row>
    <row r="5896" spans="1:9">
      <c r="A5896" s="21"/>
      <c r="B5896"/>
      <c r="F5896" s="87"/>
      <c r="H5896" s="87"/>
      <c r="I5896" s="89"/>
    </row>
    <row r="5897" spans="1:9">
      <c r="A5897" s="21"/>
      <c r="B5897"/>
      <c r="F5897" s="87"/>
      <c r="H5897" s="87"/>
      <c r="I5897" s="89"/>
    </row>
    <row r="5898" spans="1:9">
      <c r="A5898" s="21"/>
      <c r="B5898"/>
      <c r="F5898" s="87"/>
      <c r="H5898" s="87"/>
      <c r="I5898" s="89"/>
    </row>
    <row r="5899" spans="1:9">
      <c r="A5899" s="21"/>
      <c r="B5899"/>
      <c r="F5899" s="87"/>
      <c r="H5899" s="87"/>
      <c r="I5899" s="89"/>
    </row>
    <row r="5900" spans="1:9">
      <c r="A5900" s="21"/>
      <c r="B5900"/>
      <c r="F5900" s="87"/>
      <c r="H5900" s="87"/>
      <c r="I5900" s="89"/>
    </row>
    <row r="5901" spans="1:9">
      <c r="A5901" s="21"/>
      <c r="B5901"/>
      <c r="F5901" s="87"/>
      <c r="H5901" s="87"/>
      <c r="I5901" s="89"/>
    </row>
    <row r="5902" spans="1:9">
      <c r="A5902" s="21"/>
      <c r="B5902"/>
      <c r="F5902" s="87"/>
      <c r="H5902" s="87"/>
      <c r="I5902" s="89"/>
    </row>
    <row r="5903" spans="1:9">
      <c r="A5903" s="21"/>
      <c r="B5903"/>
      <c r="F5903" s="87"/>
      <c r="H5903" s="87"/>
      <c r="I5903" s="89"/>
    </row>
    <row r="5904" spans="1:9">
      <c r="A5904" s="21"/>
      <c r="B5904"/>
      <c r="F5904" s="87"/>
      <c r="H5904" s="87"/>
      <c r="I5904" s="89"/>
    </row>
    <row r="5905" spans="1:9">
      <c r="A5905" s="21"/>
      <c r="B5905"/>
      <c r="F5905" s="87"/>
      <c r="H5905" s="87"/>
      <c r="I5905" s="89"/>
    </row>
    <row r="5906" spans="1:9">
      <c r="A5906" s="21"/>
      <c r="B5906"/>
      <c r="F5906" s="87"/>
      <c r="H5906" s="87"/>
      <c r="I5906" s="89"/>
    </row>
    <row r="5907" spans="1:9">
      <c r="A5907" s="21"/>
      <c r="B5907"/>
      <c r="F5907" s="87"/>
      <c r="H5907" s="87"/>
      <c r="I5907" s="89"/>
    </row>
    <row r="5908" spans="1:9">
      <c r="A5908" s="21"/>
      <c r="B5908"/>
      <c r="F5908" s="87"/>
      <c r="H5908" s="87"/>
      <c r="I5908" s="89"/>
    </row>
    <row r="5909" spans="1:9">
      <c r="A5909" s="21"/>
      <c r="B5909"/>
      <c r="F5909" s="87"/>
      <c r="H5909" s="87"/>
      <c r="I5909" s="89"/>
    </row>
    <row r="5910" spans="1:9">
      <c r="A5910" s="21"/>
      <c r="B5910"/>
      <c r="F5910" s="87"/>
      <c r="H5910" s="87"/>
      <c r="I5910" s="89"/>
    </row>
    <row r="5911" spans="1:9">
      <c r="A5911" s="21"/>
      <c r="B5911"/>
      <c r="F5911" s="87"/>
      <c r="H5911" s="87"/>
      <c r="I5911" s="89"/>
    </row>
    <row r="5912" spans="1:9">
      <c r="A5912" s="21"/>
      <c r="B5912"/>
      <c r="F5912" s="87"/>
      <c r="H5912" s="87"/>
      <c r="I5912" s="89"/>
    </row>
    <row r="5913" spans="1:9">
      <c r="A5913" s="21"/>
      <c r="B5913"/>
      <c r="F5913" s="87"/>
      <c r="H5913" s="87"/>
      <c r="I5913" s="89"/>
    </row>
    <row r="5914" spans="1:9">
      <c r="A5914" s="21"/>
      <c r="B5914"/>
      <c r="F5914" s="87"/>
      <c r="H5914" s="87"/>
      <c r="I5914" s="89"/>
    </row>
    <row r="5915" spans="1:9">
      <c r="A5915" s="21"/>
      <c r="B5915"/>
      <c r="F5915" s="87"/>
      <c r="H5915" s="87"/>
      <c r="I5915" s="89"/>
    </row>
    <row r="5916" spans="1:9">
      <c r="A5916" s="21"/>
      <c r="B5916"/>
      <c r="F5916" s="87"/>
      <c r="H5916" s="87"/>
      <c r="I5916" s="89"/>
    </row>
    <row r="5917" spans="1:9">
      <c r="A5917" s="21"/>
      <c r="B5917"/>
      <c r="F5917" s="87"/>
      <c r="H5917" s="87"/>
      <c r="I5917" s="89"/>
    </row>
    <row r="5918" spans="1:9">
      <c r="A5918" s="21"/>
      <c r="B5918"/>
      <c r="F5918" s="87"/>
      <c r="H5918" s="87"/>
      <c r="I5918" s="89"/>
    </row>
    <row r="5919" spans="1:9">
      <c r="A5919" s="21"/>
      <c r="B5919"/>
      <c r="F5919" s="87"/>
      <c r="H5919" s="87"/>
      <c r="I5919" s="89"/>
    </row>
    <row r="5920" spans="1:9">
      <c r="A5920" s="21"/>
      <c r="B5920"/>
      <c r="F5920" s="87"/>
      <c r="H5920" s="87"/>
      <c r="I5920" s="89"/>
    </row>
    <row r="5921" spans="1:9">
      <c r="A5921" s="21"/>
      <c r="B5921"/>
      <c r="F5921" s="87"/>
      <c r="H5921" s="87"/>
      <c r="I5921" s="89"/>
    </row>
    <row r="5922" spans="1:9">
      <c r="A5922" s="21"/>
      <c r="B5922"/>
      <c r="F5922" s="87"/>
      <c r="H5922" s="87"/>
      <c r="I5922" s="89"/>
    </row>
    <row r="5923" spans="1:9">
      <c r="A5923" s="21"/>
      <c r="B5923"/>
      <c r="F5923" s="87"/>
      <c r="H5923" s="87"/>
      <c r="I5923" s="89"/>
    </row>
    <row r="5924" spans="1:9">
      <c r="A5924" s="21"/>
      <c r="B5924"/>
      <c r="F5924" s="87"/>
      <c r="H5924" s="87"/>
      <c r="I5924" s="89"/>
    </row>
    <row r="5925" spans="1:9">
      <c r="A5925" s="21"/>
      <c r="B5925"/>
      <c r="F5925" s="87"/>
      <c r="H5925" s="87"/>
      <c r="I5925" s="89"/>
    </row>
    <row r="5926" spans="1:9">
      <c r="A5926" s="21"/>
      <c r="B5926"/>
      <c r="F5926" s="87"/>
      <c r="H5926" s="87"/>
      <c r="I5926" s="89"/>
    </row>
    <row r="5927" spans="1:9">
      <c r="A5927" s="21"/>
      <c r="B5927"/>
      <c r="F5927" s="87"/>
      <c r="H5927" s="87"/>
      <c r="I5927" s="89"/>
    </row>
    <row r="5928" spans="1:9">
      <c r="A5928" s="21"/>
      <c r="B5928"/>
      <c r="F5928" s="87"/>
      <c r="H5928" s="87"/>
      <c r="I5928" s="89"/>
    </row>
    <row r="5929" spans="1:9">
      <c r="A5929" s="21"/>
      <c r="B5929"/>
      <c r="F5929" s="87"/>
      <c r="H5929" s="87"/>
      <c r="I5929" s="89"/>
    </row>
    <row r="5930" spans="1:9">
      <c r="A5930" s="21"/>
      <c r="B5930"/>
      <c r="F5930" s="87"/>
      <c r="H5930" s="87"/>
      <c r="I5930" s="89"/>
    </row>
    <row r="5931" spans="1:9">
      <c r="A5931" s="21"/>
      <c r="B5931"/>
      <c r="F5931" s="87"/>
      <c r="H5931" s="87"/>
      <c r="I5931" s="89"/>
    </row>
    <row r="5932" spans="1:9">
      <c r="A5932" s="21"/>
      <c r="B5932"/>
      <c r="F5932" s="87"/>
      <c r="H5932" s="87"/>
      <c r="I5932" s="89"/>
    </row>
    <row r="5933" spans="1:9">
      <c r="A5933" s="21"/>
      <c r="B5933"/>
      <c r="F5933" s="87"/>
      <c r="H5933" s="87"/>
      <c r="I5933" s="89"/>
    </row>
    <row r="5934" spans="1:9">
      <c r="A5934" s="21"/>
      <c r="B5934"/>
      <c r="F5934" s="87"/>
      <c r="H5934" s="87"/>
      <c r="I5934" s="89"/>
    </row>
    <row r="5935" spans="1:9">
      <c r="A5935" s="21"/>
      <c r="B5935"/>
      <c r="F5935" s="87"/>
      <c r="H5935" s="87"/>
      <c r="I5935" s="89"/>
    </row>
    <row r="5936" spans="1:9">
      <c r="A5936" s="21"/>
      <c r="B5936"/>
      <c r="F5936" s="87"/>
      <c r="H5936" s="87"/>
      <c r="I5936" s="89"/>
    </row>
    <row r="5937" spans="1:9">
      <c r="A5937" s="21"/>
      <c r="B5937"/>
      <c r="F5937" s="87"/>
      <c r="H5937" s="87"/>
      <c r="I5937" s="89"/>
    </row>
    <row r="5938" spans="1:9">
      <c r="A5938" s="21"/>
      <c r="B5938"/>
      <c r="F5938" s="87"/>
      <c r="H5938" s="87"/>
      <c r="I5938" s="89"/>
    </row>
    <row r="5939" spans="1:9">
      <c r="A5939" s="21"/>
      <c r="B5939"/>
      <c r="F5939" s="87"/>
      <c r="H5939" s="87"/>
      <c r="I5939" s="89"/>
    </row>
    <row r="5940" spans="1:9">
      <c r="A5940" s="21"/>
      <c r="B5940"/>
      <c r="F5940" s="87"/>
      <c r="H5940" s="87"/>
      <c r="I5940" s="89"/>
    </row>
    <row r="5941" spans="1:9">
      <c r="A5941" s="21"/>
      <c r="B5941"/>
      <c r="F5941" s="87"/>
      <c r="H5941" s="87"/>
      <c r="I5941" s="89"/>
    </row>
    <row r="5942" spans="1:9">
      <c r="A5942" s="21"/>
      <c r="B5942"/>
      <c r="F5942" s="87"/>
      <c r="H5942" s="87"/>
      <c r="I5942" s="89"/>
    </row>
    <row r="5943" spans="1:9">
      <c r="A5943" s="21"/>
      <c r="B5943"/>
      <c r="F5943" s="87"/>
      <c r="H5943" s="87"/>
      <c r="I5943" s="89"/>
    </row>
    <row r="5944" spans="1:9">
      <c r="A5944" s="21"/>
      <c r="B5944"/>
      <c r="F5944" s="87"/>
      <c r="H5944" s="87"/>
      <c r="I5944" s="89"/>
    </row>
    <row r="5945" spans="1:9">
      <c r="A5945" s="21"/>
      <c r="B5945"/>
      <c r="F5945" s="87"/>
      <c r="H5945" s="87"/>
      <c r="I5945" s="89"/>
    </row>
    <row r="5946" spans="1:9">
      <c r="A5946" s="21"/>
      <c r="B5946"/>
      <c r="F5946" s="87"/>
      <c r="H5946" s="87"/>
      <c r="I5946" s="89"/>
    </row>
    <row r="5947" spans="1:9">
      <c r="A5947" s="21"/>
      <c r="B5947"/>
      <c r="F5947" s="87"/>
      <c r="H5947" s="87"/>
      <c r="I5947" s="89"/>
    </row>
    <row r="5948" spans="1:9">
      <c r="A5948" s="21"/>
      <c r="B5948"/>
      <c r="F5948" s="87"/>
      <c r="H5948" s="87"/>
      <c r="I5948" s="89"/>
    </row>
    <row r="5949" spans="1:9">
      <c r="A5949" s="21"/>
      <c r="B5949"/>
      <c r="F5949" s="87"/>
      <c r="H5949" s="87"/>
      <c r="I5949" s="89"/>
    </row>
    <row r="5950" spans="1:9">
      <c r="A5950" s="21"/>
      <c r="B5950"/>
      <c r="F5950" s="87"/>
      <c r="H5950" s="87"/>
      <c r="I5950" s="89"/>
    </row>
    <row r="5951" spans="1:9">
      <c r="A5951" s="21"/>
      <c r="B5951"/>
      <c r="F5951" s="87"/>
      <c r="H5951" s="87"/>
      <c r="I5951" s="89"/>
    </row>
    <row r="5952" spans="1:9">
      <c r="A5952" s="21"/>
      <c r="B5952"/>
      <c r="F5952" s="87"/>
      <c r="H5952" s="87"/>
      <c r="I5952" s="89"/>
    </row>
    <row r="5953" spans="1:9">
      <c r="A5953" s="21"/>
      <c r="B5953"/>
      <c r="F5953" s="87"/>
      <c r="H5953" s="87"/>
      <c r="I5953" s="89"/>
    </row>
    <row r="5954" spans="1:9">
      <c r="A5954" s="21"/>
      <c r="B5954"/>
      <c r="F5954" s="87"/>
      <c r="H5954" s="87"/>
      <c r="I5954" s="89"/>
    </row>
    <row r="5955" spans="1:9">
      <c r="A5955" s="21"/>
      <c r="B5955"/>
      <c r="F5955" s="87"/>
      <c r="H5955" s="87"/>
      <c r="I5955" s="89"/>
    </row>
    <row r="5956" spans="1:9">
      <c r="A5956" s="21"/>
      <c r="B5956"/>
      <c r="F5956" s="87"/>
      <c r="H5956" s="87"/>
      <c r="I5956" s="89"/>
    </row>
    <row r="5957" spans="1:9">
      <c r="A5957" s="21"/>
      <c r="B5957"/>
      <c r="F5957" s="87"/>
      <c r="H5957" s="87"/>
      <c r="I5957" s="89"/>
    </row>
    <row r="5958" spans="1:9">
      <c r="A5958" s="21"/>
      <c r="B5958"/>
      <c r="F5958" s="87"/>
      <c r="H5958" s="87"/>
      <c r="I5958" s="89"/>
    </row>
    <row r="5959" spans="1:9">
      <c r="A5959" s="21"/>
      <c r="B5959"/>
      <c r="F5959" s="87"/>
      <c r="H5959" s="87"/>
      <c r="I5959" s="89"/>
    </row>
    <row r="5960" spans="1:9">
      <c r="A5960" s="21"/>
      <c r="B5960"/>
      <c r="F5960" s="87"/>
      <c r="H5960" s="87"/>
      <c r="I5960" s="89"/>
    </row>
    <row r="5961" spans="1:9">
      <c r="A5961" s="21"/>
      <c r="B5961"/>
      <c r="F5961" s="87"/>
      <c r="H5961" s="87"/>
      <c r="I5961" s="89"/>
    </row>
    <row r="5962" spans="1:9">
      <c r="A5962" s="21"/>
      <c r="B5962"/>
      <c r="F5962" s="87"/>
      <c r="H5962" s="87"/>
      <c r="I5962" s="89"/>
    </row>
    <row r="5963" spans="1:9">
      <c r="A5963" s="21"/>
      <c r="B5963"/>
      <c r="F5963" s="87"/>
      <c r="H5963" s="87"/>
      <c r="I5963" s="89"/>
    </row>
    <row r="5964" spans="1:9">
      <c r="A5964" s="21"/>
      <c r="B5964"/>
      <c r="F5964" s="87"/>
      <c r="H5964" s="87"/>
      <c r="I5964" s="89"/>
    </row>
    <row r="5965" spans="1:9">
      <c r="A5965" s="21"/>
      <c r="B5965"/>
      <c r="F5965" s="87"/>
      <c r="H5965" s="87"/>
      <c r="I5965" s="89"/>
    </row>
    <row r="5966" spans="1:9">
      <c r="A5966" s="21"/>
      <c r="B5966"/>
      <c r="F5966" s="87"/>
      <c r="H5966" s="87"/>
      <c r="I5966" s="89"/>
    </row>
    <row r="5967" spans="1:9">
      <c r="A5967" s="21"/>
      <c r="B5967"/>
      <c r="F5967" s="87"/>
      <c r="H5967" s="87"/>
      <c r="I5967" s="89"/>
    </row>
    <row r="5968" spans="1:9">
      <c r="A5968" s="21"/>
      <c r="B5968"/>
      <c r="F5968" s="87"/>
      <c r="H5968" s="87"/>
      <c r="I5968" s="89"/>
    </row>
    <row r="5969" spans="1:9">
      <c r="A5969" s="21"/>
      <c r="B5969"/>
      <c r="F5969" s="87"/>
      <c r="H5969" s="87"/>
      <c r="I5969" s="89"/>
    </row>
    <row r="5970" spans="1:9">
      <c r="A5970" s="21"/>
      <c r="B5970"/>
      <c r="F5970" s="87"/>
      <c r="H5970" s="87"/>
      <c r="I5970" s="89"/>
    </row>
    <row r="5971" spans="1:9">
      <c r="A5971" s="21"/>
      <c r="B5971"/>
      <c r="F5971" s="87"/>
      <c r="H5971" s="87"/>
      <c r="I5971" s="89"/>
    </row>
    <row r="5972" spans="1:9">
      <c r="A5972" s="21"/>
      <c r="B5972"/>
      <c r="F5972" s="87"/>
      <c r="H5972" s="87"/>
      <c r="I5972" s="89"/>
    </row>
    <row r="5973" spans="1:9">
      <c r="A5973" s="21"/>
      <c r="B5973"/>
      <c r="F5973" s="87"/>
      <c r="H5973" s="87"/>
      <c r="I5973" s="89"/>
    </row>
    <row r="5974" spans="1:9">
      <c r="A5974" s="21"/>
      <c r="B5974"/>
      <c r="F5974" s="87"/>
      <c r="H5974" s="87"/>
      <c r="I5974" s="89"/>
    </row>
    <row r="5975" spans="1:9">
      <c r="A5975" s="21"/>
      <c r="B5975"/>
      <c r="F5975" s="87"/>
      <c r="H5975" s="87"/>
      <c r="I5975" s="89"/>
    </row>
    <row r="5976" spans="1:9">
      <c r="A5976" s="21"/>
      <c r="B5976"/>
      <c r="F5976" s="87"/>
      <c r="H5976" s="87"/>
      <c r="I5976" s="89"/>
    </row>
    <row r="5977" spans="1:9">
      <c r="A5977" s="21"/>
      <c r="B5977"/>
      <c r="F5977" s="87"/>
      <c r="H5977" s="87"/>
      <c r="I5977" s="89"/>
    </row>
    <row r="5978" spans="1:9">
      <c r="A5978" s="21"/>
      <c r="B5978"/>
      <c r="F5978" s="87"/>
      <c r="H5978" s="87"/>
      <c r="I5978" s="89"/>
    </row>
    <row r="5979" spans="1:9">
      <c r="A5979" s="21"/>
      <c r="B5979"/>
      <c r="F5979" s="87"/>
      <c r="H5979" s="87"/>
      <c r="I5979" s="89"/>
    </row>
    <row r="5980" spans="1:9">
      <c r="A5980" s="21"/>
      <c r="B5980"/>
      <c r="F5980" s="87"/>
      <c r="H5980" s="87"/>
      <c r="I5980" s="89"/>
    </row>
    <row r="5981" spans="1:9">
      <c r="A5981" s="21"/>
      <c r="B5981"/>
      <c r="F5981" s="87"/>
      <c r="H5981" s="87"/>
      <c r="I5981" s="89"/>
    </row>
    <row r="5982" spans="1:9">
      <c r="A5982" s="21"/>
      <c r="B5982"/>
      <c r="F5982" s="87"/>
      <c r="H5982" s="87"/>
      <c r="I5982" s="89"/>
    </row>
    <row r="5983" spans="1:9">
      <c r="A5983" s="21"/>
      <c r="B5983"/>
      <c r="F5983" s="87"/>
      <c r="H5983" s="87"/>
      <c r="I5983" s="89"/>
    </row>
    <row r="5984" spans="1:9">
      <c r="A5984" s="21"/>
      <c r="B5984"/>
      <c r="F5984" s="87"/>
      <c r="H5984" s="87"/>
      <c r="I5984" s="89"/>
    </row>
    <row r="5985" spans="1:9">
      <c r="A5985" s="21"/>
      <c r="B5985"/>
      <c r="F5985" s="87"/>
      <c r="H5985" s="87"/>
      <c r="I5985" s="89"/>
    </row>
    <row r="5986" spans="1:9">
      <c r="A5986" s="21"/>
      <c r="B5986"/>
      <c r="F5986" s="87"/>
      <c r="H5986" s="87"/>
      <c r="I5986" s="89"/>
    </row>
    <row r="5987" spans="1:9">
      <c r="A5987" s="21"/>
      <c r="B5987"/>
      <c r="F5987" s="87"/>
      <c r="H5987" s="87"/>
      <c r="I5987" s="89"/>
    </row>
    <row r="5988" spans="1:9">
      <c r="A5988" s="21"/>
      <c r="B5988"/>
      <c r="F5988" s="87"/>
      <c r="H5988" s="87"/>
      <c r="I5988" s="89"/>
    </row>
    <row r="5989" spans="1:9">
      <c r="A5989" s="21"/>
      <c r="B5989"/>
      <c r="F5989" s="87"/>
      <c r="H5989" s="87"/>
      <c r="I5989" s="89"/>
    </row>
    <row r="5990" spans="1:9">
      <c r="A5990" s="21"/>
      <c r="B5990"/>
      <c r="F5990" s="87"/>
      <c r="H5990" s="87"/>
      <c r="I5990" s="89"/>
    </row>
    <row r="5991" spans="1:9">
      <c r="A5991" s="21"/>
      <c r="B5991"/>
      <c r="F5991" s="87"/>
      <c r="H5991" s="87"/>
      <c r="I5991" s="89"/>
    </row>
    <row r="5992" spans="1:9">
      <c r="A5992" s="21"/>
      <c r="B5992"/>
      <c r="F5992" s="87"/>
      <c r="H5992" s="87"/>
      <c r="I5992" s="89"/>
    </row>
    <row r="5993" spans="1:9">
      <c r="A5993" s="21"/>
      <c r="B5993"/>
      <c r="F5993" s="87"/>
      <c r="H5993" s="87"/>
      <c r="I5993" s="89"/>
    </row>
    <row r="5994" spans="1:9">
      <c r="A5994" s="21"/>
      <c r="B5994"/>
      <c r="F5994" s="87"/>
      <c r="H5994" s="87"/>
      <c r="I5994" s="89"/>
    </row>
    <row r="5995" spans="1:9">
      <c r="A5995" s="21"/>
      <c r="B5995"/>
      <c r="F5995" s="87"/>
      <c r="H5995" s="87"/>
      <c r="I5995" s="89"/>
    </row>
    <row r="5996" spans="1:9">
      <c r="A5996" s="21"/>
      <c r="B5996"/>
      <c r="F5996" s="87"/>
      <c r="H5996" s="87"/>
      <c r="I5996" s="89"/>
    </row>
    <row r="5997" spans="1:9">
      <c r="A5997" s="21"/>
      <c r="B5997"/>
      <c r="F5997" s="87"/>
      <c r="H5997" s="87"/>
      <c r="I5997" s="89"/>
    </row>
    <row r="5998" spans="1:9">
      <c r="A5998" s="21"/>
      <c r="B5998"/>
      <c r="F5998" s="87"/>
      <c r="H5998" s="87"/>
      <c r="I5998" s="89"/>
    </row>
    <row r="5999" spans="1:9">
      <c r="A5999" s="21"/>
      <c r="B5999"/>
      <c r="F5999" s="87"/>
      <c r="H5999" s="87"/>
      <c r="I5999" s="89"/>
    </row>
    <row r="6000" spans="1:9">
      <c r="A6000" s="21"/>
      <c r="B6000"/>
      <c r="F6000" s="87"/>
      <c r="H6000" s="87"/>
      <c r="I6000" s="89"/>
    </row>
    <row r="6001" spans="1:9">
      <c r="A6001" s="21"/>
      <c r="B6001"/>
      <c r="F6001" s="87"/>
      <c r="H6001" s="87"/>
      <c r="I6001" s="89"/>
    </row>
    <row r="6002" spans="1:9">
      <c r="A6002" s="21"/>
      <c r="B6002"/>
      <c r="F6002" s="87"/>
      <c r="H6002" s="87"/>
      <c r="I6002" s="89"/>
    </row>
    <row r="6003" spans="1:9">
      <c r="A6003" s="21"/>
      <c r="B6003"/>
      <c r="F6003" s="87"/>
      <c r="H6003" s="87"/>
      <c r="I6003" s="89"/>
    </row>
    <row r="6004" spans="1:9">
      <c r="A6004" s="21"/>
      <c r="B6004"/>
      <c r="F6004" s="87"/>
      <c r="H6004" s="87"/>
      <c r="I6004" s="89"/>
    </row>
    <row r="6005" spans="1:9">
      <c r="A6005" s="21"/>
      <c r="B6005"/>
      <c r="F6005" s="87"/>
      <c r="H6005" s="87"/>
      <c r="I6005" s="89"/>
    </row>
    <row r="6006" spans="1:9">
      <c r="A6006" s="21"/>
      <c r="B6006"/>
      <c r="F6006" s="87"/>
      <c r="H6006" s="87"/>
      <c r="I6006" s="89"/>
    </row>
    <row r="6007" spans="1:9">
      <c r="A6007" s="21"/>
      <c r="B6007"/>
      <c r="F6007" s="87"/>
      <c r="H6007" s="87"/>
      <c r="I6007" s="89"/>
    </row>
    <row r="6008" spans="1:9">
      <c r="A6008" s="21"/>
      <c r="B6008"/>
      <c r="F6008" s="87"/>
      <c r="H6008" s="87"/>
      <c r="I6008" s="89"/>
    </row>
    <row r="6009" spans="1:9">
      <c r="A6009" s="21"/>
      <c r="B6009"/>
      <c r="F6009" s="87"/>
      <c r="H6009" s="87"/>
      <c r="I6009" s="89"/>
    </row>
    <row r="6010" spans="1:9">
      <c r="A6010" s="21"/>
      <c r="B6010"/>
      <c r="F6010" s="87"/>
      <c r="H6010" s="87"/>
      <c r="I6010" s="89"/>
    </row>
    <row r="6011" spans="1:9">
      <c r="A6011" s="21"/>
      <c r="B6011"/>
      <c r="F6011" s="87"/>
      <c r="H6011" s="87"/>
      <c r="I6011" s="89"/>
    </row>
    <row r="6012" spans="1:9">
      <c r="A6012" s="21"/>
      <c r="B6012"/>
      <c r="F6012" s="87"/>
      <c r="H6012" s="87"/>
      <c r="I6012" s="89"/>
    </row>
    <row r="6013" spans="1:9">
      <c r="A6013" s="21"/>
      <c r="B6013"/>
      <c r="F6013" s="87"/>
      <c r="H6013" s="87"/>
      <c r="I6013" s="89"/>
    </row>
    <row r="6014" spans="1:9">
      <c r="A6014" s="21"/>
      <c r="B6014"/>
      <c r="F6014" s="87"/>
      <c r="H6014" s="87"/>
      <c r="I6014" s="89"/>
    </row>
    <row r="6015" spans="1:9">
      <c r="A6015" s="21"/>
      <c r="B6015"/>
      <c r="F6015" s="87"/>
      <c r="H6015" s="87"/>
      <c r="I6015" s="89"/>
    </row>
    <row r="6016" spans="1:9">
      <c r="A6016" s="21"/>
      <c r="B6016"/>
      <c r="F6016" s="87"/>
      <c r="H6016" s="87"/>
      <c r="I6016" s="89"/>
    </row>
    <row r="6017" spans="1:9">
      <c r="A6017" s="21"/>
      <c r="B6017"/>
      <c r="F6017" s="87"/>
      <c r="H6017" s="87"/>
      <c r="I6017" s="89"/>
    </row>
    <row r="6018" spans="1:9">
      <c r="A6018" s="21"/>
      <c r="B6018"/>
      <c r="F6018" s="87"/>
      <c r="H6018" s="87"/>
      <c r="I6018" s="89"/>
    </row>
    <row r="6019" spans="1:9">
      <c r="A6019" s="21"/>
      <c r="B6019"/>
      <c r="F6019" s="87"/>
      <c r="H6019" s="87"/>
      <c r="I6019" s="89"/>
    </row>
    <row r="6020" spans="1:9">
      <c r="A6020" s="21"/>
      <c r="B6020"/>
      <c r="F6020" s="87"/>
      <c r="H6020" s="87"/>
      <c r="I6020" s="89"/>
    </row>
    <row r="6021" spans="1:9">
      <c r="A6021" s="21"/>
      <c r="B6021"/>
      <c r="F6021" s="87"/>
      <c r="H6021" s="87"/>
      <c r="I6021" s="89"/>
    </row>
    <row r="6022" spans="1:9">
      <c r="A6022" s="21"/>
      <c r="B6022"/>
      <c r="F6022" s="87"/>
      <c r="H6022" s="87"/>
      <c r="I6022" s="89"/>
    </row>
    <row r="6023" spans="1:9">
      <c r="A6023" s="21"/>
      <c r="B6023"/>
      <c r="F6023" s="87"/>
      <c r="H6023" s="87"/>
      <c r="I6023" s="89"/>
    </row>
    <row r="6024" spans="1:9">
      <c r="A6024" s="21"/>
      <c r="B6024"/>
      <c r="F6024" s="87"/>
      <c r="H6024" s="87"/>
      <c r="I6024" s="89"/>
    </row>
    <row r="6025" spans="1:9">
      <c r="A6025" s="21"/>
      <c r="B6025"/>
      <c r="F6025" s="87"/>
      <c r="H6025" s="87"/>
      <c r="I6025" s="89"/>
    </row>
    <row r="6026" spans="1:9">
      <c r="A6026" s="21"/>
      <c r="B6026"/>
      <c r="F6026" s="87"/>
      <c r="H6026" s="87"/>
      <c r="I6026" s="89"/>
    </row>
    <row r="6027" spans="1:9">
      <c r="A6027" s="21"/>
      <c r="B6027"/>
      <c r="F6027" s="87"/>
      <c r="H6027" s="87"/>
      <c r="I6027" s="89"/>
    </row>
    <row r="6028" spans="1:9">
      <c r="A6028" s="21"/>
      <c r="B6028"/>
      <c r="F6028" s="87"/>
      <c r="H6028" s="87"/>
      <c r="I6028" s="89"/>
    </row>
    <row r="6029" spans="1:9">
      <c r="A6029" s="21"/>
      <c r="B6029"/>
      <c r="F6029" s="87"/>
      <c r="H6029" s="87"/>
      <c r="I6029" s="89"/>
    </row>
    <row r="6030" spans="1:9">
      <c r="A6030" s="21"/>
      <c r="B6030"/>
      <c r="F6030" s="87"/>
      <c r="H6030" s="87"/>
      <c r="I6030" s="89"/>
    </row>
    <row r="6031" spans="1:9">
      <c r="A6031" s="21"/>
      <c r="B6031"/>
      <c r="F6031" s="87"/>
      <c r="H6031" s="87"/>
      <c r="I6031" s="89"/>
    </row>
    <row r="6032" spans="1:9">
      <c r="A6032" s="21"/>
      <c r="B6032"/>
      <c r="F6032" s="87"/>
      <c r="H6032" s="87"/>
      <c r="I6032" s="89"/>
    </row>
    <row r="6033" spans="1:9">
      <c r="A6033" s="21"/>
      <c r="B6033"/>
      <c r="F6033" s="87"/>
      <c r="H6033" s="87"/>
      <c r="I6033" s="89"/>
    </row>
    <row r="6034" spans="1:9">
      <c r="A6034" s="21"/>
      <c r="B6034"/>
      <c r="F6034" s="87"/>
      <c r="H6034" s="87"/>
      <c r="I6034" s="89"/>
    </row>
    <row r="6035" spans="1:9">
      <c r="A6035" s="21"/>
      <c r="B6035"/>
      <c r="F6035" s="87"/>
      <c r="H6035" s="87"/>
      <c r="I6035" s="89"/>
    </row>
    <row r="6036" spans="1:9">
      <c r="A6036" s="21"/>
      <c r="B6036"/>
      <c r="F6036" s="87"/>
      <c r="H6036" s="87"/>
      <c r="I6036" s="89"/>
    </row>
    <row r="6037" spans="1:9">
      <c r="A6037" s="21"/>
      <c r="B6037"/>
      <c r="F6037" s="87"/>
      <c r="H6037" s="87"/>
      <c r="I6037" s="89"/>
    </row>
    <row r="6038" spans="1:9">
      <c r="A6038" s="21"/>
      <c r="B6038"/>
      <c r="F6038" s="87"/>
      <c r="H6038" s="87"/>
      <c r="I6038" s="89"/>
    </row>
    <row r="6039" spans="1:9">
      <c r="A6039" s="21"/>
      <c r="B6039"/>
      <c r="F6039" s="87"/>
      <c r="H6039" s="87"/>
      <c r="I6039" s="89"/>
    </row>
    <row r="6040" spans="1:9">
      <c r="A6040" s="21"/>
      <c r="B6040"/>
      <c r="F6040" s="87"/>
      <c r="H6040" s="87"/>
      <c r="I6040" s="89"/>
    </row>
    <row r="6041" spans="1:9">
      <c r="A6041" s="21"/>
      <c r="B6041"/>
      <c r="F6041" s="87"/>
      <c r="H6041" s="87"/>
      <c r="I6041" s="89"/>
    </row>
    <row r="6042" spans="1:9">
      <c r="A6042" s="21"/>
      <c r="B6042"/>
      <c r="F6042" s="87"/>
      <c r="H6042" s="87"/>
      <c r="I6042" s="89"/>
    </row>
    <row r="6043" spans="1:9">
      <c r="A6043" s="21"/>
      <c r="B6043"/>
      <c r="F6043" s="87"/>
      <c r="H6043" s="87"/>
      <c r="I6043" s="89"/>
    </row>
    <row r="6044" spans="1:9">
      <c r="A6044" s="21"/>
      <c r="B6044"/>
      <c r="F6044" s="87"/>
      <c r="H6044" s="87"/>
      <c r="I6044" s="89"/>
    </row>
    <row r="6045" spans="1:9">
      <c r="A6045" s="21"/>
      <c r="B6045"/>
      <c r="F6045" s="87"/>
      <c r="H6045" s="87"/>
      <c r="I6045" s="89"/>
    </row>
    <row r="6046" spans="1:9">
      <c r="A6046" s="21"/>
      <c r="B6046"/>
      <c r="F6046" s="87"/>
      <c r="H6046" s="87"/>
      <c r="I6046" s="89"/>
    </row>
    <row r="6047" spans="1:9">
      <c r="A6047" s="21"/>
      <c r="B6047"/>
      <c r="F6047" s="87"/>
      <c r="H6047" s="87"/>
      <c r="I6047" s="89"/>
    </row>
    <row r="6048" spans="1:9">
      <c r="A6048" s="21"/>
      <c r="B6048"/>
      <c r="F6048" s="87"/>
      <c r="H6048" s="87"/>
      <c r="I6048" s="89"/>
    </row>
    <row r="6049" spans="1:9">
      <c r="A6049" s="21"/>
      <c r="B6049"/>
      <c r="F6049" s="87"/>
      <c r="H6049" s="87"/>
      <c r="I6049" s="89"/>
    </row>
    <row r="6050" spans="1:9">
      <c r="A6050" s="21"/>
      <c r="B6050"/>
      <c r="F6050" s="87"/>
      <c r="H6050" s="87"/>
      <c r="I6050" s="89"/>
    </row>
    <row r="6051" spans="1:9">
      <c r="A6051" s="21"/>
      <c r="B6051"/>
      <c r="F6051" s="87"/>
      <c r="H6051" s="87"/>
      <c r="I6051" s="89"/>
    </row>
    <row r="6052" spans="1:9">
      <c r="A6052" s="21"/>
      <c r="B6052"/>
      <c r="F6052" s="87"/>
      <c r="H6052" s="87"/>
      <c r="I6052" s="89"/>
    </row>
    <row r="6053" spans="1:9">
      <c r="A6053" s="21"/>
      <c r="B6053"/>
      <c r="F6053" s="87"/>
      <c r="H6053" s="87"/>
      <c r="I6053" s="89"/>
    </row>
    <row r="6054" spans="1:9">
      <c r="A6054" s="21"/>
      <c r="B6054"/>
      <c r="F6054" s="87"/>
      <c r="H6054" s="87"/>
      <c r="I6054" s="89"/>
    </row>
    <row r="6055" spans="1:9">
      <c r="A6055" s="21"/>
      <c r="B6055"/>
      <c r="F6055" s="87"/>
      <c r="H6055" s="87"/>
      <c r="I6055" s="89"/>
    </row>
    <row r="6056" spans="1:9">
      <c r="A6056" s="21"/>
      <c r="B6056"/>
      <c r="F6056" s="87"/>
      <c r="H6056" s="87"/>
      <c r="I6056" s="89"/>
    </row>
    <row r="6057" spans="1:9">
      <c r="A6057" s="21"/>
      <c r="B6057"/>
      <c r="F6057" s="87"/>
      <c r="H6057" s="87"/>
      <c r="I6057" s="89"/>
    </row>
    <row r="6058" spans="1:9">
      <c r="A6058" s="21"/>
      <c r="B6058"/>
      <c r="F6058" s="87"/>
      <c r="H6058" s="87"/>
      <c r="I6058" s="89"/>
    </row>
    <row r="6059" spans="1:9">
      <c r="A6059" s="21"/>
      <c r="B6059"/>
      <c r="F6059" s="87"/>
      <c r="H6059" s="87"/>
      <c r="I6059" s="89"/>
    </row>
    <row r="6060" spans="1:9">
      <c r="A6060" s="21"/>
      <c r="B6060"/>
      <c r="F6060" s="87"/>
      <c r="H6060" s="87"/>
      <c r="I6060" s="89"/>
    </row>
    <row r="6061" spans="1:9">
      <c r="A6061" s="21"/>
      <c r="B6061"/>
      <c r="F6061" s="87"/>
      <c r="H6061" s="87"/>
      <c r="I6061" s="89"/>
    </row>
    <row r="6062" spans="1:9">
      <c r="A6062" s="21"/>
      <c r="B6062"/>
      <c r="F6062" s="87"/>
      <c r="H6062" s="87"/>
      <c r="I6062" s="89"/>
    </row>
    <row r="6063" spans="1:9">
      <c r="A6063" s="21"/>
      <c r="B6063"/>
      <c r="F6063" s="87"/>
      <c r="H6063" s="87"/>
      <c r="I6063" s="89"/>
    </row>
    <row r="6064" spans="1:9">
      <c r="A6064" s="21"/>
      <c r="B6064"/>
      <c r="F6064" s="87"/>
      <c r="H6064" s="87"/>
      <c r="I6064" s="89"/>
    </row>
    <row r="6065" spans="1:9">
      <c r="A6065" s="21"/>
      <c r="B6065"/>
      <c r="F6065" s="87"/>
      <c r="H6065" s="87"/>
      <c r="I6065" s="89"/>
    </row>
    <row r="6066" spans="1:9">
      <c r="A6066" s="21"/>
      <c r="B6066"/>
      <c r="F6066" s="87"/>
      <c r="H6066" s="87"/>
      <c r="I6066" s="89"/>
    </row>
    <row r="6067" spans="1:9">
      <c r="A6067" s="21"/>
      <c r="B6067"/>
      <c r="F6067" s="87"/>
      <c r="H6067" s="87"/>
      <c r="I6067" s="89"/>
    </row>
    <row r="6068" spans="1:9">
      <c r="A6068" s="21"/>
      <c r="B6068"/>
      <c r="F6068" s="87"/>
      <c r="H6068" s="87"/>
      <c r="I6068" s="89"/>
    </row>
    <row r="6069" spans="1:9">
      <c r="A6069" s="21"/>
      <c r="B6069"/>
      <c r="F6069" s="87"/>
      <c r="H6069" s="87"/>
      <c r="I6069" s="89"/>
    </row>
    <row r="6070" spans="1:9">
      <c r="A6070" s="21"/>
      <c r="B6070"/>
      <c r="F6070" s="87"/>
      <c r="H6070" s="87"/>
      <c r="I6070" s="89"/>
    </row>
    <row r="6071" spans="1:9">
      <c r="A6071" s="21"/>
      <c r="B6071"/>
      <c r="F6071" s="87"/>
      <c r="H6071" s="87"/>
      <c r="I6071" s="89"/>
    </row>
    <row r="6072" spans="1:9">
      <c r="A6072" s="21"/>
      <c r="B6072"/>
      <c r="F6072" s="87"/>
      <c r="H6072" s="87"/>
      <c r="I6072" s="89"/>
    </row>
    <row r="6073" spans="1:9">
      <c r="A6073" s="21"/>
      <c r="B6073"/>
      <c r="F6073" s="87"/>
      <c r="H6073" s="87"/>
      <c r="I6073" s="89"/>
    </row>
    <row r="6074" spans="1:9">
      <c r="A6074" s="21"/>
      <c r="B6074"/>
      <c r="F6074" s="87"/>
      <c r="H6074" s="87"/>
      <c r="I6074" s="89"/>
    </row>
    <row r="6075" spans="1:9">
      <c r="A6075" s="21"/>
      <c r="B6075"/>
      <c r="F6075" s="87"/>
      <c r="H6075" s="87"/>
      <c r="I6075" s="89"/>
    </row>
    <row r="6076" spans="1:9">
      <c r="A6076" s="21"/>
      <c r="B6076"/>
      <c r="F6076" s="87"/>
      <c r="H6076" s="87"/>
      <c r="I6076" s="89"/>
    </row>
    <row r="6077" spans="1:9">
      <c r="A6077" s="21"/>
      <c r="B6077"/>
      <c r="F6077" s="87"/>
      <c r="H6077" s="87"/>
      <c r="I6077" s="89"/>
    </row>
    <row r="6078" spans="1:9">
      <c r="A6078" s="21"/>
      <c r="B6078"/>
      <c r="F6078" s="87"/>
      <c r="H6078" s="87"/>
      <c r="I6078" s="89"/>
    </row>
    <row r="6079" spans="1:9">
      <c r="A6079" s="21"/>
      <c r="B6079"/>
      <c r="F6079" s="87"/>
      <c r="H6079" s="87"/>
      <c r="I6079" s="89"/>
    </row>
    <row r="6080" spans="1:9">
      <c r="A6080" s="21"/>
      <c r="B6080"/>
      <c r="F6080" s="87"/>
      <c r="H6080" s="87"/>
      <c r="I6080" s="89"/>
    </row>
    <row r="6081" spans="1:9">
      <c r="A6081" s="21"/>
      <c r="B6081"/>
      <c r="F6081" s="87"/>
      <c r="H6081" s="87"/>
      <c r="I6081" s="89"/>
    </row>
    <row r="6082" spans="1:9">
      <c r="A6082" s="21"/>
      <c r="B6082"/>
      <c r="F6082" s="87"/>
      <c r="H6082" s="87"/>
      <c r="I6082" s="89"/>
    </row>
    <row r="6083" spans="1:9">
      <c r="A6083" s="21"/>
      <c r="B6083"/>
      <c r="F6083" s="87"/>
      <c r="H6083" s="87"/>
      <c r="I6083" s="89"/>
    </row>
    <row r="6084" spans="1:9">
      <c r="A6084" s="21"/>
      <c r="B6084"/>
      <c r="F6084" s="87"/>
      <c r="H6084" s="87"/>
      <c r="I6084" s="89"/>
    </row>
    <row r="6085" spans="1:9">
      <c r="A6085" s="21"/>
      <c r="B6085"/>
      <c r="F6085" s="87"/>
      <c r="H6085" s="87"/>
      <c r="I6085" s="89"/>
    </row>
    <row r="6086" spans="1:9">
      <c r="A6086" s="21"/>
      <c r="B6086"/>
      <c r="F6086" s="87"/>
      <c r="H6086" s="87"/>
      <c r="I6086" s="89"/>
    </row>
    <row r="6087" spans="1:9">
      <c r="A6087" s="21"/>
      <c r="B6087"/>
      <c r="F6087" s="87"/>
      <c r="H6087" s="87"/>
      <c r="I6087" s="89"/>
    </row>
    <row r="6088" spans="1:9">
      <c r="A6088" s="21"/>
      <c r="B6088"/>
      <c r="F6088" s="87"/>
      <c r="H6088" s="87"/>
      <c r="I6088" s="89"/>
    </row>
    <row r="6089" spans="1:9">
      <c r="A6089" s="21"/>
      <c r="B6089"/>
      <c r="F6089" s="87"/>
      <c r="H6089" s="87"/>
      <c r="I6089" s="89"/>
    </row>
    <row r="6090" spans="1:9">
      <c r="A6090" s="21"/>
      <c r="B6090"/>
      <c r="F6090" s="87"/>
      <c r="H6090" s="87"/>
      <c r="I6090" s="89"/>
    </row>
    <row r="6091" spans="1:9">
      <c r="A6091" s="21"/>
      <c r="B6091"/>
      <c r="F6091" s="87"/>
      <c r="H6091" s="87"/>
      <c r="I6091" s="89"/>
    </row>
    <row r="6092" spans="1:9">
      <c r="A6092" s="21"/>
      <c r="B6092"/>
      <c r="F6092" s="87"/>
      <c r="H6092" s="87"/>
      <c r="I6092" s="89"/>
    </row>
    <row r="6093" spans="1:9">
      <c r="A6093" s="21"/>
      <c r="B6093"/>
      <c r="F6093" s="87"/>
      <c r="H6093" s="87"/>
      <c r="I6093" s="89"/>
    </row>
    <row r="6094" spans="1:9">
      <c r="A6094" s="21"/>
      <c r="B6094"/>
      <c r="F6094" s="87"/>
      <c r="H6094" s="87"/>
      <c r="I6094" s="89"/>
    </row>
    <row r="6095" spans="1:9">
      <c r="A6095" s="21"/>
      <c r="B6095"/>
      <c r="F6095" s="87"/>
      <c r="H6095" s="87"/>
      <c r="I6095" s="89"/>
    </row>
    <row r="6096" spans="1:9">
      <c r="A6096" s="21"/>
      <c r="B6096"/>
      <c r="F6096" s="87"/>
      <c r="H6096" s="87"/>
      <c r="I6096" s="89"/>
    </row>
    <row r="6097" spans="1:9">
      <c r="A6097" s="21"/>
      <c r="B6097"/>
      <c r="F6097" s="87"/>
      <c r="H6097" s="87"/>
      <c r="I6097" s="89"/>
    </row>
    <row r="6098" spans="1:9">
      <c r="A6098" s="21"/>
      <c r="B6098"/>
      <c r="F6098" s="87"/>
      <c r="H6098" s="87"/>
      <c r="I6098" s="89"/>
    </row>
    <row r="6099" spans="1:9">
      <c r="A6099" s="21"/>
      <c r="B6099"/>
      <c r="F6099" s="87"/>
      <c r="H6099" s="87"/>
      <c r="I6099" s="89"/>
    </row>
    <row r="6100" spans="1:9">
      <c r="A6100" s="21"/>
      <c r="B6100"/>
      <c r="F6100" s="87"/>
      <c r="H6100" s="87"/>
      <c r="I6100" s="89"/>
    </row>
    <row r="6101" spans="1:9">
      <c r="A6101" s="21"/>
      <c r="B6101"/>
      <c r="F6101" s="87"/>
      <c r="H6101" s="87"/>
      <c r="I6101" s="89"/>
    </row>
    <row r="6102" spans="1:9">
      <c r="A6102" s="21"/>
      <c r="B6102"/>
      <c r="F6102" s="87"/>
      <c r="H6102" s="87"/>
      <c r="I6102" s="89"/>
    </row>
    <row r="6103" spans="1:9">
      <c r="A6103" s="21"/>
      <c r="B6103"/>
      <c r="F6103" s="87"/>
      <c r="H6103" s="87"/>
      <c r="I6103" s="89"/>
    </row>
    <row r="6104" spans="1:9">
      <c r="A6104" s="21"/>
      <c r="B6104"/>
      <c r="F6104" s="87"/>
      <c r="H6104" s="87"/>
      <c r="I6104" s="89"/>
    </row>
    <row r="6105" spans="1:9">
      <c r="A6105" s="21"/>
      <c r="B6105"/>
      <c r="F6105" s="87"/>
      <c r="H6105" s="87"/>
      <c r="I6105" s="89"/>
    </row>
    <row r="6106" spans="1:9">
      <c r="A6106" s="21"/>
      <c r="B6106"/>
      <c r="F6106" s="87"/>
      <c r="H6106" s="87"/>
      <c r="I6106" s="89"/>
    </row>
    <row r="6107" spans="1:9">
      <c r="A6107" s="21"/>
      <c r="B6107"/>
      <c r="F6107" s="87"/>
      <c r="H6107" s="87"/>
      <c r="I6107" s="89"/>
    </row>
    <row r="6108" spans="1:9">
      <c r="A6108" s="21"/>
      <c r="B6108"/>
      <c r="F6108" s="87"/>
      <c r="H6108" s="87"/>
      <c r="I6108" s="89"/>
    </row>
    <row r="6109" spans="1:9">
      <c r="A6109" s="21"/>
      <c r="B6109"/>
      <c r="F6109" s="87"/>
      <c r="H6109" s="87"/>
      <c r="I6109" s="89"/>
    </row>
    <row r="6110" spans="1:9">
      <c r="A6110" s="21"/>
      <c r="B6110"/>
      <c r="F6110" s="87"/>
      <c r="H6110" s="87"/>
      <c r="I6110" s="89"/>
    </row>
    <row r="6111" spans="1:9">
      <c r="A6111" s="21"/>
      <c r="B6111"/>
      <c r="F6111" s="87"/>
      <c r="H6111" s="87"/>
      <c r="I6111" s="89"/>
    </row>
    <row r="6112" spans="1:9">
      <c r="A6112" s="21"/>
      <c r="B6112"/>
      <c r="F6112" s="87"/>
      <c r="H6112" s="87"/>
      <c r="I6112" s="89"/>
    </row>
    <row r="6113" spans="1:9">
      <c r="A6113" s="21"/>
      <c r="B6113"/>
      <c r="F6113" s="87"/>
      <c r="H6113" s="87"/>
      <c r="I6113" s="89"/>
    </row>
    <row r="6114" spans="1:9">
      <c r="A6114" s="21"/>
      <c r="B6114"/>
      <c r="F6114" s="87"/>
      <c r="H6114" s="87"/>
      <c r="I6114" s="89"/>
    </row>
    <row r="6115" spans="1:9">
      <c r="A6115" s="21"/>
      <c r="B6115"/>
      <c r="F6115" s="87"/>
      <c r="H6115" s="87"/>
      <c r="I6115" s="89"/>
    </row>
    <row r="6116" spans="1:9">
      <c r="A6116" s="21"/>
      <c r="B6116"/>
      <c r="F6116" s="87"/>
      <c r="H6116" s="87"/>
      <c r="I6116" s="89"/>
    </row>
    <row r="6117" spans="1:9">
      <c r="A6117" s="21"/>
      <c r="B6117"/>
      <c r="F6117" s="87"/>
      <c r="H6117" s="87"/>
      <c r="I6117" s="89"/>
    </row>
    <row r="6118" spans="1:9">
      <c r="A6118" s="21"/>
      <c r="B6118"/>
      <c r="F6118" s="87"/>
      <c r="H6118" s="87"/>
      <c r="I6118" s="89"/>
    </row>
    <row r="6119" spans="1:9">
      <c r="A6119" s="21"/>
      <c r="B6119"/>
      <c r="F6119" s="87"/>
      <c r="H6119" s="87"/>
      <c r="I6119" s="89"/>
    </row>
    <row r="6120" spans="1:9">
      <c r="A6120" s="21"/>
      <c r="B6120"/>
      <c r="F6120" s="87"/>
      <c r="H6120" s="87"/>
      <c r="I6120" s="89"/>
    </row>
    <row r="6121" spans="1:9">
      <c r="A6121" s="21"/>
      <c r="B6121"/>
      <c r="F6121" s="87"/>
      <c r="H6121" s="87"/>
      <c r="I6121" s="89"/>
    </row>
    <row r="6122" spans="1:9">
      <c r="A6122" s="21"/>
      <c r="B6122"/>
      <c r="F6122" s="87"/>
      <c r="H6122" s="87"/>
      <c r="I6122" s="89"/>
    </row>
    <row r="6123" spans="1:9">
      <c r="A6123" s="21"/>
      <c r="B6123"/>
      <c r="F6123" s="87"/>
      <c r="H6123" s="87"/>
      <c r="I6123" s="89"/>
    </row>
    <row r="6124" spans="1:9">
      <c r="A6124" s="21"/>
      <c r="B6124"/>
      <c r="F6124" s="87"/>
      <c r="H6124" s="87"/>
      <c r="I6124" s="89"/>
    </row>
    <row r="6125" spans="1:9">
      <c r="A6125" s="21"/>
      <c r="B6125"/>
      <c r="F6125" s="87"/>
      <c r="H6125" s="87"/>
      <c r="I6125" s="89"/>
    </row>
    <row r="6126" spans="1:9">
      <c r="A6126" s="21"/>
      <c r="B6126"/>
      <c r="F6126" s="87"/>
      <c r="H6126" s="87"/>
      <c r="I6126" s="89"/>
    </row>
    <row r="6127" spans="1:9">
      <c r="A6127" s="21"/>
      <c r="B6127"/>
      <c r="F6127" s="87"/>
      <c r="H6127" s="87"/>
      <c r="I6127" s="89"/>
    </row>
    <row r="6128" spans="1:9">
      <c r="A6128" s="21"/>
      <c r="B6128"/>
      <c r="F6128" s="87"/>
      <c r="H6128" s="87"/>
      <c r="I6128" s="89"/>
    </row>
    <row r="6129" spans="1:9">
      <c r="A6129" s="21"/>
      <c r="B6129"/>
      <c r="F6129" s="87"/>
      <c r="H6129" s="87"/>
      <c r="I6129" s="89"/>
    </row>
    <row r="6130" spans="1:9">
      <c r="A6130" s="21"/>
      <c r="B6130"/>
      <c r="F6130" s="87"/>
      <c r="H6130" s="87"/>
      <c r="I6130" s="89"/>
    </row>
    <row r="6131" spans="1:9">
      <c r="A6131" s="21"/>
      <c r="B6131"/>
      <c r="F6131" s="87"/>
      <c r="H6131" s="87"/>
      <c r="I6131" s="89"/>
    </row>
    <row r="6132" spans="1:9">
      <c r="A6132" s="21"/>
      <c r="B6132"/>
      <c r="F6132" s="87"/>
      <c r="H6132" s="87"/>
      <c r="I6132" s="89"/>
    </row>
    <row r="6133" spans="1:9">
      <c r="A6133" s="21"/>
      <c r="B6133"/>
      <c r="F6133" s="87"/>
      <c r="H6133" s="87"/>
      <c r="I6133" s="89"/>
    </row>
    <row r="6134" spans="1:9">
      <c r="A6134" s="21"/>
      <c r="B6134"/>
      <c r="F6134" s="87"/>
      <c r="H6134" s="87"/>
      <c r="I6134" s="89"/>
    </row>
    <row r="6135" spans="1:9">
      <c r="A6135" s="21"/>
      <c r="B6135"/>
      <c r="F6135" s="87"/>
      <c r="H6135" s="87"/>
      <c r="I6135" s="89"/>
    </row>
    <row r="6136" spans="1:9">
      <c r="A6136" s="21"/>
      <c r="B6136"/>
      <c r="F6136" s="87"/>
      <c r="H6136" s="87"/>
      <c r="I6136" s="89"/>
    </row>
    <row r="6137" spans="1:9">
      <c r="A6137" s="21"/>
      <c r="B6137"/>
      <c r="F6137" s="87"/>
      <c r="H6137" s="87"/>
      <c r="I6137" s="89"/>
    </row>
    <row r="6138" spans="1:9">
      <c r="A6138" s="21"/>
      <c r="B6138"/>
      <c r="F6138" s="87"/>
      <c r="H6138" s="87"/>
      <c r="I6138" s="89"/>
    </row>
    <row r="6139" spans="1:9">
      <c r="A6139" s="21"/>
      <c r="B6139"/>
      <c r="F6139" s="87"/>
      <c r="H6139" s="87"/>
      <c r="I6139" s="89"/>
    </row>
    <row r="6140" spans="1:9">
      <c r="A6140" s="21"/>
      <c r="B6140"/>
      <c r="F6140" s="87"/>
      <c r="H6140" s="87"/>
      <c r="I6140" s="89"/>
    </row>
    <row r="6141" spans="1:9">
      <c r="A6141" s="21"/>
      <c r="B6141"/>
      <c r="F6141" s="87"/>
      <c r="H6141" s="87"/>
      <c r="I6141" s="89"/>
    </row>
    <row r="6142" spans="1:9">
      <c r="A6142" s="21"/>
      <c r="B6142"/>
      <c r="F6142" s="87"/>
      <c r="H6142" s="87"/>
      <c r="I6142" s="89"/>
    </row>
    <row r="6143" spans="1:9">
      <c r="A6143" s="21"/>
      <c r="B6143"/>
      <c r="F6143" s="87"/>
      <c r="H6143" s="87"/>
      <c r="I6143" s="89"/>
    </row>
    <row r="6144" spans="1:9">
      <c r="A6144" s="21"/>
      <c r="B6144"/>
      <c r="F6144" s="87"/>
      <c r="H6144" s="87"/>
      <c r="I6144" s="89"/>
    </row>
    <row r="6145" spans="1:9">
      <c r="A6145" s="21"/>
      <c r="B6145"/>
      <c r="F6145" s="87"/>
      <c r="H6145" s="87"/>
      <c r="I6145" s="89"/>
    </row>
    <row r="6146" spans="1:9">
      <c r="A6146" s="21"/>
      <c r="B6146"/>
      <c r="F6146" s="87"/>
      <c r="H6146" s="87"/>
      <c r="I6146" s="89"/>
    </row>
    <row r="6147" spans="1:9">
      <c r="A6147" s="21"/>
      <c r="B6147"/>
      <c r="F6147" s="87"/>
      <c r="H6147" s="87"/>
      <c r="I6147" s="89"/>
    </row>
    <row r="6148" spans="1:9">
      <c r="A6148" s="21"/>
      <c r="B6148"/>
      <c r="F6148" s="87"/>
      <c r="H6148" s="87"/>
      <c r="I6148" s="89"/>
    </row>
    <row r="6149" spans="1:9">
      <c r="A6149" s="21"/>
      <c r="B6149"/>
      <c r="F6149" s="87"/>
      <c r="H6149" s="87"/>
      <c r="I6149" s="89"/>
    </row>
    <row r="6150" spans="1:9">
      <c r="A6150" s="21"/>
      <c r="B6150"/>
      <c r="F6150" s="87"/>
      <c r="H6150" s="87"/>
      <c r="I6150" s="89"/>
    </row>
    <row r="6151" spans="1:9">
      <c r="A6151" s="21"/>
      <c r="B6151"/>
      <c r="F6151" s="87"/>
      <c r="H6151" s="87"/>
      <c r="I6151" s="89"/>
    </row>
    <row r="6152" spans="1:9">
      <c r="A6152" s="21"/>
      <c r="B6152"/>
      <c r="F6152" s="87"/>
      <c r="H6152" s="87"/>
      <c r="I6152" s="89"/>
    </row>
    <row r="6153" spans="1:9">
      <c r="A6153" s="21"/>
      <c r="B6153"/>
      <c r="F6153" s="87"/>
      <c r="H6153" s="87"/>
      <c r="I6153" s="89"/>
    </row>
    <row r="6154" spans="1:9">
      <c r="A6154" s="21"/>
      <c r="B6154"/>
      <c r="F6154" s="87"/>
      <c r="H6154" s="87"/>
      <c r="I6154" s="89"/>
    </row>
    <row r="6155" spans="1:9">
      <c r="A6155" s="21"/>
      <c r="B6155"/>
      <c r="F6155" s="87"/>
      <c r="H6155" s="87"/>
      <c r="I6155" s="89"/>
    </row>
    <row r="6156" spans="1:9">
      <c r="A6156" s="21"/>
      <c r="B6156"/>
      <c r="F6156" s="87"/>
      <c r="H6156" s="87"/>
      <c r="I6156" s="89"/>
    </row>
    <row r="6157" spans="1:9">
      <c r="A6157" s="21"/>
      <c r="B6157"/>
      <c r="F6157" s="87"/>
      <c r="H6157" s="87"/>
      <c r="I6157" s="89"/>
    </row>
    <row r="6158" spans="1:9">
      <c r="A6158" s="21"/>
      <c r="B6158"/>
      <c r="F6158" s="87"/>
      <c r="H6158" s="87"/>
      <c r="I6158" s="89"/>
    </row>
    <row r="6159" spans="1:9">
      <c r="A6159" s="21"/>
      <c r="B6159"/>
      <c r="F6159" s="87"/>
      <c r="H6159" s="87"/>
      <c r="I6159" s="89"/>
    </row>
    <row r="6160" spans="1:9">
      <c r="A6160" s="21"/>
      <c r="B6160"/>
      <c r="F6160" s="87"/>
      <c r="H6160" s="87"/>
      <c r="I6160" s="89"/>
    </row>
    <row r="6161" spans="1:9">
      <c r="A6161" s="21"/>
      <c r="B6161"/>
      <c r="F6161" s="87"/>
      <c r="H6161" s="87"/>
      <c r="I6161" s="89"/>
    </row>
    <row r="6162" spans="1:9">
      <c r="A6162" s="21"/>
      <c r="B6162"/>
      <c r="F6162" s="87"/>
      <c r="H6162" s="87"/>
      <c r="I6162" s="89"/>
    </row>
    <row r="6163" spans="1:9">
      <c r="A6163" s="21"/>
      <c r="B6163"/>
      <c r="F6163" s="87"/>
      <c r="H6163" s="87"/>
      <c r="I6163" s="89"/>
    </row>
    <row r="6164" spans="1:9">
      <c r="A6164" s="21"/>
      <c r="B6164"/>
      <c r="F6164" s="87"/>
      <c r="H6164" s="87"/>
      <c r="I6164" s="89"/>
    </row>
    <row r="6165" spans="1:9">
      <c r="A6165" s="21"/>
      <c r="B6165"/>
      <c r="F6165" s="87"/>
      <c r="H6165" s="87"/>
      <c r="I6165" s="89"/>
    </row>
    <row r="6166" spans="1:9">
      <c r="A6166" s="21"/>
      <c r="B6166"/>
      <c r="F6166" s="87"/>
      <c r="H6166" s="87"/>
      <c r="I6166" s="89"/>
    </row>
    <row r="6167" spans="1:9">
      <c r="A6167" s="21"/>
      <c r="B6167"/>
      <c r="F6167" s="87"/>
      <c r="H6167" s="87"/>
      <c r="I6167" s="89"/>
    </row>
    <row r="6168" spans="1:9">
      <c r="A6168" s="21"/>
      <c r="B6168"/>
      <c r="F6168" s="87"/>
      <c r="H6168" s="87"/>
      <c r="I6168" s="89"/>
    </row>
    <row r="6169" spans="1:9">
      <c r="A6169" s="21"/>
      <c r="B6169"/>
      <c r="F6169" s="87"/>
      <c r="H6169" s="87"/>
      <c r="I6169" s="89"/>
    </row>
    <row r="6170" spans="1:9">
      <c r="A6170" s="21"/>
      <c r="B6170"/>
      <c r="F6170" s="87"/>
      <c r="H6170" s="87"/>
      <c r="I6170" s="89"/>
    </row>
    <row r="6171" spans="1:9">
      <c r="A6171" s="21"/>
      <c r="B6171"/>
      <c r="F6171" s="87"/>
      <c r="H6171" s="87"/>
      <c r="I6171" s="89"/>
    </row>
    <row r="6172" spans="1:9">
      <c r="A6172" s="21"/>
      <c r="B6172"/>
      <c r="F6172" s="87"/>
      <c r="H6172" s="87"/>
      <c r="I6172" s="89"/>
    </row>
    <row r="6173" spans="1:9">
      <c r="A6173" s="21"/>
      <c r="B6173"/>
      <c r="F6173" s="87"/>
      <c r="H6173" s="87"/>
      <c r="I6173" s="89"/>
    </row>
    <row r="6174" spans="1:9">
      <c r="A6174" s="21"/>
      <c r="B6174"/>
      <c r="F6174" s="87"/>
      <c r="H6174" s="87"/>
      <c r="I6174" s="89"/>
    </row>
    <row r="6175" spans="1:9">
      <c r="A6175" s="21"/>
      <c r="B6175"/>
      <c r="F6175" s="87"/>
      <c r="H6175" s="87"/>
      <c r="I6175" s="89"/>
    </row>
    <row r="6176" spans="1:9">
      <c r="A6176" s="21"/>
      <c r="B6176"/>
      <c r="F6176" s="87"/>
      <c r="H6176" s="87"/>
      <c r="I6176" s="89"/>
    </row>
    <row r="6177" spans="1:9">
      <c r="A6177" s="21"/>
      <c r="B6177"/>
      <c r="F6177" s="87"/>
      <c r="H6177" s="87"/>
      <c r="I6177" s="89"/>
    </row>
    <row r="6178" spans="1:9">
      <c r="A6178" s="21"/>
      <c r="B6178"/>
      <c r="F6178" s="87"/>
      <c r="H6178" s="87"/>
      <c r="I6178" s="89"/>
    </row>
    <row r="6179" spans="1:9">
      <c r="A6179" s="21"/>
      <c r="B6179"/>
      <c r="F6179" s="87"/>
      <c r="H6179" s="87"/>
      <c r="I6179" s="89"/>
    </row>
    <row r="6180" spans="1:9">
      <c r="A6180" s="21"/>
      <c r="B6180"/>
      <c r="F6180" s="87"/>
      <c r="H6180" s="87"/>
      <c r="I6180" s="89"/>
    </row>
    <row r="6181" spans="1:9">
      <c r="A6181" s="21"/>
      <c r="B6181"/>
      <c r="F6181" s="87"/>
      <c r="H6181" s="87"/>
      <c r="I6181" s="89"/>
    </row>
    <row r="6182" spans="1:9">
      <c r="A6182" s="21"/>
      <c r="B6182"/>
      <c r="F6182" s="87"/>
      <c r="H6182" s="87"/>
      <c r="I6182" s="89"/>
    </row>
    <row r="6183" spans="1:9">
      <c r="A6183" s="21"/>
      <c r="B6183"/>
      <c r="F6183" s="87"/>
      <c r="H6183" s="87"/>
      <c r="I6183" s="89"/>
    </row>
    <row r="6184" spans="1:9">
      <c r="A6184" s="21"/>
      <c r="B6184"/>
      <c r="F6184" s="87"/>
      <c r="H6184" s="87"/>
      <c r="I6184" s="89"/>
    </row>
    <row r="6185" spans="1:9">
      <c r="A6185" s="21"/>
      <c r="B6185"/>
      <c r="F6185" s="87"/>
      <c r="H6185" s="87"/>
      <c r="I6185" s="89"/>
    </row>
    <row r="6186" spans="1:9">
      <c r="A6186" s="21"/>
      <c r="B6186"/>
      <c r="F6186" s="87"/>
      <c r="H6186" s="87"/>
      <c r="I6186" s="89"/>
    </row>
    <row r="6187" spans="1:9">
      <c r="A6187" s="21"/>
      <c r="B6187"/>
      <c r="F6187" s="87"/>
      <c r="H6187" s="87"/>
      <c r="I6187" s="89"/>
    </row>
    <row r="6188" spans="1:9">
      <c r="A6188" s="21"/>
      <c r="B6188"/>
      <c r="F6188" s="87"/>
      <c r="H6188" s="87"/>
      <c r="I6188" s="89"/>
    </row>
    <row r="6189" spans="1:9">
      <c r="A6189" s="21"/>
      <c r="B6189"/>
      <c r="F6189" s="87"/>
      <c r="H6189" s="87"/>
      <c r="I6189" s="89"/>
    </row>
    <row r="6190" spans="1:9">
      <c r="A6190" s="21"/>
      <c r="B6190"/>
      <c r="F6190" s="87"/>
      <c r="H6190" s="87"/>
      <c r="I6190" s="89"/>
    </row>
    <row r="6191" spans="1:9">
      <c r="A6191" s="21"/>
      <c r="B6191"/>
      <c r="F6191" s="87"/>
      <c r="H6191" s="87"/>
      <c r="I6191" s="89"/>
    </row>
    <row r="6192" spans="1:9">
      <c r="A6192" s="21"/>
      <c r="B6192"/>
      <c r="F6192" s="87"/>
      <c r="H6192" s="87"/>
      <c r="I6192" s="89"/>
    </row>
    <row r="6193" spans="1:9">
      <c r="A6193" s="21"/>
      <c r="B6193"/>
      <c r="F6193" s="87"/>
      <c r="H6193" s="87"/>
      <c r="I6193" s="89"/>
    </row>
    <row r="6194" spans="1:9">
      <c r="A6194" s="21"/>
      <c r="B6194"/>
      <c r="F6194" s="87"/>
      <c r="H6194" s="87"/>
      <c r="I6194" s="89"/>
    </row>
    <row r="6195" spans="1:9">
      <c r="A6195" s="21"/>
      <c r="B6195"/>
      <c r="F6195" s="87"/>
      <c r="H6195" s="87"/>
      <c r="I6195" s="89"/>
    </row>
    <row r="6196" spans="1:9">
      <c r="A6196" s="21"/>
      <c r="B6196"/>
      <c r="F6196" s="87"/>
      <c r="H6196" s="87"/>
      <c r="I6196" s="89"/>
    </row>
    <row r="6197" spans="1:9">
      <c r="A6197" s="21"/>
      <c r="B6197"/>
      <c r="F6197" s="87"/>
      <c r="H6197" s="87"/>
      <c r="I6197" s="89"/>
    </row>
    <row r="6198" spans="1:9">
      <c r="A6198" s="21"/>
      <c r="B6198"/>
      <c r="F6198" s="87"/>
      <c r="H6198" s="87"/>
      <c r="I6198" s="89"/>
    </row>
    <row r="6199" spans="1:9">
      <c r="A6199" s="21"/>
      <c r="B6199"/>
      <c r="F6199" s="87"/>
      <c r="H6199" s="87"/>
      <c r="I6199" s="89"/>
    </row>
    <row r="6200" spans="1:9">
      <c r="A6200" s="21"/>
      <c r="B6200"/>
      <c r="F6200" s="87"/>
      <c r="H6200" s="87"/>
      <c r="I6200" s="89"/>
    </row>
    <row r="6201" spans="1:9">
      <c r="A6201" s="21"/>
      <c r="B6201"/>
      <c r="F6201" s="87"/>
      <c r="H6201" s="87"/>
      <c r="I6201" s="89"/>
    </row>
    <row r="6202" spans="1:9">
      <c r="A6202" s="21"/>
      <c r="B6202"/>
      <c r="F6202" s="87"/>
      <c r="H6202" s="87"/>
      <c r="I6202" s="89"/>
    </row>
    <row r="6203" spans="1:9">
      <c r="A6203" s="21"/>
      <c r="B6203"/>
      <c r="F6203" s="87"/>
      <c r="H6203" s="87"/>
      <c r="I6203" s="89"/>
    </row>
    <row r="6204" spans="1:9">
      <c r="A6204" s="21"/>
      <c r="B6204"/>
      <c r="F6204" s="87"/>
      <c r="H6204" s="87"/>
      <c r="I6204" s="89"/>
    </row>
    <row r="6205" spans="1:9">
      <c r="A6205" s="21"/>
      <c r="B6205"/>
      <c r="F6205" s="87"/>
      <c r="H6205" s="87"/>
      <c r="I6205" s="89"/>
    </row>
    <row r="6206" spans="1:9">
      <c r="A6206" s="21"/>
      <c r="B6206"/>
      <c r="F6206" s="87"/>
      <c r="H6206" s="87"/>
      <c r="I6206" s="89"/>
    </row>
    <row r="6207" spans="1:9">
      <c r="A6207" s="21"/>
      <c r="B6207"/>
      <c r="F6207" s="87"/>
      <c r="H6207" s="87"/>
      <c r="I6207" s="89"/>
    </row>
    <row r="6208" spans="1:9">
      <c r="A6208" s="21"/>
      <c r="B6208"/>
      <c r="F6208" s="87"/>
      <c r="H6208" s="87"/>
      <c r="I6208" s="89"/>
    </row>
    <row r="6209" spans="1:9">
      <c r="A6209" s="21"/>
      <c r="B6209"/>
      <c r="F6209" s="87"/>
      <c r="H6209" s="87"/>
      <c r="I6209" s="89"/>
    </row>
    <row r="6210" spans="1:9">
      <c r="A6210" s="21"/>
      <c r="B6210"/>
      <c r="F6210" s="87"/>
      <c r="H6210" s="87"/>
      <c r="I6210" s="89"/>
    </row>
    <row r="6211" spans="1:9">
      <c r="A6211" s="21"/>
      <c r="B6211"/>
      <c r="F6211" s="87"/>
      <c r="H6211" s="87"/>
      <c r="I6211" s="89"/>
    </row>
    <row r="6212" spans="1:9">
      <c r="A6212" s="21"/>
      <c r="B6212"/>
      <c r="F6212" s="87"/>
      <c r="H6212" s="87"/>
      <c r="I6212" s="89"/>
    </row>
    <row r="6213" spans="1:9">
      <c r="A6213" s="21"/>
      <c r="B6213"/>
      <c r="F6213" s="87"/>
      <c r="H6213" s="87"/>
      <c r="I6213" s="89"/>
    </row>
    <row r="6214" spans="1:9">
      <c r="A6214" s="21"/>
      <c r="B6214"/>
      <c r="F6214" s="87"/>
      <c r="H6214" s="87"/>
      <c r="I6214" s="89"/>
    </row>
    <row r="6215" spans="1:9">
      <c r="A6215" s="21"/>
      <c r="B6215"/>
      <c r="F6215" s="87"/>
      <c r="H6215" s="87"/>
      <c r="I6215" s="89"/>
    </row>
    <row r="6216" spans="1:9">
      <c r="A6216" s="21"/>
      <c r="B6216"/>
      <c r="F6216" s="87"/>
      <c r="H6216" s="87"/>
      <c r="I6216" s="89"/>
    </row>
    <row r="6217" spans="1:9">
      <c r="A6217" s="21"/>
      <c r="B6217"/>
      <c r="F6217" s="87"/>
      <c r="H6217" s="87"/>
      <c r="I6217" s="89"/>
    </row>
    <row r="6218" spans="1:9">
      <c r="A6218" s="21"/>
      <c r="B6218"/>
      <c r="F6218" s="87"/>
      <c r="H6218" s="87"/>
      <c r="I6218" s="89"/>
    </row>
    <row r="6219" spans="1:9">
      <c r="A6219" s="21"/>
      <c r="B6219"/>
      <c r="F6219" s="87"/>
      <c r="H6219" s="87"/>
      <c r="I6219" s="89"/>
    </row>
    <row r="6220" spans="1:9">
      <c r="A6220" s="21"/>
      <c r="B6220"/>
      <c r="F6220" s="87"/>
      <c r="H6220" s="87"/>
      <c r="I6220" s="89"/>
    </row>
    <row r="6221" spans="1:9">
      <c r="A6221" s="21"/>
      <c r="B6221"/>
      <c r="F6221" s="87"/>
      <c r="H6221" s="87"/>
      <c r="I6221" s="89"/>
    </row>
    <row r="6222" spans="1:9">
      <c r="A6222" s="21"/>
      <c r="B6222"/>
      <c r="F6222" s="87"/>
      <c r="H6222" s="87"/>
      <c r="I6222" s="89"/>
    </row>
    <row r="6223" spans="1:9">
      <c r="A6223" s="21"/>
      <c r="B6223"/>
      <c r="F6223" s="87"/>
      <c r="H6223" s="87"/>
      <c r="I6223" s="89"/>
    </row>
    <row r="6224" spans="1:9">
      <c r="A6224" s="21"/>
      <c r="B6224"/>
      <c r="F6224" s="87"/>
      <c r="H6224" s="87"/>
      <c r="I6224" s="89"/>
    </row>
    <row r="6225" spans="1:9">
      <c r="A6225" s="21"/>
      <c r="B6225"/>
      <c r="F6225" s="87"/>
      <c r="H6225" s="87"/>
      <c r="I6225" s="89"/>
    </row>
    <row r="6226" spans="1:9">
      <c r="A6226" s="21"/>
      <c r="B6226"/>
      <c r="F6226" s="87"/>
      <c r="H6226" s="87"/>
      <c r="I6226" s="89"/>
    </row>
    <row r="6227" spans="1:9">
      <c r="A6227" s="21"/>
      <c r="B6227"/>
      <c r="F6227" s="87"/>
      <c r="H6227" s="87"/>
      <c r="I6227" s="89"/>
    </row>
    <row r="6228" spans="1:9">
      <c r="A6228" s="21"/>
      <c r="B6228"/>
      <c r="F6228" s="87"/>
      <c r="H6228" s="87"/>
      <c r="I6228" s="89"/>
    </row>
    <row r="6229" spans="1:9">
      <c r="A6229" s="21"/>
      <c r="B6229"/>
      <c r="F6229" s="87"/>
      <c r="H6229" s="87"/>
      <c r="I6229" s="89"/>
    </row>
    <row r="6230" spans="1:9">
      <c r="A6230" s="21"/>
      <c r="B6230"/>
      <c r="F6230" s="87"/>
      <c r="H6230" s="87"/>
      <c r="I6230" s="89"/>
    </row>
    <row r="6231" spans="1:9">
      <c r="A6231" s="21"/>
      <c r="B6231"/>
      <c r="F6231" s="87"/>
      <c r="H6231" s="87"/>
      <c r="I6231" s="89"/>
    </row>
    <row r="6232" spans="1:9">
      <c r="A6232" s="21"/>
      <c r="B6232"/>
      <c r="F6232" s="87"/>
      <c r="H6232" s="87"/>
      <c r="I6232" s="89"/>
    </row>
    <row r="6233" spans="1:9">
      <c r="A6233" s="21"/>
      <c r="B6233"/>
      <c r="F6233" s="87"/>
      <c r="H6233" s="87"/>
      <c r="I6233" s="89"/>
    </row>
    <row r="6234" spans="1:9">
      <c r="A6234" s="21"/>
      <c r="B6234"/>
      <c r="F6234" s="87"/>
      <c r="H6234" s="87"/>
      <c r="I6234" s="89"/>
    </row>
    <row r="6235" spans="1:9">
      <c r="A6235" s="21"/>
      <c r="B6235"/>
      <c r="F6235" s="87"/>
      <c r="H6235" s="87"/>
      <c r="I6235" s="89"/>
    </row>
    <row r="6236" spans="1:9">
      <c r="A6236" s="21"/>
      <c r="B6236"/>
      <c r="F6236" s="87"/>
      <c r="H6236" s="87"/>
      <c r="I6236" s="89"/>
    </row>
    <row r="6237" spans="1:9">
      <c r="A6237" s="21"/>
      <c r="B6237"/>
      <c r="F6237" s="87"/>
      <c r="H6237" s="87"/>
      <c r="I6237" s="89"/>
    </row>
    <row r="6238" spans="1:9">
      <c r="A6238" s="21"/>
      <c r="B6238"/>
      <c r="F6238" s="87"/>
      <c r="H6238" s="87"/>
      <c r="I6238" s="89"/>
    </row>
    <row r="6239" spans="1:9">
      <c r="A6239" s="21"/>
      <c r="B6239"/>
      <c r="F6239" s="87"/>
      <c r="H6239" s="87"/>
      <c r="I6239" s="89"/>
    </row>
    <row r="6240" spans="1:9">
      <c r="A6240" s="21"/>
      <c r="B6240"/>
      <c r="F6240" s="87"/>
      <c r="H6240" s="87"/>
      <c r="I6240" s="89"/>
    </row>
    <row r="6241" spans="1:9">
      <c r="A6241" s="21"/>
      <c r="B6241"/>
      <c r="F6241" s="87"/>
      <c r="H6241" s="87"/>
      <c r="I6241" s="89"/>
    </row>
    <row r="6242" spans="1:9">
      <c r="A6242" s="21"/>
      <c r="B6242"/>
      <c r="F6242" s="87"/>
      <c r="H6242" s="87"/>
      <c r="I6242" s="89"/>
    </row>
    <row r="6243" spans="1:9">
      <c r="A6243" s="21"/>
      <c r="B6243"/>
      <c r="F6243" s="87"/>
      <c r="H6243" s="87"/>
      <c r="I6243" s="89"/>
    </row>
    <row r="6244" spans="1:9">
      <c r="A6244" s="21"/>
      <c r="B6244"/>
      <c r="F6244" s="87"/>
      <c r="H6244" s="87"/>
      <c r="I6244" s="89"/>
    </row>
    <row r="6245" spans="1:9">
      <c r="A6245" s="21"/>
      <c r="B6245"/>
      <c r="F6245" s="87"/>
      <c r="H6245" s="87"/>
      <c r="I6245" s="89"/>
    </row>
    <row r="6246" spans="1:9">
      <c r="A6246" s="21"/>
      <c r="B6246"/>
      <c r="F6246" s="87"/>
      <c r="H6246" s="87"/>
      <c r="I6246" s="89"/>
    </row>
    <row r="6247" spans="1:9">
      <c r="A6247" s="21"/>
      <c r="B6247"/>
      <c r="F6247" s="87"/>
      <c r="H6247" s="87"/>
      <c r="I6247" s="89"/>
    </row>
    <row r="6248" spans="1:9">
      <c r="A6248" s="21"/>
      <c r="B6248"/>
      <c r="F6248" s="87"/>
      <c r="H6248" s="87"/>
      <c r="I6248" s="89"/>
    </row>
    <row r="6249" spans="1:9">
      <c r="A6249" s="21"/>
      <c r="B6249"/>
      <c r="F6249" s="87"/>
      <c r="H6249" s="87"/>
      <c r="I6249" s="89"/>
    </row>
    <row r="6250" spans="1:9">
      <c r="A6250" s="21"/>
      <c r="B6250"/>
      <c r="F6250" s="87"/>
      <c r="H6250" s="87"/>
      <c r="I6250" s="89"/>
    </row>
    <row r="6251" spans="1:9">
      <c r="A6251" s="21"/>
      <c r="B6251"/>
      <c r="F6251" s="87"/>
      <c r="H6251" s="87"/>
      <c r="I6251" s="89"/>
    </row>
    <row r="6252" spans="1:9">
      <c r="A6252" s="21"/>
      <c r="B6252"/>
      <c r="F6252" s="87"/>
      <c r="H6252" s="87"/>
      <c r="I6252" s="89"/>
    </row>
    <row r="6253" spans="1:9">
      <c r="A6253" s="21"/>
      <c r="B6253"/>
      <c r="F6253" s="87"/>
      <c r="H6253" s="87"/>
      <c r="I6253" s="89"/>
    </row>
    <row r="6254" spans="1:9">
      <c r="A6254" s="21"/>
      <c r="B6254"/>
      <c r="F6254" s="87"/>
      <c r="H6254" s="87"/>
      <c r="I6254" s="89"/>
    </row>
    <row r="6255" spans="1:9">
      <c r="A6255" s="21"/>
      <c r="B6255"/>
      <c r="F6255" s="87"/>
      <c r="H6255" s="87"/>
      <c r="I6255" s="89"/>
    </row>
    <row r="6256" spans="1:9">
      <c r="A6256" s="21"/>
      <c r="B6256"/>
      <c r="F6256" s="87"/>
      <c r="H6256" s="87"/>
      <c r="I6256" s="89"/>
    </row>
    <row r="6257" spans="1:9">
      <c r="A6257" s="21"/>
      <c r="B6257"/>
      <c r="F6257" s="87"/>
      <c r="H6257" s="87"/>
      <c r="I6257" s="89"/>
    </row>
    <row r="6258" spans="1:9">
      <c r="A6258" s="21"/>
      <c r="B6258"/>
      <c r="F6258" s="87"/>
      <c r="H6258" s="87"/>
      <c r="I6258" s="89"/>
    </row>
    <row r="6259" spans="1:9">
      <c r="A6259" s="21"/>
      <c r="B6259"/>
      <c r="F6259" s="87"/>
      <c r="H6259" s="87"/>
      <c r="I6259" s="89"/>
    </row>
    <row r="6260" spans="1:9">
      <c r="A6260" s="21"/>
      <c r="B6260"/>
      <c r="F6260" s="87"/>
      <c r="H6260" s="87"/>
      <c r="I6260" s="89"/>
    </row>
    <row r="6261" spans="1:9">
      <c r="A6261" s="21"/>
      <c r="B6261"/>
      <c r="F6261" s="87"/>
      <c r="H6261" s="87"/>
      <c r="I6261" s="89"/>
    </row>
    <row r="6262" spans="1:9">
      <c r="A6262" s="21"/>
      <c r="B6262"/>
      <c r="F6262" s="87"/>
      <c r="H6262" s="87"/>
      <c r="I6262" s="89"/>
    </row>
    <row r="6263" spans="1:9">
      <c r="A6263" s="21"/>
      <c r="B6263"/>
      <c r="F6263" s="87"/>
      <c r="H6263" s="87"/>
      <c r="I6263" s="89"/>
    </row>
    <row r="6264" spans="1:9">
      <c r="A6264" s="21"/>
      <c r="B6264"/>
      <c r="F6264" s="87"/>
      <c r="H6264" s="87"/>
      <c r="I6264" s="89"/>
    </row>
    <row r="6265" spans="1:9">
      <c r="A6265" s="21"/>
      <c r="B6265"/>
      <c r="F6265" s="87"/>
      <c r="H6265" s="87"/>
      <c r="I6265" s="89"/>
    </row>
    <row r="6266" spans="1:9">
      <c r="A6266" s="21"/>
      <c r="B6266"/>
      <c r="F6266" s="87"/>
      <c r="H6266" s="87"/>
      <c r="I6266" s="89"/>
    </row>
    <row r="6267" spans="1:9">
      <c r="A6267" s="21"/>
      <c r="B6267"/>
      <c r="F6267" s="87"/>
      <c r="H6267" s="87"/>
      <c r="I6267" s="89"/>
    </row>
    <row r="6268" spans="1:9">
      <c r="A6268" s="21"/>
      <c r="B6268"/>
      <c r="F6268" s="87"/>
      <c r="H6268" s="87"/>
      <c r="I6268" s="89"/>
    </row>
    <row r="6269" spans="1:9">
      <c r="A6269" s="21"/>
      <c r="B6269"/>
      <c r="F6269" s="87"/>
      <c r="H6269" s="87"/>
      <c r="I6269" s="89"/>
    </row>
    <row r="6270" spans="1:9">
      <c r="A6270" s="21"/>
      <c r="B6270"/>
      <c r="F6270" s="87"/>
      <c r="H6270" s="87"/>
      <c r="I6270" s="89"/>
    </row>
    <row r="6271" spans="1:9">
      <c r="A6271" s="21"/>
      <c r="B6271"/>
      <c r="F6271" s="87"/>
      <c r="H6271" s="87"/>
      <c r="I6271" s="89"/>
    </row>
    <row r="6272" spans="1:9">
      <c r="A6272" s="21"/>
      <c r="B6272"/>
      <c r="F6272" s="87"/>
      <c r="H6272" s="87"/>
      <c r="I6272" s="89"/>
    </row>
    <row r="6273" spans="1:9">
      <c r="A6273" s="21"/>
      <c r="B6273"/>
      <c r="F6273" s="87"/>
      <c r="H6273" s="87"/>
      <c r="I6273" s="89"/>
    </row>
    <row r="6274" spans="1:9">
      <c r="A6274" s="21"/>
      <c r="B6274"/>
      <c r="F6274" s="87"/>
      <c r="H6274" s="87"/>
      <c r="I6274" s="89"/>
    </row>
    <row r="6275" spans="1:9">
      <c r="A6275" s="21"/>
      <c r="B6275"/>
      <c r="F6275" s="87"/>
      <c r="H6275" s="87"/>
      <c r="I6275" s="89"/>
    </row>
    <row r="6276" spans="1:9">
      <c r="A6276" s="21"/>
      <c r="B6276"/>
      <c r="F6276" s="87"/>
      <c r="H6276" s="87"/>
      <c r="I6276" s="89"/>
    </row>
    <row r="6277" spans="1:9">
      <c r="A6277" s="21"/>
      <c r="B6277"/>
      <c r="F6277" s="87"/>
      <c r="H6277" s="87"/>
      <c r="I6277" s="89"/>
    </row>
    <row r="6278" spans="1:9">
      <c r="A6278" s="21"/>
      <c r="B6278"/>
      <c r="F6278" s="87"/>
      <c r="H6278" s="87"/>
      <c r="I6278" s="89"/>
    </row>
    <row r="6279" spans="1:9">
      <c r="A6279" s="21"/>
      <c r="B6279"/>
      <c r="F6279" s="87"/>
      <c r="H6279" s="87"/>
      <c r="I6279" s="89"/>
    </row>
    <row r="6280" spans="1:9">
      <c r="A6280" s="21"/>
      <c r="B6280"/>
      <c r="F6280" s="87"/>
      <c r="H6280" s="87"/>
      <c r="I6280" s="89"/>
    </row>
    <row r="6281" spans="1:9">
      <c r="A6281" s="21"/>
      <c r="B6281"/>
      <c r="F6281" s="87"/>
      <c r="H6281" s="87"/>
      <c r="I6281" s="89"/>
    </row>
    <row r="6282" spans="1:9">
      <c r="A6282" s="21"/>
      <c r="B6282"/>
      <c r="F6282" s="87"/>
      <c r="H6282" s="87"/>
      <c r="I6282" s="89"/>
    </row>
    <row r="6283" spans="1:9">
      <c r="A6283" s="21"/>
      <c r="B6283"/>
      <c r="F6283" s="87"/>
      <c r="H6283" s="87"/>
      <c r="I6283" s="89"/>
    </row>
    <row r="6284" spans="1:9">
      <c r="A6284" s="21"/>
      <c r="B6284"/>
      <c r="F6284" s="87"/>
      <c r="H6284" s="87"/>
      <c r="I6284" s="89"/>
    </row>
    <row r="6285" spans="1:9">
      <c r="A6285" s="21"/>
      <c r="B6285"/>
      <c r="F6285" s="87"/>
      <c r="H6285" s="87"/>
      <c r="I6285" s="89"/>
    </row>
    <row r="6286" spans="1:9">
      <c r="A6286" s="21"/>
      <c r="B6286"/>
      <c r="F6286" s="87"/>
      <c r="H6286" s="87"/>
      <c r="I6286" s="89"/>
    </row>
    <row r="6287" spans="1:9">
      <c r="A6287" s="21"/>
      <c r="B6287"/>
      <c r="F6287" s="87"/>
      <c r="H6287" s="87"/>
      <c r="I6287" s="89"/>
    </row>
    <row r="6288" spans="1:9">
      <c r="A6288" s="21"/>
      <c r="B6288"/>
      <c r="F6288" s="87"/>
      <c r="H6288" s="87"/>
      <c r="I6288" s="89"/>
    </row>
    <row r="6289" spans="1:9">
      <c r="A6289" s="21"/>
      <c r="B6289"/>
      <c r="F6289" s="87"/>
      <c r="H6289" s="87"/>
      <c r="I6289" s="89"/>
    </row>
    <row r="6290" spans="1:9">
      <c r="A6290" s="21"/>
      <c r="B6290"/>
      <c r="F6290" s="87"/>
      <c r="H6290" s="87"/>
      <c r="I6290" s="89"/>
    </row>
    <row r="6291" spans="1:9">
      <c r="A6291" s="21"/>
      <c r="B6291"/>
      <c r="F6291" s="87"/>
      <c r="H6291" s="87"/>
      <c r="I6291" s="89"/>
    </row>
    <row r="6292" spans="1:9">
      <c r="A6292" s="21"/>
      <c r="B6292"/>
      <c r="F6292" s="87"/>
      <c r="H6292" s="87"/>
      <c r="I6292" s="89"/>
    </row>
    <row r="6293" spans="1:9">
      <c r="A6293" s="21"/>
      <c r="B6293"/>
      <c r="F6293" s="87"/>
      <c r="H6293" s="87"/>
      <c r="I6293" s="89"/>
    </row>
    <row r="6294" spans="1:9">
      <c r="A6294" s="21"/>
      <c r="B6294"/>
      <c r="F6294" s="87"/>
      <c r="H6294" s="87"/>
      <c r="I6294" s="89"/>
    </row>
    <row r="6295" spans="1:9">
      <c r="A6295" s="21"/>
      <c r="B6295"/>
      <c r="F6295" s="87"/>
      <c r="H6295" s="87"/>
      <c r="I6295" s="89"/>
    </row>
    <row r="6296" spans="1:9">
      <c r="A6296" s="21"/>
      <c r="B6296"/>
      <c r="F6296" s="87"/>
      <c r="H6296" s="87"/>
      <c r="I6296" s="89"/>
    </row>
    <row r="6297" spans="1:9">
      <c r="A6297" s="21"/>
      <c r="B6297"/>
      <c r="F6297" s="87"/>
      <c r="H6297" s="87"/>
      <c r="I6297" s="89"/>
    </row>
    <row r="6298" spans="1:9">
      <c r="A6298" s="21"/>
      <c r="B6298"/>
      <c r="F6298" s="87"/>
      <c r="H6298" s="87"/>
      <c r="I6298" s="89"/>
    </row>
    <row r="6299" spans="1:9">
      <c r="A6299" s="21"/>
      <c r="B6299"/>
      <c r="F6299" s="87"/>
      <c r="H6299" s="87"/>
      <c r="I6299" s="89"/>
    </row>
    <row r="6300" spans="1:9">
      <c r="A6300" s="21"/>
      <c r="B6300"/>
      <c r="F6300" s="87"/>
      <c r="H6300" s="87"/>
      <c r="I6300" s="89"/>
    </row>
    <row r="6301" spans="1:9">
      <c r="A6301" s="21"/>
      <c r="B6301"/>
      <c r="F6301" s="87"/>
      <c r="H6301" s="87"/>
      <c r="I6301" s="89"/>
    </row>
    <row r="6302" spans="1:9">
      <c r="A6302" s="21"/>
      <c r="B6302"/>
      <c r="F6302" s="87"/>
      <c r="H6302" s="87"/>
      <c r="I6302" s="89"/>
    </row>
    <row r="6303" spans="1:9">
      <c r="A6303" s="21"/>
      <c r="B6303"/>
      <c r="F6303" s="87"/>
      <c r="H6303" s="87"/>
      <c r="I6303" s="89"/>
    </row>
    <row r="6304" spans="1:9">
      <c r="A6304" s="21"/>
      <c r="B6304"/>
      <c r="F6304" s="87"/>
      <c r="H6304" s="87"/>
      <c r="I6304" s="89"/>
    </row>
    <row r="6305" spans="1:9">
      <c r="A6305" s="21"/>
      <c r="B6305"/>
      <c r="F6305" s="87"/>
      <c r="H6305" s="87"/>
      <c r="I6305" s="89"/>
    </row>
    <row r="6306" spans="1:9">
      <c r="A6306" s="21"/>
      <c r="B6306"/>
      <c r="F6306" s="87"/>
      <c r="H6306" s="87"/>
      <c r="I6306" s="89"/>
    </row>
    <row r="6307" spans="1:9">
      <c r="A6307" s="21"/>
      <c r="B6307"/>
      <c r="F6307" s="87"/>
      <c r="H6307" s="87"/>
      <c r="I6307" s="89"/>
    </row>
    <row r="6308" spans="1:9">
      <c r="A6308" s="21"/>
      <c r="B6308"/>
      <c r="F6308" s="87"/>
      <c r="H6308" s="87"/>
      <c r="I6308" s="89"/>
    </row>
    <row r="6309" spans="1:9">
      <c r="A6309" s="21"/>
      <c r="B6309"/>
      <c r="F6309" s="87"/>
      <c r="H6309" s="87"/>
      <c r="I6309" s="89"/>
    </row>
    <row r="6310" spans="1:9">
      <c r="A6310" s="21"/>
      <c r="B6310"/>
      <c r="F6310" s="87"/>
      <c r="H6310" s="87"/>
      <c r="I6310" s="89"/>
    </row>
    <row r="6311" spans="1:9">
      <c r="A6311" s="21"/>
      <c r="B6311"/>
      <c r="F6311" s="87"/>
      <c r="H6311" s="87"/>
      <c r="I6311" s="89"/>
    </row>
    <row r="6312" spans="1:9">
      <c r="A6312" s="21"/>
      <c r="B6312"/>
      <c r="F6312" s="87"/>
      <c r="H6312" s="87"/>
      <c r="I6312" s="89"/>
    </row>
    <row r="6313" spans="1:9">
      <c r="A6313" s="21"/>
      <c r="B6313"/>
      <c r="F6313" s="87"/>
      <c r="H6313" s="87"/>
      <c r="I6313" s="89"/>
    </row>
    <row r="6314" spans="1:9">
      <c r="A6314" s="21"/>
      <c r="B6314"/>
      <c r="F6314" s="87"/>
      <c r="H6314" s="87"/>
      <c r="I6314" s="89"/>
    </row>
    <row r="6315" spans="1:9">
      <c r="A6315" s="21"/>
      <c r="B6315"/>
      <c r="F6315" s="87"/>
      <c r="H6315" s="87"/>
      <c r="I6315" s="89"/>
    </row>
    <row r="6316" spans="1:9">
      <c r="A6316" s="21"/>
      <c r="B6316"/>
      <c r="F6316" s="87"/>
      <c r="H6316" s="87"/>
      <c r="I6316" s="89"/>
    </row>
    <row r="6317" spans="1:9">
      <c r="A6317" s="21"/>
      <c r="B6317"/>
      <c r="F6317" s="87"/>
      <c r="H6317" s="87"/>
      <c r="I6317" s="89"/>
    </row>
    <row r="6318" spans="1:9">
      <c r="A6318" s="21"/>
      <c r="B6318"/>
      <c r="F6318" s="87"/>
      <c r="H6318" s="87"/>
      <c r="I6318" s="89"/>
    </row>
    <row r="6319" spans="1:9">
      <c r="A6319" s="21"/>
      <c r="B6319"/>
      <c r="F6319" s="87"/>
      <c r="H6319" s="87"/>
      <c r="I6319" s="89"/>
    </row>
    <row r="6320" spans="1:9">
      <c r="A6320" s="21"/>
      <c r="B6320"/>
      <c r="F6320" s="87"/>
      <c r="H6320" s="87"/>
      <c r="I6320" s="89"/>
    </row>
    <row r="6321" spans="1:9">
      <c r="A6321" s="21"/>
      <c r="B6321"/>
      <c r="F6321" s="87"/>
      <c r="H6321" s="87"/>
      <c r="I6321" s="89"/>
    </row>
    <row r="6322" spans="1:9">
      <c r="A6322" s="21"/>
      <c r="B6322"/>
      <c r="F6322" s="87"/>
      <c r="H6322" s="87"/>
      <c r="I6322" s="89"/>
    </row>
    <row r="6323" spans="1:9">
      <c r="A6323" s="21"/>
      <c r="B6323"/>
      <c r="F6323" s="87"/>
      <c r="H6323" s="87"/>
      <c r="I6323" s="89"/>
    </row>
    <row r="6324" spans="1:9">
      <c r="A6324" s="21"/>
      <c r="B6324"/>
      <c r="F6324" s="87"/>
      <c r="H6324" s="87"/>
      <c r="I6324" s="89"/>
    </row>
    <row r="6325" spans="1:9">
      <c r="A6325" s="21"/>
      <c r="B6325"/>
      <c r="F6325" s="87"/>
      <c r="H6325" s="87"/>
      <c r="I6325" s="89"/>
    </row>
    <row r="6326" spans="1:9">
      <c r="A6326" s="21"/>
      <c r="B6326"/>
      <c r="F6326" s="87"/>
      <c r="H6326" s="87"/>
      <c r="I6326" s="89"/>
    </row>
    <row r="6327" spans="1:9">
      <c r="A6327" s="21"/>
      <c r="B6327"/>
      <c r="F6327" s="87"/>
      <c r="H6327" s="87"/>
      <c r="I6327" s="89"/>
    </row>
    <row r="6328" spans="1:9">
      <c r="A6328" s="21"/>
      <c r="B6328"/>
      <c r="F6328" s="87"/>
      <c r="H6328" s="87"/>
      <c r="I6328" s="89"/>
    </row>
    <row r="6329" spans="1:9">
      <c r="A6329" s="21"/>
      <c r="B6329"/>
      <c r="F6329" s="87"/>
      <c r="H6329" s="87"/>
      <c r="I6329" s="89"/>
    </row>
    <row r="6330" spans="1:9">
      <c r="A6330" s="21"/>
      <c r="B6330"/>
      <c r="F6330" s="87"/>
      <c r="H6330" s="87"/>
      <c r="I6330" s="89"/>
    </row>
    <row r="6331" spans="1:9">
      <c r="A6331" s="21"/>
      <c r="B6331"/>
      <c r="F6331" s="87"/>
      <c r="H6331" s="87"/>
      <c r="I6331" s="89"/>
    </row>
    <row r="6332" spans="1:9">
      <c r="A6332" s="21"/>
      <c r="B6332"/>
      <c r="F6332" s="87"/>
      <c r="H6332" s="87"/>
      <c r="I6332" s="89"/>
    </row>
    <row r="6333" spans="1:9">
      <c r="A6333" s="21"/>
      <c r="B6333"/>
      <c r="F6333" s="87"/>
      <c r="H6333" s="87"/>
      <c r="I6333" s="89"/>
    </row>
    <row r="6334" spans="1:9">
      <c r="A6334" s="21"/>
      <c r="B6334"/>
      <c r="F6334" s="87"/>
      <c r="H6334" s="87"/>
      <c r="I6334" s="89"/>
    </row>
    <row r="6335" spans="1:9">
      <c r="A6335" s="21"/>
      <c r="B6335"/>
      <c r="F6335" s="87"/>
      <c r="H6335" s="87"/>
      <c r="I6335" s="89"/>
    </row>
    <row r="6336" spans="1:9">
      <c r="A6336" s="21"/>
      <c r="B6336"/>
      <c r="F6336" s="87"/>
      <c r="H6336" s="87"/>
      <c r="I6336" s="89"/>
    </row>
    <row r="6337" spans="1:9">
      <c r="A6337" s="21"/>
      <c r="B6337"/>
      <c r="F6337" s="87"/>
      <c r="H6337" s="87"/>
      <c r="I6337" s="89"/>
    </row>
    <row r="6338" spans="1:9">
      <c r="A6338" s="21"/>
      <c r="B6338"/>
      <c r="F6338" s="87"/>
      <c r="H6338" s="87"/>
      <c r="I6338" s="89"/>
    </row>
    <row r="6339" spans="1:9">
      <c r="A6339" s="21"/>
      <c r="B6339"/>
      <c r="F6339" s="87"/>
      <c r="H6339" s="87"/>
      <c r="I6339" s="89"/>
    </row>
    <row r="6340" spans="1:9">
      <c r="A6340" s="21"/>
      <c r="B6340"/>
      <c r="F6340" s="87"/>
      <c r="H6340" s="87"/>
      <c r="I6340" s="89"/>
    </row>
    <row r="6341" spans="1:9">
      <c r="A6341" s="21"/>
      <c r="B6341"/>
      <c r="F6341" s="87"/>
      <c r="H6341" s="87"/>
      <c r="I6341" s="89"/>
    </row>
    <row r="6342" spans="1:9">
      <c r="A6342" s="21"/>
      <c r="B6342"/>
      <c r="F6342" s="87"/>
      <c r="H6342" s="87"/>
      <c r="I6342" s="89"/>
    </row>
    <row r="6343" spans="1:9">
      <c r="A6343" s="21"/>
      <c r="B6343"/>
      <c r="F6343" s="87"/>
      <c r="H6343" s="87"/>
      <c r="I6343" s="89"/>
    </row>
    <row r="6344" spans="1:9">
      <c r="A6344" s="21"/>
      <c r="B6344"/>
      <c r="F6344" s="87"/>
      <c r="H6344" s="87"/>
      <c r="I6344" s="89"/>
    </row>
    <row r="6345" spans="1:9">
      <c r="A6345" s="21"/>
      <c r="B6345"/>
      <c r="F6345" s="87"/>
      <c r="H6345" s="87"/>
      <c r="I6345" s="89"/>
    </row>
    <row r="6346" spans="1:9">
      <c r="A6346" s="21"/>
      <c r="B6346"/>
      <c r="F6346" s="87"/>
      <c r="H6346" s="87"/>
      <c r="I6346" s="89"/>
    </row>
    <row r="6347" spans="1:9">
      <c r="A6347" s="21"/>
      <c r="B6347"/>
      <c r="F6347" s="87"/>
      <c r="H6347" s="87"/>
      <c r="I6347" s="89"/>
    </row>
    <row r="6348" spans="1:9">
      <c r="A6348" s="21"/>
      <c r="B6348"/>
      <c r="F6348" s="87"/>
      <c r="H6348" s="87"/>
      <c r="I6348" s="89"/>
    </row>
    <row r="6349" spans="1:9">
      <c r="A6349" s="21"/>
      <c r="B6349"/>
      <c r="F6349" s="87"/>
      <c r="H6349" s="87"/>
      <c r="I6349" s="89"/>
    </row>
    <row r="6350" spans="1:9">
      <c r="A6350" s="21"/>
      <c r="B6350"/>
      <c r="F6350" s="87"/>
      <c r="H6350" s="87"/>
      <c r="I6350" s="89"/>
    </row>
    <row r="6351" spans="1:9">
      <c r="A6351" s="21"/>
      <c r="B6351"/>
      <c r="F6351" s="87"/>
      <c r="H6351" s="87"/>
      <c r="I6351" s="89"/>
    </row>
    <row r="6352" spans="1:9">
      <c r="A6352" s="21"/>
      <c r="B6352"/>
      <c r="F6352" s="87"/>
      <c r="H6352" s="87"/>
      <c r="I6352" s="89"/>
    </row>
    <row r="6353" spans="1:9">
      <c r="A6353" s="21"/>
      <c r="B6353"/>
      <c r="F6353" s="87"/>
      <c r="H6353" s="87"/>
      <c r="I6353" s="89"/>
    </row>
    <row r="6354" spans="1:9">
      <c r="A6354" s="21"/>
      <c r="B6354"/>
      <c r="F6354" s="87"/>
      <c r="H6354" s="87"/>
      <c r="I6354" s="89"/>
    </row>
    <row r="6355" spans="1:9">
      <c r="A6355" s="21"/>
      <c r="B6355"/>
      <c r="F6355" s="87"/>
      <c r="H6355" s="87"/>
      <c r="I6355" s="89"/>
    </row>
    <row r="6356" spans="1:9">
      <c r="A6356" s="21"/>
      <c r="B6356"/>
      <c r="F6356" s="87"/>
      <c r="H6356" s="87"/>
      <c r="I6356" s="89"/>
    </row>
    <row r="6357" spans="1:9">
      <c r="A6357" s="21"/>
      <c r="B6357"/>
      <c r="F6357" s="87"/>
      <c r="H6357" s="87"/>
      <c r="I6357" s="89"/>
    </row>
    <row r="6358" spans="1:9">
      <c r="A6358" s="21"/>
      <c r="B6358"/>
      <c r="F6358" s="87"/>
      <c r="H6358" s="87"/>
      <c r="I6358" s="89"/>
    </row>
    <row r="6359" spans="1:9">
      <c r="A6359" s="21"/>
      <c r="B6359"/>
      <c r="F6359" s="87"/>
      <c r="H6359" s="87"/>
      <c r="I6359" s="89"/>
    </row>
    <row r="6360" spans="1:9">
      <c r="A6360" s="21"/>
      <c r="B6360"/>
      <c r="F6360" s="87"/>
      <c r="H6360" s="87"/>
      <c r="I6360" s="89"/>
    </row>
    <row r="6361" spans="1:9">
      <c r="A6361" s="21"/>
      <c r="B6361"/>
      <c r="F6361" s="87"/>
      <c r="H6361" s="87"/>
      <c r="I6361" s="89"/>
    </row>
    <row r="6362" spans="1:9">
      <c r="A6362" s="21"/>
      <c r="B6362"/>
      <c r="F6362" s="87"/>
      <c r="H6362" s="87"/>
      <c r="I6362" s="89"/>
    </row>
    <row r="6363" spans="1:9">
      <c r="A6363" s="21"/>
      <c r="B6363"/>
      <c r="F6363" s="87"/>
      <c r="H6363" s="87"/>
      <c r="I6363" s="89"/>
    </row>
    <row r="6364" spans="1:9">
      <c r="A6364" s="21"/>
      <c r="B6364"/>
      <c r="F6364" s="87"/>
      <c r="H6364" s="87"/>
      <c r="I6364" s="89"/>
    </row>
    <row r="6365" spans="1:9">
      <c r="A6365" s="21"/>
      <c r="B6365"/>
      <c r="F6365" s="87"/>
      <c r="H6365" s="87"/>
      <c r="I6365" s="89"/>
    </row>
    <row r="6366" spans="1:9">
      <c r="A6366" s="21"/>
      <c r="B6366"/>
      <c r="F6366" s="87"/>
      <c r="H6366" s="87"/>
      <c r="I6366" s="89"/>
    </row>
    <row r="6367" spans="1:9">
      <c r="A6367" s="21"/>
      <c r="B6367"/>
      <c r="F6367" s="87"/>
      <c r="H6367" s="87"/>
      <c r="I6367" s="89"/>
    </row>
    <row r="6368" spans="1:9">
      <c r="A6368" s="21"/>
      <c r="B6368"/>
      <c r="F6368" s="87"/>
      <c r="H6368" s="87"/>
      <c r="I6368" s="89"/>
    </row>
    <row r="6369" spans="1:9">
      <c r="A6369" s="21"/>
      <c r="B6369"/>
      <c r="F6369" s="87"/>
      <c r="H6369" s="87"/>
      <c r="I6369" s="89"/>
    </row>
    <row r="6370" spans="1:9">
      <c r="A6370" s="21"/>
      <c r="B6370"/>
      <c r="F6370" s="87"/>
      <c r="H6370" s="87"/>
      <c r="I6370" s="89"/>
    </row>
    <row r="6371" spans="1:9">
      <c r="A6371" s="21"/>
      <c r="B6371"/>
      <c r="F6371" s="87"/>
      <c r="H6371" s="87"/>
      <c r="I6371" s="89"/>
    </row>
    <row r="6372" spans="1:9">
      <c r="A6372" s="21"/>
      <c r="B6372"/>
      <c r="F6372" s="87"/>
      <c r="H6372" s="87"/>
      <c r="I6372" s="89"/>
    </row>
    <row r="6373" spans="1:9">
      <c r="A6373" s="21"/>
      <c r="B6373"/>
      <c r="F6373" s="87"/>
      <c r="H6373" s="87"/>
      <c r="I6373" s="89"/>
    </row>
    <row r="6374" spans="1:9">
      <c r="A6374" s="21"/>
      <c r="B6374"/>
      <c r="F6374" s="87"/>
      <c r="H6374" s="87"/>
      <c r="I6374" s="89"/>
    </row>
    <row r="6375" spans="1:9">
      <c r="A6375" s="21"/>
      <c r="B6375"/>
      <c r="F6375" s="87"/>
      <c r="H6375" s="87"/>
      <c r="I6375" s="89"/>
    </row>
    <row r="6376" spans="1:9">
      <c r="A6376" s="21"/>
      <c r="B6376"/>
      <c r="F6376" s="87"/>
      <c r="H6376" s="87"/>
      <c r="I6376" s="89"/>
    </row>
    <row r="6377" spans="1:9">
      <c r="A6377" s="21"/>
      <c r="B6377"/>
      <c r="F6377" s="87"/>
      <c r="H6377" s="87"/>
      <c r="I6377" s="89"/>
    </row>
    <row r="6378" spans="1:9">
      <c r="A6378" s="21"/>
      <c r="B6378"/>
      <c r="F6378" s="87"/>
      <c r="H6378" s="87"/>
      <c r="I6378" s="89"/>
    </row>
    <row r="6379" spans="1:9">
      <c r="A6379" s="21"/>
      <c r="B6379"/>
      <c r="F6379" s="87"/>
      <c r="H6379" s="87"/>
      <c r="I6379" s="89"/>
    </row>
    <row r="6380" spans="1:9">
      <c r="A6380" s="21"/>
      <c r="B6380"/>
      <c r="F6380" s="87"/>
      <c r="H6380" s="87"/>
      <c r="I6380" s="89"/>
    </row>
    <row r="6381" spans="1:9">
      <c r="A6381" s="21"/>
      <c r="B6381"/>
      <c r="F6381" s="87"/>
      <c r="H6381" s="87"/>
      <c r="I6381" s="89"/>
    </row>
    <row r="6382" spans="1:9">
      <c r="A6382" s="21"/>
      <c r="B6382"/>
      <c r="F6382" s="87"/>
      <c r="H6382" s="87"/>
      <c r="I6382" s="89"/>
    </row>
    <row r="6383" spans="1:9">
      <c r="A6383" s="21"/>
      <c r="B6383"/>
      <c r="F6383" s="87"/>
      <c r="H6383" s="87"/>
      <c r="I6383" s="89"/>
    </row>
    <row r="6384" spans="1:9">
      <c r="A6384" s="21"/>
      <c r="B6384"/>
      <c r="F6384" s="87"/>
      <c r="H6384" s="87"/>
      <c r="I6384" s="89"/>
    </row>
    <row r="6385" spans="1:9">
      <c r="A6385" s="21"/>
      <c r="B6385"/>
      <c r="F6385" s="87"/>
      <c r="H6385" s="87"/>
      <c r="I6385" s="89"/>
    </row>
    <row r="6386" spans="1:9">
      <c r="A6386" s="21"/>
      <c r="B6386"/>
      <c r="F6386" s="87"/>
      <c r="H6386" s="87"/>
      <c r="I6386" s="89"/>
    </row>
    <row r="6387" spans="1:9">
      <c r="A6387" s="21"/>
      <c r="B6387"/>
      <c r="F6387" s="87"/>
      <c r="H6387" s="87"/>
      <c r="I6387" s="89"/>
    </row>
    <row r="6388" spans="1:9">
      <c r="A6388" s="21"/>
      <c r="B6388"/>
      <c r="F6388" s="87"/>
      <c r="H6388" s="87"/>
      <c r="I6388" s="89"/>
    </row>
    <row r="6389" spans="1:9">
      <c r="A6389" s="21"/>
      <c r="B6389"/>
      <c r="F6389" s="87"/>
      <c r="H6389" s="87"/>
      <c r="I6389" s="89"/>
    </row>
    <row r="6390" spans="1:9">
      <c r="A6390" s="21"/>
      <c r="B6390"/>
      <c r="F6390" s="87"/>
      <c r="H6390" s="87"/>
      <c r="I6390" s="89"/>
    </row>
    <row r="6391" spans="1:9">
      <c r="A6391" s="21"/>
      <c r="B6391"/>
      <c r="F6391" s="87"/>
      <c r="H6391" s="87"/>
      <c r="I6391" s="89"/>
    </row>
    <row r="6392" spans="1:9">
      <c r="A6392" s="21"/>
      <c r="B6392"/>
      <c r="F6392" s="87"/>
      <c r="H6392" s="87"/>
      <c r="I6392" s="89"/>
    </row>
    <row r="6393" spans="1:9">
      <c r="A6393" s="21"/>
      <c r="B6393"/>
      <c r="F6393" s="87"/>
      <c r="H6393" s="87"/>
      <c r="I6393" s="89"/>
    </row>
    <row r="6394" spans="1:9">
      <c r="A6394" s="21"/>
      <c r="B6394"/>
      <c r="F6394" s="87"/>
      <c r="H6394" s="87"/>
      <c r="I6394" s="89"/>
    </row>
    <row r="6395" spans="1:9">
      <c r="A6395" s="21"/>
      <c r="B6395"/>
      <c r="F6395" s="87"/>
      <c r="H6395" s="87"/>
      <c r="I6395" s="89"/>
    </row>
    <row r="6396" spans="1:9">
      <c r="A6396" s="21"/>
      <c r="B6396"/>
      <c r="F6396" s="87"/>
      <c r="H6396" s="87"/>
      <c r="I6396" s="89"/>
    </row>
    <row r="6397" spans="1:9">
      <c r="A6397" s="21"/>
      <c r="B6397"/>
      <c r="F6397" s="87"/>
      <c r="H6397" s="87"/>
      <c r="I6397" s="89"/>
    </row>
    <row r="6398" spans="1:9">
      <c r="A6398" s="21"/>
      <c r="B6398"/>
      <c r="F6398" s="87"/>
      <c r="H6398" s="87"/>
      <c r="I6398" s="89"/>
    </row>
    <row r="6399" spans="1:9">
      <c r="A6399" s="21"/>
      <c r="B6399"/>
      <c r="F6399" s="87"/>
      <c r="H6399" s="87"/>
      <c r="I6399" s="89"/>
    </row>
    <row r="6400" spans="1:9">
      <c r="A6400" s="21"/>
      <c r="B6400"/>
      <c r="F6400" s="87"/>
      <c r="H6400" s="87"/>
      <c r="I6400" s="89"/>
    </row>
    <row r="6401" spans="1:9">
      <c r="A6401" s="21"/>
      <c r="B6401"/>
      <c r="F6401" s="87"/>
      <c r="H6401" s="87"/>
      <c r="I6401" s="89"/>
    </row>
    <row r="6402" spans="1:9">
      <c r="A6402" s="21"/>
      <c r="B6402"/>
      <c r="F6402" s="87"/>
      <c r="H6402" s="87"/>
      <c r="I6402" s="89"/>
    </row>
    <row r="6403" spans="1:9">
      <c r="A6403" s="21"/>
      <c r="B6403"/>
      <c r="F6403" s="87"/>
      <c r="H6403" s="87"/>
      <c r="I6403" s="89"/>
    </row>
    <row r="6404" spans="1:9">
      <c r="A6404" s="21"/>
      <c r="B6404"/>
      <c r="F6404" s="87"/>
      <c r="H6404" s="87"/>
      <c r="I6404" s="89"/>
    </row>
    <row r="6405" spans="1:9">
      <c r="A6405" s="21"/>
      <c r="B6405"/>
      <c r="F6405" s="87"/>
      <c r="H6405" s="87"/>
      <c r="I6405" s="89"/>
    </row>
    <row r="6406" spans="1:9">
      <c r="A6406" s="21"/>
      <c r="B6406"/>
      <c r="F6406" s="87"/>
      <c r="H6406" s="87"/>
      <c r="I6406" s="89"/>
    </row>
    <row r="6407" spans="1:9">
      <c r="A6407" s="21"/>
      <c r="B6407"/>
      <c r="F6407" s="87"/>
      <c r="H6407" s="87"/>
      <c r="I6407" s="89"/>
    </row>
    <row r="6408" spans="1:9">
      <c r="A6408" s="21"/>
      <c r="B6408"/>
      <c r="F6408" s="87"/>
      <c r="H6408" s="87"/>
      <c r="I6408" s="89"/>
    </row>
    <row r="6409" spans="1:9">
      <c r="A6409" s="21"/>
      <c r="B6409"/>
      <c r="F6409" s="87"/>
      <c r="H6409" s="87"/>
      <c r="I6409" s="89"/>
    </row>
    <row r="6410" spans="1:9">
      <c r="A6410" s="21"/>
      <c r="B6410"/>
      <c r="F6410" s="87"/>
      <c r="H6410" s="87"/>
      <c r="I6410" s="89"/>
    </row>
    <row r="6411" spans="1:9">
      <c r="A6411" s="21"/>
      <c r="B6411"/>
      <c r="F6411" s="87"/>
      <c r="H6411" s="87"/>
      <c r="I6411" s="89"/>
    </row>
    <row r="6412" spans="1:9">
      <c r="A6412" s="21"/>
      <c r="B6412"/>
      <c r="F6412" s="87"/>
      <c r="H6412" s="87"/>
      <c r="I6412" s="89"/>
    </row>
    <row r="6413" spans="1:9">
      <c r="A6413" s="21"/>
      <c r="B6413"/>
      <c r="F6413" s="87"/>
      <c r="H6413" s="87"/>
      <c r="I6413" s="89"/>
    </row>
    <row r="6414" spans="1:9">
      <c r="A6414" s="21"/>
      <c r="B6414"/>
      <c r="F6414" s="87"/>
      <c r="H6414" s="87"/>
      <c r="I6414" s="89"/>
    </row>
    <row r="6415" spans="1:9">
      <c r="A6415" s="21"/>
      <c r="B6415"/>
      <c r="F6415" s="87"/>
      <c r="H6415" s="87"/>
      <c r="I6415" s="89"/>
    </row>
    <row r="6416" spans="1:9">
      <c r="A6416" s="21"/>
      <c r="B6416"/>
      <c r="F6416" s="87"/>
      <c r="H6416" s="87"/>
      <c r="I6416" s="89"/>
    </row>
    <row r="6417" spans="1:9">
      <c r="A6417" s="21"/>
      <c r="B6417"/>
      <c r="F6417" s="87"/>
      <c r="H6417" s="87"/>
      <c r="I6417" s="89"/>
    </row>
    <row r="6418" spans="1:9">
      <c r="A6418" s="21"/>
      <c r="B6418"/>
      <c r="F6418" s="87"/>
      <c r="H6418" s="87"/>
      <c r="I6418" s="89"/>
    </row>
    <row r="6419" spans="1:9">
      <c r="A6419" s="21"/>
      <c r="B6419"/>
      <c r="F6419" s="87"/>
      <c r="H6419" s="87"/>
      <c r="I6419" s="89"/>
    </row>
    <row r="6420" spans="1:9">
      <c r="A6420" s="21"/>
      <c r="B6420"/>
      <c r="F6420" s="87"/>
      <c r="H6420" s="87"/>
      <c r="I6420" s="89"/>
    </row>
    <row r="6421" spans="1:9">
      <c r="A6421" s="21"/>
      <c r="B6421"/>
      <c r="F6421" s="87"/>
      <c r="H6421" s="87"/>
      <c r="I6421" s="89"/>
    </row>
    <row r="6422" spans="1:9">
      <c r="A6422" s="21"/>
      <c r="B6422"/>
      <c r="F6422" s="87"/>
      <c r="H6422" s="87"/>
      <c r="I6422" s="89"/>
    </row>
    <row r="6423" spans="1:9">
      <c r="A6423" s="21"/>
      <c r="B6423"/>
      <c r="F6423" s="87"/>
      <c r="H6423" s="87"/>
      <c r="I6423" s="89"/>
    </row>
    <row r="6424" spans="1:9">
      <c r="A6424" s="21"/>
      <c r="B6424"/>
      <c r="F6424" s="87"/>
      <c r="H6424" s="87"/>
      <c r="I6424" s="89"/>
    </row>
    <row r="6425" spans="1:9">
      <c r="A6425" s="21"/>
      <c r="B6425"/>
      <c r="F6425" s="87"/>
      <c r="H6425" s="87"/>
      <c r="I6425" s="89"/>
    </row>
    <row r="6426" spans="1:9">
      <c r="A6426" s="21"/>
      <c r="B6426"/>
      <c r="F6426" s="87"/>
      <c r="H6426" s="87"/>
      <c r="I6426" s="89"/>
    </row>
    <row r="6427" spans="1:9">
      <c r="A6427" s="21"/>
      <c r="B6427"/>
      <c r="F6427" s="87"/>
      <c r="H6427" s="87"/>
      <c r="I6427" s="89"/>
    </row>
    <row r="6428" spans="1:9">
      <c r="A6428" s="21"/>
      <c r="B6428"/>
      <c r="F6428" s="87"/>
      <c r="H6428" s="87"/>
      <c r="I6428" s="89"/>
    </row>
    <row r="6429" spans="1:9">
      <c r="A6429" s="21"/>
      <c r="B6429"/>
      <c r="F6429" s="87"/>
      <c r="H6429" s="87"/>
      <c r="I6429" s="89"/>
    </row>
    <row r="6430" spans="1:9">
      <c r="A6430" s="21"/>
      <c r="B6430"/>
      <c r="F6430" s="87"/>
      <c r="H6430" s="87"/>
      <c r="I6430" s="89"/>
    </row>
    <row r="6431" spans="1:9">
      <c r="A6431" s="21"/>
      <c r="B6431"/>
      <c r="F6431" s="87"/>
      <c r="H6431" s="87"/>
      <c r="I6431" s="89"/>
    </row>
    <row r="6432" spans="1:9">
      <c r="A6432" s="21"/>
      <c r="B6432"/>
      <c r="F6432" s="87"/>
      <c r="H6432" s="87"/>
      <c r="I6432" s="89"/>
    </row>
    <row r="6433" spans="1:9">
      <c r="A6433" s="21"/>
      <c r="B6433"/>
      <c r="F6433" s="87"/>
      <c r="H6433" s="87"/>
      <c r="I6433" s="89"/>
    </row>
    <row r="6434" spans="1:9">
      <c r="A6434" s="21"/>
      <c r="B6434"/>
      <c r="F6434" s="87"/>
      <c r="H6434" s="87"/>
      <c r="I6434" s="89"/>
    </row>
    <row r="6435" spans="1:9">
      <c r="A6435" s="21"/>
      <c r="B6435"/>
      <c r="F6435" s="87"/>
      <c r="H6435" s="87"/>
      <c r="I6435" s="89"/>
    </row>
    <row r="6436" spans="1:9">
      <c r="A6436" s="21"/>
      <c r="B6436"/>
      <c r="F6436" s="87"/>
      <c r="H6436" s="87"/>
      <c r="I6436" s="89"/>
    </row>
    <row r="6437" spans="1:9">
      <c r="A6437" s="21"/>
      <c r="B6437"/>
      <c r="F6437" s="87"/>
      <c r="H6437" s="87"/>
      <c r="I6437" s="89"/>
    </row>
    <row r="6438" spans="1:9">
      <c r="A6438" s="21"/>
      <c r="B6438"/>
      <c r="F6438" s="87"/>
      <c r="H6438" s="87"/>
      <c r="I6438" s="89"/>
    </row>
    <row r="6439" spans="1:9">
      <c r="A6439" s="21"/>
      <c r="B6439"/>
      <c r="F6439" s="87"/>
      <c r="H6439" s="87"/>
      <c r="I6439" s="89"/>
    </row>
    <row r="6440" spans="1:9">
      <c r="A6440" s="21"/>
      <c r="B6440"/>
      <c r="F6440" s="87"/>
      <c r="H6440" s="87"/>
      <c r="I6440" s="89"/>
    </row>
    <row r="6441" spans="1:9">
      <c r="A6441" s="21"/>
      <c r="B6441"/>
      <c r="F6441" s="87"/>
      <c r="H6441" s="87"/>
      <c r="I6441" s="89"/>
    </row>
    <row r="6442" spans="1:9">
      <c r="A6442" s="21"/>
      <c r="B6442"/>
      <c r="F6442" s="87"/>
      <c r="H6442" s="87"/>
      <c r="I6442" s="89"/>
    </row>
    <row r="6443" spans="1:9">
      <c r="A6443" s="21"/>
      <c r="B6443"/>
      <c r="F6443" s="87"/>
      <c r="H6443" s="87"/>
      <c r="I6443" s="89"/>
    </row>
    <row r="6444" spans="1:9">
      <c r="A6444" s="21"/>
      <c r="B6444"/>
      <c r="F6444" s="87"/>
      <c r="H6444" s="87"/>
      <c r="I6444" s="89"/>
    </row>
    <row r="6445" spans="1:9">
      <c r="A6445" s="21"/>
      <c r="B6445"/>
      <c r="F6445" s="87"/>
      <c r="H6445" s="87"/>
      <c r="I6445" s="89"/>
    </row>
    <row r="6446" spans="1:9">
      <c r="A6446" s="21"/>
      <c r="B6446"/>
      <c r="F6446" s="87"/>
      <c r="H6446" s="87"/>
      <c r="I6446" s="89"/>
    </row>
    <row r="6447" spans="1:9">
      <c r="A6447" s="21"/>
      <c r="B6447"/>
      <c r="F6447" s="87"/>
      <c r="H6447" s="87"/>
      <c r="I6447" s="89"/>
    </row>
    <row r="6448" spans="1:9">
      <c r="A6448" s="21"/>
      <c r="B6448"/>
      <c r="F6448" s="87"/>
      <c r="H6448" s="87"/>
      <c r="I6448" s="89"/>
    </row>
    <row r="6449" spans="1:9">
      <c r="A6449" s="21"/>
      <c r="B6449"/>
      <c r="F6449" s="87"/>
      <c r="H6449" s="87"/>
      <c r="I6449" s="89"/>
    </row>
    <row r="6450" spans="1:9">
      <c r="A6450" s="21"/>
      <c r="B6450"/>
      <c r="F6450" s="87"/>
      <c r="H6450" s="87"/>
      <c r="I6450" s="89"/>
    </row>
    <row r="6451" spans="1:9">
      <c r="A6451" s="21"/>
      <c r="B6451"/>
      <c r="F6451" s="87"/>
      <c r="H6451" s="87"/>
      <c r="I6451" s="89"/>
    </row>
    <row r="6452" spans="1:9">
      <c r="A6452" s="21"/>
      <c r="B6452"/>
      <c r="F6452" s="87"/>
      <c r="H6452" s="87"/>
      <c r="I6452" s="89"/>
    </row>
    <row r="6453" spans="1:9">
      <c r="A6453" s="21"/>
      <c r="B6453"/>
      <c r="F6453" s="87"/>
      <c r="H6453" s="87"/>
      <c r="I6453" s="89"/>
    </row>
    <row r="6454" spans="1:9">
      <c r="A6454" s="21"/>
      <c r="B6454"/>
      <c r="F6454" s="87"/>
      <c r="H6454" s="87"/>
      <c r="I6454" s="89"/>
    </row>
    <row r="6455" spans="1:9">
      <c r="A6455" s="21"/>
      <c r="B6455"/>
      <c r="F6455" s="87"/>
      <c r="H6455" s="87"/>
      <c r="I6455" s="89"/>
    </row>
    <row r="6456" spans="1:9">
      <c r="A6456" s="21"/>
      <c r="B6456"/>
      <c r="F6456" s="87"/>
      <c r="H6456" s="87"/>
      <c r="I6456" s="89"/>
    </row>
    <row r="6457" spans="1:9">
      <c r="A6457" s="21"/>
      <c r="B6457"/>
      <c r="F6457" s="87"/>
      <c r="H6457" s="87"/>
      <c r="I6457" s="89"/>
    </row>
    <row r="6458" spans="1:9">
      <c r="A6458" s="21"/>
      <c r="B6458"/>
      <c r="F6458" s="87"/>
      <c r="H6458" s="87"/>
      <c r="I6458" s="89"/>
    </row>
    <row r="6459" spans="1:9">
      <c r="A6459" s="21"/>
      <c r="B6459"/>
      <c r="F6459" s="87"/>
      <c r="H6459" s="87"/>
      <c r="I6459" s="89"/>
    </row>
    <row r="6460" spans="1:9">
      <c r="A6460" s="21"/>
      <c r="B6460"/>
      <c r="F6460" s="87"/>
      <c r="H6460" s="87"/>
      <c r="I6460" s="89"/>
    </row>
    <row r="6461" spans="1:9">
      <c r="A6461" s="21"/>
      <c r="B6461"/>
      <c r="F6461" s="87"/>
      <c r="H6461" s="87"/>
      <c r="I6461" s="89"/>
    </row>
    <row r="6462" spans="1:9">
      <c r="A6462" s="21"/>
      <c r="B6462"/>
      <c r="F6462" s="87"/>
      <c r="H6462" s="87"/>
      <c r="I6462" s="89"/>
    </row>
    <row r="6463" spans="1:9">
      <c r="A6463" s="21"/>
      <c r="B6463"/>
      <c r="F6463" s="87"/>
      <c r="H6463" s="87"/>
      <c r="I6463" s="89"/>
    </row>
    <row r="6464" spans="1:9">
      <c r="A6464" s="21"/>
      <c r="B6464"/>
      <c r="F6464" s="87"/>
      <c r="H6464" s="87"/>
      <c r="I6464" s="89"/>
    </row>
    <row r="6465" spans="1:9">
      <c r="A6465" s="21"/>
      <c r="B6465"/>
      <c r="F6465" s="87"/>
      <c r="H6465" s="87"/>
      <c r="I6465" s="89"/>
    </row>
    <row r="6466" spans="1:9">
      <c r="A6466" s="21"/>
      <c r="B6466"/>
      <c r="F6466" s="87"/>
      <c r="H6466" s="87"/>
      <c r="I6466" s="89"/>
    </row>
    <row r="6467" spans="1:9">
      <c r="A6467" s="21"/>
      <c r="B6467"/>
      <c r="F6467" s="87"/>
      <c r="H6467" s="87"/>
      <c r="I6467" s="89"/>
    </row>
    <row r="6468" spans="1:9">
      <c r="A6468" s="21"/>
      <c r="B6468"/>
      <c r="F6468" s="87"/>
      <c r="H6468" s="87"/>
      <c r="I6468" s="89"/>
    </row>
    <row r="6469" spans="1:9">
      <c r="A6469" s="21"/>
      <c r="B6469"/>
      <c r="F6469" s="87"/>
      <c r="H6469" s="87"/>
      <c r="I6469" s="89"/>
    </row>
    <row r="6470" spans="1:9">
      <c r="A6470" s="21"/>
      <c r="B6470"/>
      <c r="F6470" s="87"/>
      <c r="H6470" s="87"/>
      <c r="I6470" s="89"/>
    </row>
    <row r="6471" spans="1:9">
      <c r="A6471" s="21"/>
      <c r="B6471"/>
      <c r="F6471" s="87"/>
      <c r="H6471" s="87"/>
      <c r="I6471" s="89"/>
    </row>
    <row r="6472" spans="1:9">
      <c r="A6472" s="21"/>
      <c r="B6472"/>
      <c r="F6472" s="87"/>
      <c r="H6472" s="87"/>
      <c r="I6472" s="89"/>
    </row>
    <row r="6473" spans="1:9">
      <c r="A6473" s="21"/>
      <c r="B6473"/>
      <c r="F6473" s="87"/>
      <c r="H6473" s="87"/>
      <c r="I6473" s="89"/>
    </row>
    <row r="6474" spans="1:9">
      <c r="A6474" s="21"/>
      <c r="B6474"/>
      <c r="F6474" s="87"/>
      <c r="H6474" s="87"/>
      <c r="I6474" s="89"/>
    </row>
    <row r="6475" spans="1:9">
      <c r="A6475" s="21"/>
      <c r="B6475"/>
      <c r="F6475" s="87"/>
      <c r="H6475" s="87"/>
      <c r="I6475" s="89"/>
    </row>
    <row r="6476" spans="1:9">
      <c r="A6476" s="21"/>
      <c r="B6476"/>
      <c r="F6476" s="87"/>
      <c r="H6476" s="87"/>
      <c r="I6476" s="89"/>
    </row>
    <row r="6477" spans="1:9">
      <c r="A6477" s="21"/>
      <c r="B6477"/>
      <c r="F6477" s="87"/>
      <c r="H6477" s="87"/>
      <c r="I6477" s="89"/>
    </row>
    <row r="6478" spans="1:9">
      <c r="A6478" s="21"/>
      <c r="B6478"/>
      <c r="F6478" s="87"/>
      <c r="H6478" s="87"/>
      <c r="I6478" s="89"/>
    </row>
    <row r="6479" spans="1:9">
      <c r="A6479" s="21"/>
      <c r="B6479"/>
      <c r="F6479" s="87"/>
      <c r="H6479" s="87"/>
      <c r="I6479" s="89"/>
    </row>
    <row r="6480" spans="1:9">
      <c r="A6480" s="21"/>
      <c r="B6480"/>
      <c r="F6480" s="87"/>
      <c r="H6480" s="87"/>
      <c r="I6480" s="89"/>
    </row>
    <row r="6481" spans="1:9">
      <c r="A6481" s="21"/>
      <c r="B6481"/>
      <c r="F6481" s="87"/>
      <c r="H6481" s="87"/>
      <c r="I6481" s="89"/>
    </row>
    <row r="6482" spans="1:9">
      <c r="A6482" s="21"/>
      <c r="B6482"/>
      <c r="F6482" s="87"/>
      <c r="H6482" s="87"/>
      <c r="I6482" s="89"/>
    </row>
    <row r="6483" spans="1:9">
      <c r="A6483" s="21"/>
      <c r="B6483"/>
      <c r="F6483" s="87"/>
      <c r="H6483" s="87"/>
      <c r="I6483" s="89"/>
    </row>
    <row r="6484" spans="1:9">
      <c r="A6484" s="21"/>
      <c r="B6484"/>
      <c r="F6484" s="87"/>
      <c r="H6484" s="87"/>
      <c r="I6484" s="89"/>
    </row>
    <row r="6485" spans="1:9">
      <c r="A6485" s="21"/>
      <c r="B6485"/>
      <c r="F6485" s="87"/>
      <c r="H6485" s="87"/>
      <c r="I6485" s="89"/>
    </row>
    <row r="6486" spans="1:9">
      <c r="A6486" s="21"/>
      <c r="B6486"/>
      <c r="F6486" s="87"/>
      <c r="H6486" s="87"/>
      <c r="I6486" s="89"/>
    </row>
    <row r="6487" spans="1:9">
      <c r="A6487" s="21"/>
      <c r="B6487"/>
      <c r="F6487" s="87"/>
      <c r="H6487" s="87"/>
      <c r="I6487" s="89"/>
    </row>
    <row r="6488" spans="1:9">
      <c r="A6488" s="21"/>
      <c r="B6488"/>
      <c r="F6488" s="87"/>
      <c r="H6488" s="87"/>
      <c r="I6488" s="89"/>
    </row>
    <row r="6489" spans="1:9">
      <c r="A6489" s="21"/>
      <c r="B6489"/>
      <c r="F6489" s="87"/>
      <c r="H6489" s="87"/>
      <c r="I6489" s="89"/>
    </row>
    <row r="6490" spans="1:9">
      <c r="A6490" s="21"/>
      <c r="B6490"/>
      <c r="F6490" s="87"/>
      <c r="H6490" s="87"/>
      <c r="I6490" s="89"/>
    </row>
    <row r="6491" spans="1:9">
      <c r="A6491" s="21"/>
      <c r="B6491"/>
      <c r="F6491" s="87"/>
      <c r="H6491" s="87"/>
      <c r="I6491" s="89"/>
    </row>
    <row r="6492" spans="1:9">
      <c r="A6492" s="21"/>
      <c r="B6492"/>
      <c r="F6492" s="87"/>
      <c r="H6492" s="87"/>
      <c r="I6492" s="89"/>
    </row>
    <row r="6493" spans="1:9">
      <c r="A6493" s="21"/>
      <c r="B6493"/>
      <c r="F6493" s="87"/>
      <c r="H6493" s="87"/>
      <c r="I6493" s="89"/>
    </row>
    <row r="6494" spans="1:9">
      <c r="A6494" s="21"/>
      <c r="B6494"/>
      <c r="F6494" s="87"/>
      <c r="H6494" s="87"/>
      <c r="I6494" s="89"/>
    </row>
    <row r="6495" spans="1:9">
      <c r="A6495" s="21"/>
      <c r="B6495"/>
      <c r="F6495" s="87"/>
      <c r="H6495" s="87"/>
      <c r="I6495" s="89"/>
    </row>
    <row r="6496" spans="1:9">
      <c r="A6496" s="21"/>
      <c r="B6496"/>
      <c r="F6496" s="87"/>
      <c r="H6496" s="87"/>
      <c r="I6496" s="89"/>
    </row>
    <row r="6497" spans="1:9">
      <c r="A6497" s="21"/>
      <c r="B6497"/>
      <c r="F6497" s="87"/>
      <c r="H6497" s="87"/>
      <c r="I6497" s="89"/>
    </row>
    <row r="6498" spans="1:9">
      <c r="A6498" s="21"/>
      <c r="B6498"/>
      <c r="F6498" s="87"/>
      <c r="H6498" s="87"/>
      <c r="I6498" s="89"/>
    </row>
    <row r="6499" spans="1:9">
      <c r="A6499" s="21"/>
      <c r="B6499"/>
      <c r="F6499" s="87"/>
      <c r="H6499" s="87"/>
      <c r="I6499" s="89"/>
    </row>
    <row r="6500" spans="1:9">
      <c r="A6500" s="21"/>
      <c r="B6500"/>
      <c r="F6500" s="87"/>
      <c r="H6500" s="87"/>
      <c r="I6500" s="89"/>
    </row>
    <row r="6501" spans="1:9">
      <c r="A6501" s="21"/>
      <c r="B6501"/>
      <c r="F6501" s="87"/>
      <c r="H6501" s="87"/>
      <c r="I6501" s="89"/>
    </row>
    <row r="6502" spans="1:9">
      <c r="A6502" s="21"/>
      <c r="B6502"/>
      <c r="F6502" s="87"/>
      <c r="H6502" s="87"/>
      <c r="I6502" s="89"/>
    </row>
    <row r="6503" spans="1:9">
      <c r="A6503" s="21"/>
      <c r="B6503"/>
      <c r="F6503" s="87"/>
      <c r="H6503" s="87"/>
      <c r="I6503" s="89"/>
    </row>
    <row r="6504" spans="1:9">
      <c r="A6504" s="21"/>
      <c r="B6504"/>
      <c r="F6504" s="87"/>
      <c r="H6504" s="87"/>
      <c r="I6504" s="89"/>
    </row>
    <row r="6505" spans="1:9">
      <c r="A6505" s="21"/>
      <c r="B6505"/>
      <c r="F6505" s="87"/>
      <c r="H6505" s="87"/>
      <c r="I6505" s="89"/>
    </row>
    <row r="6506" spans="1:9">
      <c r="A6506" s="21"/>
      <c r="B6506"/>
      <c r="F6506" s="87"/>
      <c r="H6506" s="87"/>
      <c r="I6506" s="89"/>
    </row>
    <row r="6507" spans="1:9">
      <c r="A6507" s="21"/>
      <c r="B6507"/>
      <c r="F6507" s="87"/>
      <c r="H6507" s="87"/>
      <c r="I6507" s="89"/>
    </row>
    <row r="6508" spans="1:9">
      <c r="A6508" s="21"/>
      <c r="B6508"/>
      <c r="F6508" s="87"/>
      <c r="H6508" s="87"/>
      <c r="I6508" s="89"/>
    </row>
    <row r="6509" spans="1:9">
      <c r="A6509" s="21"/>
      <c r="B6509"/>
      <c r="F6509" s="87"/>
      <c r="H6509" s="87"/>
      <c r="I6509" s="89"/>
    </row>
    <row r="6510" spans="1:9">
      <c r="A6510" s="21"/>
      <c r="B6510"/>
      <c r="F6510" s="87"/>
      <c r="H6510" s="87"/>
      <c r="I6510" s="89"/>
    </row>
    <row r="6511" spans="1:9">
      <c r="A6511" s="21"/>
      <c r="B6511"/>
      <c r="F6511" s="87"/>
      <c r="H6511" s="87"/>
      <c r="I6511" s="89"/>
    </row>
    <row r="6512" spans="1:9">
      <c r="A6512" s="21"/>
      <c r="B6512"/>
      <c r="F6512" s="87"/>
      <c r="H6512" s="87"/>
      <c r="I6512" s="89"/>
    </row>
    <row r="6513" spans="1:9">
      <c r="A6513" s="21"/>
      <c r="B6513"/>
      <c r="F6513" s="87"/>
      <c r="H6513" s="87"/>
      <c r="I6513" s="89"/>
    </row>
    <row r="6514" spans="1:9">
      <c r="A6514" s="21"/>
      <c r="B6514"/>
      <c r="F6514" s="87"/>
      <c r="H6514" s="87"/>
      <c r="I6514" s="89"/>
    </row>
    <row r="6515" spans="1:9">
      <c r="A6515" s="21"/>
      <c r="B6515"/>
      <c r="F6515" s="87"/>
      <c r="H6515" s="87"/>
      <c r="I6515" s="89"/>
    </row>
    <row r="6516" spans="1:9">
      <c r="A6516" s="21"/>
      <c r="B6516"/>
      <c r="F6516" s="87"/>
      <c r="H6516" s="87"/>
      <c r="I6516" s="89"/>
    </row>
    <row r="6517" spans="1:9">
      <c r="A6517" s="21"/>
      <c r="B6517"/>
      <c r="F6517" s="87"/>
      <c r="H6517" s="87"/>
      <c r="I6517" s="89"/>
    </row>
    <row r="6518" spans="1:9">
      <c r="A6518" s="21"/>
      <c r="B6518"/>
      <c r="F6518" s="87"/>
      <c r="H6518" s="87"/>
      <c r="I6518" s="89"/>
    </row>
    <row r="6519" spans="1:9">
      <c r="A6519" s="21"/>
      <c r="B6519"/>
      <c r="F6519" s="87"/>
      <c r="H6519" s="87"/>
      <c r="I6519" s="89"/>
    </row>
    <row r="6520" spans="1:9">
      <c r="A6520" s="21"/>
      <c r="B6520"/>
      <c r="F6520" s="87"/>
      <c r="H6520" s="87"/>
      <c r="I6520" s="89"/>
    </row>
    <row r="6521" spans="1:9">
      <c r="A6521" s="21"/>
      <c r="B6521"/>
      <c r="F6521" s="87"/>
      <c r="H6521" s="87"/>
      <c r="I6521" s="89"/>
    </row>
    <row r="6522" spans="1:9">
      <c r="A6522" s="21"/>
      <c r="B6522"/>
      <c r="F6522" s="87"/>
      <c r="H6522" s="87"/>
      <c r="I6522" s="89"/>
    </row>
    <row r="6523" spans="1:9">
      <c r="A6523" s="21"/>
      <c r="B6523"/>
      <c r="F6523" s="87"/>
      <c r="H6523" s="87"/>
      <c r="I6523" s="89"/>
    </row>
    <row r="6524" spans="1:9">
      <c r="A6524" s="21"/>
      <c r="B6524"/>
      <c r="F6524" s="87"/>
      <c r="H6524" s="87"/>
      <c r="I6524" s="89"/>
    </row>
    <row r="6525" spans="1:9">
      <c r="A6525" s="21"/>
      <c r="B6525"/>
      <c r="F6525" s="87"/>
      <c r="H6525" s="87"/>
      <c r="I6525" s="89"/>
    </row>
    <row r="6526" spans="1:9">
      <c r="A6526" s="21"/>
      <c r="B6526"/>
      <c r="F6526" s="87"/>
      <c r="H6526" s="87"/>
      <c r="I6526" s="89"/>
    </row>
    <row r="6527" spans="1:9">
      <c r="A6527" s="21"/>
      <c r="B6527"/>
      <c r="F6527" s="87"/>
      <c r="H6527" s="87"/>
      <c r="I6527" s="89"/>
    </row>
    <row r="6528" spans="1:9">
      <c r="A6528" s="21"/>
      <c r="B6528"/>
      <c r="F6528" s="87"/>
      <c r="H6528" s="87"/>
      <c r="I6528" s="89"/>
    </row>
    <row r="6529" spans="1:9">
      <c r="A6529" s="21"/>
      <c r="B6529"/>
      <c r="F6529" s="87"/>
      <c r="H6529" s="87"/>
      <c r="I6529" s="89"/>
    </row>
    <row r="6530" spans="1:9">
      <c r="A6530" s="21"/>
      <c r="B6530"/>
      <c r="F6530" s="87"/>
      <c r="H6530" s="87"/>
      <c r="I6530" s="89"/>
    </row>
    <row r="6531" spans="1:9">
      <c r="A6531" s="21"/>
      <c r="B6531"/>
      <c r="F6531" s="87"/>
      <c r="H6531" s="87"/>
      <c r="I6531" s="89"/>
    </row>
    <row r="6532" spans="1:9">
      <c r="A6532" s="21"/>
      <c r="B6532"/>
      <c r="F6532" s="87"/>
      <c r="H6532" s="87"/>
      <c r="I6532" s="89"/>
    </row>
    <row r="6533" spans="1:9">
      <c r="A6533" s="21"/>
      <c r="B6533"/>
      <c r="F6533" s="87"/>
      <c r="H6533" s="87"/>
      <c r="I6533" s="89"/>
    </row>
    <row r="6534" spans="1:9">
      <c r="A6534" s="21"/>
      <c r="B6534"/>
      <c r="F6534" s="87"/>
      <c r="H6534" s="87"/>
      <c r="I6534" s="89"/>
    </row>
    <row r="6535" spans="1:9">
      <c r="A6535" s="21"/>
      <c r="B6535"/>
      <c r="F6535" s="87"/>
      <c r="H6535" s="87"/>
      <c r="I6535" s="89"/>
    </row>
    <row r="6536" spans="1:9">
      <c r="A6536" s="21"/>
      <c r="B6536"/>
      <c r="F6536" s="87"/>
      <c r="H6536" s="87"/>
      <c r="I6536" s="89"/>
    </row>
    <row r="6537" spans="1:9">
      <c r="A6537" s="21"/>
      <c r="B6537"/>
      <c r="F6537" s="87"/>
      <c r="H6537" s="87"/>
      <c r="I6537" s="89"/>
    </row>
    <row r="6538" spans="1:9">
      <c r="A6538" s="21"/>
      <c r="B6538"/>
      <c r="F6538" s="87"/>
      <c r="H6538" s="87"/>
      <c r="I6538" s="89"/>
    </row>
    <row r="6539" spans="1:9">
      <c r="A6539" s="21"/>
      <c r="B6539"/>
      <c r="F6539" s="87"/>
      <c r="H6539" s="87"/>
      <c r="I6539" s="89"/>
    </row>
    <row r="6540" spans="1:9">
      <c r="A6540" s="21"/>
      <c r="B6540"/>
      <c r="F6540" s="87"/>
      <c r="H6540" s="87"/>
      <c r="I6540" s="89"/>
    </row>
    <row r="6541" spans="1:9">
      <c r="A6541" s="21"/>
      <c r="B6541"/>
      <c r="F6541" s="87"/>
      <c r="H6541" s="87"/>
      <c r="I6541" s="89"/>
    </row>
    <row r="6542" spans="1:9">
      <c r="A6542" s="21"/>
      <c r="B6542"/>
      <c r="F6542" s="87"/>
      <c r="H6542" s="87"/>
      <c r="I6542" s="89"/>
    </row>
    <row r="6543" spans="1:9">
      <c r="A6543" s="21"/>
      <c r="B6543"/>
      <c r="F6543" s="87"/>
      <c r="H6543" s="87"/>
      <c r="I6543" s="89"/>
    </row>
    <row r="6544" spans="1:9">
      <c r="A6544" s="21"/>
      <c r="B6544"/>
      <c r="F6544" s="87"/>
      <c r="H6544" s="87"/>
      <c r="I6544" s="89"/>
    </row>
    <row r="6545" spans="1:9">
      <c r="A6545" s="21"/>
      <c r="B6545"/>
      <c r="F6545" s="87"/>
      <c r="H6545" s="87"/>
      <c r="I6545" s="89"/>
    </row>
    <row r="6546" spans="1:9">
      <c r="A6546" s="21"/>
      <c r="B6546"/>
      <c r="F6546" s="87"/>
      <c r="H6546" s="87"/>
      <c r="I6546" s="89"/>
    </row>
    <row r="6547" spans="1:9">
      <c r="A6547" s="21"/>
      <c r="B6547"/>
      <c r="F6547" s="87"/>
      <c r="H6547" s="87"/>
      <c r="I6547" s="89"/>
    </row>
    <row r="6548" spans="1:9">
      <c r="A6548" s="21"/>
      <c r="B6548"/>
      <c r="F6548" s="87"/>
      <c r="H6548" s="87"/>
      <c r="I6548" s="89"/>
    </row>
    <row r="6549" spans="1:9">
      <c r="A6549" s="21"/>
      <c r="B6549"/>
      <c r="F6549" s="87"/>
      <c r="H6549" s="87"/>
      <c r="I6549" s="89"/>
    </row>
    <row r="6550" spans="1:9">
      <c r="A6550" s="21"/>
      <c r="B6550"/>
      <c r="F6550" s="87"/>
      <c r="H6550" s="87"/>
      <c r="I6550" s="89"/>
    </row>
    <row r="6551" spans="1:9">
      <c r="A6551" s="21"/>
      <c r="B6551"/>
      <c r="F6551" s="87"/>
      <c r="H6551" s="87"/>
      <c r="I6551" s="89"/>
    </row>
    <row r="6552" spans="1:9">
      <c r="A6552" s="21"/>
      <c r="B6552"/>
      <c r="F6552" s="87"/>
      <c r="H6552" s="87"/>
      <c r="I6552" s="89"/>
    </row>
    <row r="6553" spans="1:9">
      <c r="A6553" s="21"/>
      <c r="B6553"/>
      <c r="F6553" s="87"/>
      <c r="H6553" s="87"/>
      <c r="I6553" s="89"/>
    </row>
    <row r="6554" spans="1:9">
      <c r="A6554" s="21"/>
      <c r="B6554"/>
      <c r="F6554" s="87"/>
      <c r="H6554" s="87"/>
      <c r="I6554" s="89"/>
    </row>
    <row r="6555" spans="1:9">
      <c r="A6555" s="21"/>
      <c r="B6555"/>
      <c r="F6555" s="87"/>
      <c r="H6555" s="87"/>
      <c r="I6555" s="89"/>
    </row>
    <row r="6556" spans="1:9">
      <c r="A6556" s="21"/>
      <c r="B6556"/>
      <c r="F6556" s="87"/>
      <c r="H6556" s="87"/>
      <c r="I6556" s="89"/>
    </row>
    <row r="6557" spans="1:9">
      <c r="A6557" s="21"/>
      <c r="B6557"/>
      <c r="F6557" s="87"/>
      <c r="H6557" s="87"/>
      <c r="I6557" s="89"/>
    </row>
    <row r="6558" spans="1:9">
      <c r="A6558" s="21"/>
      <c r="B6558"/>
      <c r="F6558" s="87"/>
      <c r="H6558" s="87"/>
      <c r="I6558" s="89"/>
    </row>
    <row r="6559" spans="1:9">
      <c r="A6559" s="21"/>
      <c r="B6559"/>
      <c r="F6559" s="87"/>
      <c r="H6559" s="87"/>
      <c r="I6559" s="89"/>
    </row>
    <row r="6560" spans="1:9">
      <c r="A6560" s="21"/>
      <c r="B6560"/>
      <c r="F6560" s="87"/>
      <c r="H6560" s="87"/>
      <c r="I6560" s="89"/>
    </row>
    <row r="6561" spans="1:9">
      <c r="A6561" s="21"/>
      <c r="B6561"/>
      <c r="F6561" s="87"/>
      <c r="H6561" s="87"/>
      <c r="I6561" s="89"/>
    </row>
    <row r="6562" spans="1:9">
      <c r="A6562" s="21"/>
      <c r="B6562"/>
      <c r="F6562" s="87"/>
      <c r="H6562" s="87"/>
      <c r="I6562" s="89"/>
    </row>
    <row r="6563" spans="1:9">
      <c r="A6563" s="21"/>
      <c r="B6563"/>
      <c r="F6563" s="87"/>
      <c r="H6563" s="87"/>
      <c r="I6563" s="89"/>
    </row>
    <row r="6564" spans="1:9">
      <c r="A6564" s="21"/>
      <c r="B6564"/>
      <c r="F6564" s="87"/>
      <c r="H6564" s="87"/>
      <c r="I6564" s="89"/>
    </row>
    <row r="6565" spans="1:9">
      <c r="A6565" s="21"/>
      <c r="B6565"/>
      <c r="F6565" s="87"/>
      <c r="H6565" s="87"/>
      <c r="I6565" s="89"/>
    </row>
    <row r="6566" spans="1:9">
      <c r="A6566" s="21"/>
      <c r="B6566"/>
      <c r="F6566" s="87"/>
      <c r="H6566" s="87"/>
      <c r="I6566" s="89"/>
    </row>
    <row r="6567" spans="1:9">
      <c r="A6567" s="21"/>
      <c r="B6567"/>
      <c r="F6567" s="87"/>
      <c r="H6567" s="87"/>
      <c r="I6567" s="89"/>
    </row>
    <row r="6568" spans="1:9">
      <c r="A6568" s="21"/>
      <c r="B6568"/>
      <c r="F6568" s="87"/>
      <c r="H6568" s="87"/>
      <c r="I6568" s="89"/>
    </row>
    <row r="6569" spans="1:9">
      <c r="A6569" s="21"/>
      <c r="B6569"/>
      <c r="F6569" s="87"/>
      <c r="H6569" s="87"/>
      <c r="I6569" s="89"/>
    </row>
    <row r="6570" spans="1:9">
      <c r="A6570" s="21"/>
      <c r="B6570"/>
      <c r="F6570" s="87"/>
      <c r="H6570" s="87"/>
      <c r="I6570" s="89"/>
    </row>
    <row r="6571" spans="1:9">
      <c r="A6571" s="21"/>
      <c r="B6571"/>
      <c r="F6571" s="87"/>
      <c r="H6571" s="87"/>
      <c r="I6571" s="89"/>
    </row>
    <row r="6572" spans="1:9">
      <c r="A6572" s="21"/>
      <c r="B6572"/>
      <c r="F6572" s="87"/>
      <c r="H6572" s="87"/>
      <c r="I6572" s="89"/>
    </row>
    <row r="6573" spans="1:9">
      <c r="A6573" s="21"/>
      <c r="B6573"/>
      <c r="F6573" s="87"/>
      <c r="H6573" s="87"/>
      <c r="I6573" s="89"/>
    </row>
    <row r="6574" spans="1:9">
      <c r="A6574" s="21"/>
      <c r="B6574"/>
      <c r="F6574" s="87"/>
      <c r="H6574" s="87"/>
      <c r="I6574" s="89"/>
    </row>
    <row r="6575" spans="1:9">
      <c r="A6575" s="21"/>
      <c r="B6575"/>
      <c r="F6575" s="87"/>
      <c r="H6575" s="87"/>
      <c r="I6575" s="89"/>
    </row>
    <row r="6576" spans="1:9">
      <c r="A6576" s="21"/>
      <c r="B6576"/>
      <c r="F6576" s="87"/>
      <c r="H6576" s="87"/>
      <c r="I6576" s="89"/>
    </row>
    <row r="6577" spans="1:9">
      <c r="A6577" s="21"/>
      <c r="B6577"/>
      <c r="F6577" s="87"/>
      <c r="H6577" s="87"/>
      <c r="I6577" s="89"/>
    </row>
    <row r="6578" spans="1:9">
      <c r="A6578" s="21"/>
      <c r="B6578"/>
      <c r="F6578" s="87"/>
      <c r="H6578" s="87"/>
      <c r="I6578" s="89"/>
    </row>
    <row r="6579" spans="1:9">
      <c r="A6579" s="21"/>
      <c r="B6579"/>
      <c r="F6579" s="87"/>
      <c r="H6579" s="87"/>
      <c r="I6579" s="89"/>
    </row>
    <row r="6580" spans="1:9">
      <c r="A6580" s="21"/>
      <c r="B6580"/>
      <c r="F6580" s="87"/>
      <c r="H6580" s="87"/>
      <c r="I6580" s="89"/>
    </row>
    <row r="6581" spans="1:9">
      <c r="A6581" s="21"/>
      <c r="B6581"/>
      <c r="F6581" s="87"/>
      <c r="H6581" s="87"/>
      <c r="I6581" s="89"/>
    </row>
    <row r="6582" spans="1:9">
      <c r="A6582" s="21"/>
      <c r="B6582"/>
      <c r="F6582" s="87"/>
      <c r="H6582" s="87"/>
      <c r="I6582" s="89"/>
    </row>
    <row r="6583" spans="1:9">
      <c r="A6583" s="21"/>
      <c r="B6583"/>
      <c r="F6583" s="87"/>
      <c r="H6583" s="87"/>
      <c r="I6583" s="89"/>
    </row>
    <row r="6584" spans="1:9">
      <c r="A6584" s="21"/>
      <c r="B6584"/>
      <c r="F6584" s="87"/>
      <c r="H6584" s="87"/>
      <c r="I6584" s="89"/>
    </row>
    <row r="6585" spans="1:9">
      <c r="A6585" s="21"/>
      <c r="B6585"/>
      <c r="F6585" s="87"/>
      <c r="H6585" s="87"/>
      <c r="I6585" s="89"/>
    </row>
    <row r="6586" spans="1:9">
      <c r="A6586" s="21"/>
      <c r="B6586"/>
      <c r="F6586" s="87"/>
      <c r="H6586" s="87"/>
      <c r="I6586" s="89"/>
    </row>
    <row r="6587" spans="1:9">
      <c r="A6587" s="21"/>
      <c r="B6587"/>
      <c r="F6587" s="87"/>
      <c r="H6587" s="87"/>
      <c r="I6587" s="89"/>
    </row>
    <row r="6588" spans="1:9">
      <c r="A6588" s="21"/>
      <c r="B6588"/>
      <c r="F6588" s="87"/>
      <c r="H6588" s="87"/>
      <c r="I6588" s="89"/>
    </row>
    <row r="6589" spans="1:9">
      <c r="A6589" s="21"/>
      <c r="B6589"/>
      <c r="F6589" s="87"/>
      <c r="H6589" s="87"/>
      <c r="I6589" s="89"/>
    </row>
    <row r="6590" spans="1:9">
      <c r="A6590" s="21"/>
      <c r="B6590"/>
      <c r="F6590" s="87"/>
      <c r="H6590" s="87"/>
      <c r="I6590" s="89"/>
    </row>
    <row r="6591" spans="1:9">
      <c r="A6591" s="21"/>
      <c r="B6591"/>
      <c r="F6591" s="87"/>
      <c r="H6591" s="87"/>
      <c r="I6591" s="89"/>
    </row>
    <row r="6592" spans="1:9">
      <c r="A6592" s="21"/>
      <c r="B6592"/>
      <c r="F6592" s="87"/>
      <c r="H6592" s="87"/>
      <c r="I6592" s="89"/>
    </row>
    <row r="6593" spans="1:9">
      <c r="A6593" s="21"/>
      <c r="B6593"/>
      <c r="F6593" s="87"/>
      <c r="H6593" s="87"/>
      <c r="I6593" s="89"/>
    </row>
    <row r="6594" spans="1:9">
      <c r="A6594" s="21"/>
      <c r="B6594"/>
      <c r="F6594" s="87"/>
      <c r="H6594" s="87"/>
      <c r="I6594" s="89"/>
    </row>
    <row r="6595" spans="1:9">
      <c r="A6595" s="21"/>
      <c r="B6595"/>
      <c r="F6595" s="87"/>
      <c r="H6595" s="87"/>
      <c r="I6595" s="89"/>
    </row>
    <row r="6596" spans="1:9">
      <c r="A6596" s="21"/>
      <c r="B6596"/>
      <c r="F6596" s="87"/>
      <c r="H6596" s="87"/>
      <c r="I6596" s="89"/>
    </row>
    <row r="6597" spans="1:9">
      <c r="A6597" s="21"/>
      <c r="B6597"/>
      <c r="F6597" s="87"/>
      <c r="H6597" s="87"/>
      <c r="I6597" s="89"/>
    </row>
    <row r="6598" spans="1:9">
      <c r="A6598" s="21"/>
      <c r="B6598"/>
      <c r="F6598" s="87"/>
      <c r="H6598" s="87"/>
      <c r="I6598" s="89"/>
    </row>
    <row r="6599" spans="1:9">
      <c r="A6599" s="21"/>
      <c r="B6599"/>
      <c r="F6599" s="87"/>
      <c r="H6599" s="87"/>
      <c r="I6599" s="89"/>
    </row>
    <row r="6600" spans="1:9">
      <c r="A6600" s="21"/>
      <c r="B6600"/>
      <c r="F6600" s="87"/>
      <c r="H6600" s="87"/>
      <c r="I6600" s="89"/>
    </row>
    <row r="6601" spans="1:9">
      <c r="A6601" s="21"/>
      <c r="B6601"/>
      <c r="F6601" s="87"/>
      <c r="H6601" s="87"/>
      <c r="I6601" s="89"/>
    </row>
    <row r="6602" spans="1:9">
      <c r="A6602" s="21"/>
      <c r="B6602"/>
      <c r="F6602" s="87"/>
      <c r="H6602" s="87"/>
      <c r="I6602" s="89"/>
    </row>
    <row r="6603" spans="1:9">
      <c r="A6603" s="21"/>
      <c r="B6603"/>
      <c r="F6603" s="87"/>
      <c r="H6603" s="87"/>
      <c r="I6603" s="89"/>
    </row>
    <row r="6604" spans="1:9">
      <c r="A6604" s="21"/>
      <c r="B6604"/>
      <c r="F6604" s="87"/>
      <c r="H6604" s="87"/>
      <c r="I6604" s="89"/>
    </row>
    <row r="6605" spans="1:9">
      <c r="A6605" s="21"/>
      <c r="B6605"/>
      <c r="F6605" s="87"/>
      <c r="H6605" s="87"/>
      <c r="I6605" s="89"/>
    </row>
    <row r="6606" spans="1:9">
      <c r="A6606" s="21"/>
      <c r="B6606"/>
      <c r="F6606" s="87"/>
      <c r="H6606" s="87"/>
      <c r="I6606" s="89"/>
    </row>
    <row r="6607" spans="1:9">
      <c r="A6607" s="21"/>
      <c r="B6607"/>
      <c r="F6607" s="87"/>
      <c r="H6607" s="87"/>
      <c r="I6607" s="89"/>
    </row>
    <row r="6608" spans="1:9">
      <c r="A6608" s="21"/>
      <c r="B6608"/>
      <c r="F6608" s="87"/>
      <c r="H6608" s="87"/>
      <c r="I6608" s="89"/>
    </row>
    <row r="6609" spans="1:9">
      <c r="A6609" s="21"/>
      <c r="B6609"/>
      <c r="F6609" s="87"/>
      <c r="H6609" s="87"/>
      <c r="I6609" s="89"/>
    </row>
    <row r="6610" spans="1:9">
      <c r="A6610" s="21"/>
      <c r="B6610"/>
      <c r="F6610" s="87"/>
      <c r="H6610" s="87"/>
      <c r="I6610" s="89"/>
    </row>
    <row r="6611" spans="1:9">
      <c r="A6611" s="21"/>
      <c r="B6611"/>
      <c r="F6611" s="87"/>
      <c r="H6611" s="87"/>
      <c r="I6611" s="89"/>
    </row>
    <row r="6612" spans="1:9">
      <c r="A6612" s="21"/>
      <c r="B6612"/>
      <c r="F6612" s="87"/>
      <c r="H6612" s="87"/>
      <c r="I6612" s="89"/>
    </row>
    <row r="6613" spans="1:9">
      <c r="A6613" s="21"/>
      <c r="B6613"/>
      <c r="F6613" s="87"/>
      <c r="H6613" s="87"/>
      <c r="I6613" s="89"/>
    </row>
    <row r="6614" spans="1:9">
      <c r="A6614" s="21"/>
      <c r="B6614"/>
      <c r="F6614" s="87"/>
      <c r="H6614" s="87"/>
      <c r="I6614" s="89"/>
    </row>
    <row r="6615" spans="1:9">
      <c r="A6615" s="21"/>
      <c r="B6615"/>
      <c r="F6615" s="87"/>
      <c r="H6615" s="87"/>
      <c r="I6615" s="89"/>
    </row>
    <row r="6616" spans="1:9">
      <c r="A6616" s="21"/>
      <c r="B6616"/>
      <c r="F6616" s="87"/>
      <c r="H6616" s="87"/>
      <c r="I6616" s="89"/>
    </row>
    <row r="6617" spans="1:9">
      <c r="A6617" s="21"/>
      <c r="B6617"/>
      <c r="F6617" s="87"/>
      <c r="H6617" s="87"/>
      <c r="I6617" s="89"/>
    </row>
    <row r="6618" spans="1:9">
      <c r="A6618" s="21"/>
      <c r="B6618"/>
      <c r="F6618" s="87"/>
      <c r="H6618" s="87"/>
      <c r="I6618" s="89"/>
    </row>
    <row r="6619" spans="1:9">
      <c r="A6619" s="21"/>
      <c r="B6619"/>
      <c r="F6619" s="87"/>
      <c r="H6619" s="87"/>
      <c r="I6619" s="89"/>
    </row>
    <row r="6620" spans="1:9">
      <c r="A6620" s="21"/>
      <c r="B6620"/>
      <c r="F6620" s="87"/>
      <c r="H6620" s="87"/>
      <c r="I6620" s="89"/>
    </row>
    <row r="6621" spans="1:9">
      <c r="A6621" s="21"/>
      <c r="B6621"/>
      <c r="F6621" s="87"/>
      <c r="H6621" s="87"/>
      <c r="I6621" s="89"/>
    </row>
    <row r="6622" spans="1:9">
      <c r="A6622" s="21"/>
      <c r="B6622"/>
      <c r="F6622" s="87"/>
      <c r="H6622" s="87"/>
      <c r="I6622" s="89"/>
    </row>
    <row r="6623" spans="1:9">
      <c r="A6623" s="21"/>
      <c r="B6623"/>
      <c r="F6623" s="87"/>
      <c r="H6623" s="87"/>
      <c r="I6623" s="89"/>
    </row>
    <row r="6624" spans="1:9">
      <c r="A6624" s="21"/>
      <c r="B6624"/>
      <c r="F6624" s="87"/>
      <c r="H6624" s="87"/>
      <c r="I6624" s="89"/>
    </row>
    <row r="6625" spans="1:9">
      <c r="A6625" s="21"/>
      <c r="B6625"/>
      <c r="F6625" s="87"/>
      <c r="H6625" s="87"/>
      <c r="I6625" s="89"/>
    </row>
    <row r="6626" spans="1:9">
      <c r="A6626" s="21"/>
      <c r="B6626"/>
      <c r="F6626" s="87"/>
      <c r="H6626" s="87"/>
      <c r="I6626" s="89"/>
    </row>
    <row r="6627" spans="1:9">
      <c r="A6627" s="21"/>
      <c r="B6627"/>
      <c r="F6627" s="87"/>
      <c r="H6627" s="87"/>
      <c r="I6627" s="89"/>
    </row>
    <row r="6628" spans="1:9">
      <c r="A6628" s="21"/>
      <c r="B6628"/>
      <c r="F6628" s="87"/>
      <c r="H6628" s="87"/>
      <c r="I6628" s="89"/>
    </row>
    <row r="6629" spans="1:9">
      <c r="A6629" s="21"/>
      <c r="B6629"/>
      <c r="F6629" s="87"/>
      <c r="H6629" s="87"/>
      <c r="I6629" s="89"/>
    </row>
    <row r="6630" spans="1:9">
      <c r="A6630" s="21"/>
      <c r="B6630"/>
      <c r="F6630" s="87"/>
      <c r="H6630" s="87"/>
      <c r="I6630" s="89"/>
    </row>
    <row r="6631" spans="1:9">
      <c r="A6631" s="21"/>
      <c r="B6631"/>
      <c r="F6631" s="87"/>
      <c r="H6631" s="87"/>
      <c r="I6631" s="89"/>
    </row>
    <row r="6632" spans="1:9">
      <c r="A6632" s="21"/>
      <c r="B6632"/>
      <c r="F6632" s="87"/>
      <c r="H6632" s="87"/>
      <c r="I6632" s="89"/>
    </row>
    <row r="6633" spans="1:9">
      <c r="A6633" s="21"/>
      <c r="B6633"/>
      <c r="F6633" s="87"/>
      <c r="H6633" s="87"/>
      <c r="I6633" s="89"/>
    </row>
    <row r="6634" spans="1:9">
      <c r="A6634" s="21"/>
      <c r="B6634"/>
      <c r="F6634" s="87"/>
      <c r="H6634" s="87"/>
      <c r="I6634" s="89"/>
    </row>
    <row r="6635" spans="1:9">
      <c r="A6635" s="21"/>
      <c r="B6635"/>
      <c r="F6635" s="87"/>
      <c r="H6635" s="87"/>
      <c r="I6635" s="89"/>
    </row>
    <row r="6636" spans="1:9">
      <c r="A6636" s="21"/>
      <c r="B6636"/>
      <c r="F6636" s="87"/>
      <c r="H6636" s="87"/>
      <c r="I6636" s="89"/>
    </row>
    <row r="6637" spans="1:9">
      <c r="A6637" s="21"/>
      <c r="B6637"/>
      <c r="F6637" s="87"/>
      <c r="H6637" s="87"/>
      <c r="I6637" s="89"/>
    </row>
    <row r="6638" spans="1:9">
      <c r="A6638" s="21"/>
      <c r="B6638"/>
      <c r="F6638" s="87"/>
      <c r="H6638" s="87"/>
      <c r="I6638" s="89"/>
    </row>
    <row r="6639" spans="1:9">
      <c r="A6639" s="21"/>
      <c r="B6639"/>
      <c r="F6639" s="87"/>
      <c r="H6639" s="87"/>
      <c r="I6639" s="89"/>
    </row>
    <row r="6640" spans="1:9">
      <c r="A6640" s="21"/>
      <c r="B6640"/>
      <c r="F6640" s="87"/>
      <c r="H6640" s="87"/>
      <c r="I6640" s="89"/>
    </row>
    <row r="6641" spans="1:9">
      <c r="A6641" s="21"/>
      <c r="B6641"/>
      <c r="F6641" s="87"/>
      <c r="H6641" s="87"/>
      <c r="I6641" s="89"/>
    </row>
    <row r="6642" spans="1:9">
      <c r="A6642" s="21"/>
      <c r="B6642"/>
      <c r="F6642" s="87"/>
      <c r="H6642" s="87"/>
      <c r="I6642" s="89"/>
    </row>
    <row r="6643" spans="1:9">
      <c r="A6643" s="21"/>
      <c r="B6643"/>
      <c r="F6643" s="87"/>
      <c r="H6643" s="87"/>
      <c r="I6643" s="89"/>
    </row>
    <row r="6644" spans="1:9">
      <c r="A6644" s="21"/>
      <c r="B6644"/>
      <c r="F6644" s="87"/>
      <c r="H6644" s="87"/>
      <c r="I6644" s="89"/>
    </row>
    <row r="6645" spans="1:9">
      <c r="A6645" s="21"/>
      <c r="B6645"/>
      <c r="F6645" s="87"/>
      <c r="H6645" s="87"/>
      <c r="I6645" s="89"/>
    </row>
    <row r="6646" spans="1:9">
      <c r="A6646" s="21"/>
      <c r="B6646"/>
      <c r="F6646" s="87"/>
      <c r="H6646" s="87"/>
      <c r="I6646" s="89"/>
    </row>
    <row r="6647" spans="1:9">
      <c r="A6647" s="21"/>
      <c r="B6647"/>
      <c r="F6647" s="87"/>
      <c r="H6647" s="87"/>
      <c r="I6647" s="89"/>
    </row>
    <row r="6648" spans="1:9">
      <c r="A6648" s="21"/>
      <c r="B6648"/>
      <c r="F6648" s="87"/>
      <c r="H6648" s="87"/>
      <c r="I6648" s="89"/>
    </row>
    <row r="6649" spans="1:9">
      <c r="A6649" s="21"/>
      <c r="B6649"/>
      <c r="F6649" s="87"/>
      <c r="H6649" s="87"/>
      <c r="I6649" s="89"/>
    </row>
    <row r="6650" spans="1:9">
      <c r="A6650" s="21"/>
      <c r="B6650"/>
      <c r="F6650" s="87"/>
      <c r="H6650" s="87"/>
      <c r="I6650" s="89"/>
    </row>
    <row r="6651" spans="1:9">
      <c r="A6651" s="21"/>
      <c r="B6651"/>
      <c r="F6651" s="87"/>
      <c r="H6651" s="87"/>
      <c r="I6651" s="89"/>
    </row>
    <row r="6652" spans="1:9">
      <c r="A6652" s="21"/>
      <c r="B6652"/>
      <c r="F6652" s="87"/>
      <c r="H6652" s="87"/>
      <c r="I6652" s="89"/>
    </row>
    <row r="6653" spans="1:9">
      <c r="A6653" s="21"/>
      <c r="B6653"/>
      <c r="F6653" s="87"/>
      <c r="H6653" s="87"/>
      <c r="I6653" s="89"/>
    </row>
    <row r="6654" spans="1:9">
      <c r="A6654" s="21"/>
      <c r="B6654"/>
      <c r="F6654" s="87"/>
      <c r="H6654" s="87"/>
      <c r="I6654" s="89"/>
    </row>
    <row r="6655" spans="1:9">
      <c r="A6655" s="21"/>
      <c r="B6655"/>
      <c r="F6655" s="87"/>
      <c r="H6655" s="87"/>
      <c r="I6655" s="89"/>
    </row>
    <row r="6656" spans="1:9">
      <c r="A6656" s="21"/>
      <c r="B6656"/>
      <c r="F6656" s="87"/>
      <c r="H6656" s="87"/>
      <c r="I6656" s="89"/>
    </row>
    <row r="6657" spans="1:9">
      <c r="A6657" s="21"/>
      <c r="B6657"/>
      <c r="F6657" s="87"/>
      <c r="H6657" s="87"/>
      <c r="I6657" s="89"/>
    </row>
    <row r="6658" spans="1:9">
      <c r="A6658" s="21"/>
      <c r="B6658"/>
      <c r="F6658" s="87"/>
      <c r="H6658" s="87"/>
      <c r="I6658" s="89"/>
    </row>
    <row r="6659" spans="1:9">
      <c r="A6659" s="21"/>
      <c r="B6659"/>
      <c r="F6659" s="87"/>
      <c r="H6659" s="87"/>
      <c r="I6659" s="89"/>
    </row>
    <row r="6660" spans="1:9">
      <c r="A6660" s="21"/>
      <c r="B6660"/>
      <c r="F6660" s="87"/>
      <c r="H6660" s="87"/>
      <c r="I6660" s="89"/>
    </row>
    <row r="6661" spans="1:9">
      <c r="A6661" s="21"/>
      <c r="B6661"/>
      <c r="F6661" s="87"/>
      <c r="H6661" s="87"/>
      <c r="I6661" s="89"/>
    </row>
    <row r="6662" spans="1:9">
      <c r="A6662" s="21"/>
      <c r="B6662"/>
      <c r="F6662" s="87"/>
      <c r="H6662" s="87"/>
      <c r="I6662" s="89"/>
    </row>
    <row r="6663" spans="1:9">
      <c r="A6663" s="21"/>
      <c r="B6663"/>
      <c r="F6663" s="87"/>
      <c r="H6663" s="87"/>
      <c r="I6663" s="89"/>
    </row>
    <row r="6664" spans="1:9">
      <c r="A6664" s="21"/>
      <c r="B6664"/>
      <c r="F6664" s="87"/>
      <c r="H6664" s="87"/>
      <c r="I6664" s="89"/>
    </row>
    <row r="6665" spans="1:9">
      <c r="A6665" s="21"/>
      <c r="B6665"/>
      <c r="F6665" s="87"/>
      <c r="H6665" s="87"/>
      <c r="I6665" s="89"/>
    </row>
    <row r="6666" spans="1:9">
      <c r="A6666" s="21"/>
      <c r="B6666"/>
      <c r="F6666" s="87"/>
      <c r="H6666" s="87"/>
      <c r="I6666" s="89"/>
    </row>
    <row r="6667" spans="1:9">
      <c r="A6667" s="21"/>
      <c r="B6667"/>
      <c r="F6667" s="87"/>
      <c r="H6667" s="87"/>
      <c r="I6667" s="89"/>
    </row>
    <row r="6668" spans="1:9">
      <c r="A6668" s="21"/>
      <c r="B6668"/>
      <c r="F6668" s="87"/>
      <c r="H6668" s="87"/>
      <c r="I6668" s="89"/>
    </row>
    <row r="6669" spans="1:9">
      <c r="A6669" s="21"/>
      <c r="B6669"/>
      <c r="F6669" s="87"/>
      <c r="H6669" s="87"/>
      <c r="I6669" s="89"/>
    </row>
    <row r="6670" spans="1:9">
      <c r="A6670" s="21"/>
      <c r="B6670"/>
      <c r="F6670" s="87"/>
      <c r="H6670" s="87"/>
      <c r="I6670" s="89"/>
    </row>
    <row r="6671" spans="1:9">
      <c r="A6671" s="21"/>
      <c r="B6671"/>
      <c r="F6671" s="87"/>
      <c r="H6671" s="87"/>
      <c r="I6671" s="89"/>
    </row>
    <row r="6672" spans="1:9">
      <c r="A6672" s="21"/>
      <c r="B6672"/>
      <c r="F6672" s="87"/>
      <c r="H6672" s="87"/>
      <c r="I6672" s="89"/>
    </row>
    <row r="6673" spans="1:9">
      <c r="A6673" s="21"/>
      <c r="B6673"/>
      <c r="F6673" s="87"/>
      <c r="H6673" s="87"/>
      <c r="I6673" s="89"/>
    </row>
    <row r="6674" spans="1:9">
      <c r="A6674" s="21"/>
      <c r="B6674"/>
      <c r="F6674" s="87"/>
      <c r="H6674" s="87"/>
      <c r="I6674" s="89"/>
    </row>
    <row r="6675" spans="1:9">
      <c r="A6675" s="21"/>
      <c r="B6675"/>
      <c r="F6675" s="87"/>
      <c r="H6675" s="87"/>
      <c r="I6675" s="89"/>
    </row>
    <row r="6676" spans="1:9">
      <c r="A6676" s="21"/>
      <c r="B6676"/>
      <c r="F6676" s="87"/>
      <c r="H6676" s="87"/>
      <c r="I6676" s="89"/>
    </row>
    <row r="6677" spans="1:9">
      <c r="A6677" s="21"/>
      <c r="B6677"/>
      <c r="F6677" s="87"/>
      <c r="H6677" s="87"/>
      <c r="I6677" s="89"/>
    </row>
    <row r="6678" spans="1:9">
      <c r="A6678" s="21"/>
      <c r="B6678"/>
      <c r="F6678" s="87"/>
      <c r="H6678" s="87"/>
      <c r="I6678" s="89"/>
    </row>
    <row r="6679" spans="1:9">
      <c r="A6679" s="21"/>
      <c r="B6679"/>
      <c r="F6679" s="87"/>
      <c r="H6679" s="87"/>
      <c r="I6679" s="89"/>
    </row>
    <row r="6680" spans="1:9">
      <c r="A6680" s="21"/>
      <c r="B6680"/>
      <c r="F6680" s="87"/>
      <c r="H6680" s="87"/>
      <c r="I6680" s="89"/>
    </row>
    <row r="6681" spans="1:9">
      <c r="A6681" s="21"/>
      <c r="B6681"/>
      <c r="F6681" s="87"/>
      <c r="H6681" s="87"/>
      <c r="I6681" s="89"/>
    </row>
    <row r="6682" spans="1:9">
      <c r="A6682" s="21"/>
      <c r="B6682"/>
      <c r="F6682" s="87"/>
      <c r="H6682" s="87"/>
      <c r="I6682" s="89"/>
    </row>
    <row r="6683" spans="1:9">
      <c r="A6683" s="21"/>
      <c r="B6683"/>
      <c r="F6683" s="87"/>
      <c r="H6683" s="87"/>
      <c r="I6683" s="89"/>
    </row>
    <row r="6684" spans="1:9">
      <c r="A6684" s="21"/>
      <c r="B6684"/>
      <c r="F6684" s="87"/>
      <c r="H6684" s="87"/>
      <c r="I6684" s="89"/>
    </row>
    <row r="6685" spans="1:9">
      <c r="A6685" s="21"/>
      <c r="B6685"/>
      <c r="F6685" s="87"/>
      <c r="H6685" s="87"/>
      <c r="I6685" s="89"/>
    </row>
    <row r="6686" spans="1:9">
      <c r="A6686" s="21"/>
      <c r="B6686"/>
      <c r="F6686" s="87"/>
      <c r="H6686" s="87"/>
      <c r="I6686" s="89"/>
    </row>
    <row r="6687" spans="1:9">
      <c r="A6687" s="21"/>
      <c r="B6687"/>
      <c r="F6687" s="87"/>
      <c r="H6687" s="87"/>
      <c r="I6687" s="89"/>
    </row>
    <row r="6688" spans="1:9">
      <c r="A6688" s="21"/>
      <c r="B6688"/>
      <c r="F6688" s="87"/>
      <c r="H6688" s="87"/>
      <c r="I6688" s="89"/>
    </row>
    <row r="6689" spans="1:9">
      <c r="A6689" s="21"/>
      <c r="B6689"/>
      <c r="F6689" s="87"/>
      <c r="H6689" s="87"/>
      <c r="I6689" s="89"/>
    </row>
    <row r="6690" spans="1:9">
      <c r="A6690" s="21"/>
      <c r="B6690"/>
      <c r="F6690" s="87"/>
      <c r="H6690" s="87"/>
      <c r="I6690" s="89"/>
    </row>
    <row r="6691" spans="1:9">
      <c r="A6691" s="21"/>
      <c r="B6691"/>
      <c r="F6691" s="87"/>
      <c r="H6691" s="87"/>
      <c r="I6691" s="89"/>
    </row>
    <row r="6692" spans="1:9">
      <c r="A6692" s="21"/>
      <c r="B6692"/>
      <c r="F6692" s="87"/>
      <c r="H6692" s="87"/>
      <c r="I6692" s="89"/>
    </row>
    <row r="6693" spans="1:9">
      <c r="A6693" s="21"/>
      <c r="B6693"/>
      <c r="F6693" s="87"/>
      <c r="H6693" s="87"/>
      <c r="I6693" s="89"/>
    </row>
    <row r="6694" spans="1:9">
      <c r="A6694" s="21"/>
      <c r="B6694"/>
      <c r="F6694" s="87"/>
      <c r="H6694" s="87"/>
      <c r="I6694" s="89"/>
    </row>
    <row r="6695" spans="1:9">
      <c r="A6695" s="21"/>
      <c r="B6695"/>
      <c r="F6695" s="87"/>
      <c r="H6695" s="87"/>
      <c r="I6695" s="89"/>
    </row>
    <row r="6696" spans="1:9">
      <c r="A6696" s="21"/>
      <c r="B6696"/>
      <c r="F6696" s="87"/>
      <c r="H6696" s="87"/>
      <c r="I6696" s="89"/>
    </row>
    <row r="6697" spans="1:9">
      <c r="A6697" s="21"/>
      <c r="B6697"/>
      <c r="F6697" s="87"/>
      <c r="H6697" s="87"/>
      <c r="I6697" s="89"/>
    </row>
    <row r="6698" spans="1:9">
      <c r="A6698" s="21"/>
      <c r="B6698"/>
      <c r="F6698" s="87"/>
      <c r="H6698" s="87"/>
      <c r="I6698" s="89"/>
    </row>
    <row r="6699" spans="1:9">
      <c r="A6699" s="21"/>
      <c r="B6699"/>
      <c r="F6699" s="87"/>
      <c r="H6699" s="87"/>
      <c r="I6699" s="89"/>
    </row>
    <row r="6700" spans="1:9">
      <c r="A6700" s="21"/>
      <c r="B6700"/>
      <c r="F6700" s="87"/>
      <c r="H6700" s="87"/>
      <c r="I6700" s="89"/>
    </row>
    <row r="6701" spans="1:9">
      <c r="A6701" s="21"/>
      <c r="B6701"/>
      <c r="F6701" s="87"/>
      <c r="H6701" s="87"/>
      <c r="I6701" s="89"/>
    </row>
    <row r="6702" spans="1:9">
      <c r="A6702" s="21"/>
      <c r="B6702"/>
      <c r="F6702" s="87"/>
      <c r="H6702" s="87"/>
      <c r="I6702" s="89"/>
    </row>
    <row r="6703" spans="1:9">
      <c r="A6703" s="21"/>
      <c r="B6703"/>
      <c r="F6703" s="87"/>
      <c r="H6703" s="87"/>
      <c r="I6703" s="89"/>
    </row>
    <row r="6704" spans="1:9">
      <c r="A6704" s="21"/>
      <c r="B6704"/>
      <c r="F6704" s="87"/>
      <c r="H6704" s="87"/>
      <c r="I6704" s="89"/>
    </row>
    <row r="6705" spans="1:9">
      <c r="A6705" s="21"/>
      <c r="B6705"/>
      <c r="F6705" s="87"/>
      <c r="H6705" s="87"/>
      <c r="I6705" s="89"/>
    </row>
    <row r="6706" spans="1:9">
      <c r="A6706" s="21"/>
      <c r="B6706"/>
      <c r="F6706" s="87"/>
      <c r="H6706" s="87"/>
      <c r="I6706" s="89"/>
    </row>
    <row r="6707" spans="1:9">
      <c r="A6707" s="21"/>
      <c r="B6707"/>
      <c r="F6707" s="87"/>
      <c r="H6707" s="87"/>
      <c r="I6707" s="89"/>
    </row>
    <row r="6708" spans="1:9">
      <c r="A6708" s="21"/>
      <c r="B6708"/>
      <c r="F6708" s="87"/>
      <c r="H6708" s="87"/>
      <c r="I6708" s="89"/>
    </row>
    <row r="6709" spans="1:9">
      <c r="A6709" s="21"/>
      <c r="B6709"/>
      <c r="F6709" s="87"/>
      <c r="H6709" s="87"/>
      <c r="I6709" s="89"/>
    </row>
    <row r="6710" spans="1:9">
      <c r="A6710" s="21"/>
      <c r="B6710"/>
      <c r="F6710" s="87"/>
      <c r="H6710" s="87"/>
      <c r="I6710" s="89"/>
    </row>
    <row r="6711" spans="1:9">
      <c r="A6711" s="21"/>
      <c r="B6711"/>
      <c r="F6711" s="87"/>
      <c r="H6711" s="87"/>
      <c r="I6711" s="89"/>
    </row>
    <row r="6712" spans="1:9">
      <c r="A6712" s="21"/>
      <c r="B6712"/>
      <c r="F6712" s="87"/>
      <c r="H6712" s="87"/>
      <c r="I6712" s="89"/>
    </row>
    <row r="6713" spans="1:9">
      <c r="A6713" s="21"/>
      <c r="B6713"/>
      <c r="F6713" s="87"/>
      <c r="H6713" s="87"/>
      <c r="I6713" s="89"/>
    </row>
    <row r="6714" spans="1:9">
      <c r="A6714" s="21"/>
      <c r="B6714"/>
      <c r="F6714" s="87"/>
      <c r="H6714" s="87"/>
      <c r="I6714" s="89"/>
    </row>
    <row r="6715" spans="1:9">
      <c r="A6715" s="21"/>
      <c r="B6715"/>
      <c r="F6715" s="87"/>
      <c r="H6715" s="87"/>
      <c r="I6715" s="89"/>
    </row>
    <row r="6716" spans="1:9">
      <c r="A6716" s="21"/>
      <c r="B6716"/>
      <c r="F6716" s="87"/>
      <c r="H6716" s="87"/>
      <c r="I6716" s="89"/>
    </row>
    <row r="6717" spans="1:9">
      <c r="A6717" s="21"/>
      <c r="B6717"/>
      <c r="F6717" s="87"/>
      <c r="H6717" s="87"/>
      <c r="I6717" s="89"/>
    </row>
    <row r="6718" spans="1:9">
      <c r="A6718" s="21"/>
      <c r="B6718"/>
      <c r="F6718" s="87"/>
      <c r="H6718" s="87"/>
      <c r="I6718" s="89"/>
    </row>
    <row r="6719" spans="1:9">
      <c r="A6719" s="21"/>
      <c r="B6719"/>
      <c r="F6719" s="87"/>
      <c r="H6719" s="87"/>
      <c r="I6719" s="89"/>
    </row>
    <row r="6720" spans="1:9">
      <c r="A6720" s="21"/>
      <c r="B6720"/>
      <c r="F6720" s="87"/>
      <c r="H6720" s="87"/>
      <c r="I6720" s="89"/>
    </row>
    <row r="6721" spans="1:9">
      <c r="A6721" s="21"/>
      <c r="B6721"/>
      <c r="F6721" s="87"/>
      <c r="H6721" s="87"/>
      <c r="I6721" s="89"/>
    </row>
    <row r="6722" spans="1:9">
      <c r="A6722" s="21"/>
      <c r="B6722"/>
      <c r="F6722" s="87"/>
      <c r="H6722" s="87"/>
      <c r="I6722" s="89"/>
    </row>
    <row r="6723" spans="1:9">
      <c r="A6723" s="21"/>
      <c r="B6723"/>
      <c r="F6723" s="87"/>
      <c r="H6723" s="87"/>
      <c r="I6723" s="89"/>
    </row>
    <row r="6724" spans="1:9">
      <c r="A6724" s="21"/>
      <c r="B6724"/>
      <c r="F6724" s="87"/>
      <c r="H6724" s="87"/>
      <c r="I6724" s="89"/>
    </row>
    <row r="6725" spans="1:9">
      <c r="A6725" s="21"/>
      <c r="B6725"/>
      <c r="F6725" s="87"/>
      <c r="H6725" s="87"/>
      <c r="I6725" s="89"/>
    </row>
    <row r="6726" spans="1:9">
      <c r="A6726" s="21"/>
      <c r="B6726"/>
      <c r="F6726" s="87"/>
      <c r="H6726" s="87"/>
      <c r="I6726" s="89"/>
    </row>
    <row r="6727" spans="1:9">
      <c r="A6727" s="21"/>
      <c r="B6727"/>
      <c r="F6727" s="87"/>
      <c r="H6727" s="87"/>
      <c r="I6727" s="89"/>
    </row>
    <row r="6728" spans="1:9">
      <c r="A6728" s="21"/>
      <c r="B6728"/>
      <c r="F6728" s="87"/>
      <c r="H6728" s="87"/>
      <c r="I6728" s="89"/>
    </row>
    <row r="6729" spans="1:9">
      <c r="A6729" s="21"/>
      <c r="B6729"/>
      <c r="F6729" s="87"/>
      <c r="H6729" s="87"/>
      <c r="I6729" s="89"/>
    </row>
    <row r="6730" spans="1:9">
      <c r="A6730" s="21"/>
      <c r="B6730"/>
      <c r="F6730" s="87"/>
      <c r="H6730" s="87"/>
      <c r="I6730" s="89"/>
    </row>
    <row r="6731" spans="1:9">
      <c r="A6731" s="21"/>
      <c r="B6731"/>
      <c r="F6731" s="87"/>
      <c r="H6731" s="87"/>
      <c r="I6731" s="89"/>
    </row>
    <row r="6732" spans="1:9">
      <c r="A6732" s="21"/>
      <c r="B6732"/>
      <c r="F6732" s="87"/>
      <c r="H6732" s="87"/>
      <c r="I6732" s="89"/>
    </row>
    <row r="6733" spans="1:9">
      <c r="A6733" s="21"/>
      <c r="B6733"/>
      <c r="F6733" s="87"/>
      <c r="H6733" s="87"/>
      <c r="I6733" s="89"/>
    </row>
    <row r="6734" spans="1:9">
      <c r="A6734" s="21"/>
      <c r="B6734"/>
      <c r="F6734" s="87"/>
      <c r="H6734" s="87"/>
      <c r="I6734" s="89"/>
    </row>
    <row r="6735" spans="1:9">
      <c r="A6735" s="21"/>
      <c r="B6735"/>
      <c r="F6735" s="87"/>
      <c r="H6735" s="87"/>
      <c r="I6735" s="89"/>
    </row>
    <row r="6736" spans="1:9">
      <c r="A6736" s="21"/>
      <c r="B6736"/>
      <c r="F6736" s="87"/>
      <c r="H6736" s="87"/>
      <c r="I6736" s="89"/>
    </row>
    <row r="6737" spans="1:9">
      <c r="A6737" s="21"/>
      <c r="B6737"/>
      <c r="F6737" s="87"/>
      <c r="H6737" s="87"/>
      <c r="I6737" s="89"/>
    </row>
    <row r="6738" spans="1:9">
      <c r="A6738" s="21"/>
      <c r="B6738"/>
      <c r="F6738" s="87"/>
      <c r="H6738" s="87"/>
      <c r="I6738" s="89"/>
    </row>
    <row r="6739" spans="1:9">
      <c r="A6739" s="21"/>
      <c r="B6739"/>
      <c r="F6739" s="87"/>
      <c r="H6739" s="87"/>
      <c r="I6739" s="89"/>
    </row>
    <row r="6740" spans="1:9">
      <c r="A6740" s="21"/>
      <c r="B6740"/>
      <c r="F6740" s="87"/>
      <c r="H6740" s="87"/>
      <c r="I6740" s="89"/>
    </row>
    <row r="6741" spans="1:9">
      <c r="A6741" s="21"/>
      <c r="B6741"/>
      <c r="F6741" s="87"/>
      <c r="H6741" s="87"/>
      <c r="I6741" s="89"/>
    </row>
    <row r="6742" spans="1:9">
      <c r="A6742" s="21"/>
      <c r="B6742"/>
      <c r="F6742" s="87"/>
      <c r="H6742" s="87"/>
      <c r="I6742" s="89"/>
    </row>
    <row r="6743" spans="1:9">
      <c r="A6743" s="21"/>
      <c r="B6743"/>
      <c r="F6743" s="87"/>
      <c r="H6743" s="87"/>
      <c r="I6743" s="89"/>
    </row>
    <row r="6744" spans="1:9">
      <c r="A6744" s="21"/>
      <c r="B6744"/>
      <c r="F6744" s="87"/>
      <c r="H6744" s="87"/>
      <c r="I6744" s="89"/>
    </row>
    <row r="6745" spans="1:9">
      <c r="A6745" s="21"/>
      <c r="B6745"/>
      <c r="F6745" s="87"/>
      <c r="H6745" s="87"/>
      <c r="I6745" s="89"/>
    </row>
    <row r="6746" spans="1:9">
      <c r="A6746" s="21"/>
      <c r="B6746"/>
      <c r="F6746" s="87"/>
      <c r="H6746" s="87"/>
      <c r="I6746" s="89"/>
    </row>
    <row r="6747" spans="1:9">
      <c r="A6747" s="21"/>
      <c r="B6747"/>
      <c r="F6747" s="87"/>
      <c r="H6747" s="87"/>
      <c r="I6747" s="89"/>
    </row>
    <row r="6748" spans="1:9">
      <c r="A6748" s="21"/>
      <c r="B6748"/>
      <c r="F6748" s="87"/>
      <c r="H6748" s="87"/>
      <c r="I6748" s="89"/>
    </row>
    <row r="6749" spans="1:9">
      <c r="A6749" s="21"/>
      <c r="B6749"/>
      <c r="F6749" s="87"/>
      <c r="H6749" s="87"/>
      <c r="I6749" s="89"/>
    </row>
    <row r="6750" spans="1:9">
      <c r="A6750" s="21"/>
      <c r="B6750"/>
      <c r="F6750" s="87"/>
      <c r="H6750" s="87"/>
      <c r="I6750" s="89"/>
    </row>
    <row r="6751" spans="1:9">
      <c r="A6751" s="21"/>
      <c r="B6751"/>
      <c r="F6751" s="87"/>
      <c r="H6751" s="87"/>
      <c r="I6751" s="89"/>
    </row>
    <row r="6752" spans="1:9">
      <c r="A6752" s="21"/>
      <c r="B6752"/>
      <c r="F6752" s="87"/>
      <c r="H6752" s="87"/>
      <c r="I6752" s="89"/>
    </row>
    <row r="6753" spans="1:9">
      <c r="A6753" s="21"/>
      <c r="B6753"/>
      <c r="F6753" s="87"/>
      <c r="H6753" s="87"/>
      <c r="I6753" s="89"/>
    </row>
    <row r="6754" spans="1:9">
      <c r="A6754" s="21"/>
      <c r="B6754"/>
      <c r="F6754" s="87"/>
      <c r="H6754" s="87"/>
      <c r="I6754" s="89"/>
    </row>
    <row r="6755" spans="1:9">
      <c r="A6755" s="21"/>
      <c r="B6755"/>
      <c r="F6755" s="87"/>
      <c r="H6755" s="87"/>
      <c r="I6755" s="89"/>
    </row>
    <row r="6756" spans="1:9">
      <c r="A6756" s="21"/>
      <c r="B6756"/>
      <c r="F6756" s="87"/>
      <c r="H6756" s="87"/>
      <c r="I6756" s="89"/>
    </row>
    <row r="6757" spans="1:9">
      <c r="A6757" s="21"/>
      <c r="B6757"/>
      <c r="F6757" s="87"/>
      <c r="H6757" s="87"/>
      <c r="I6757" s="89"/>
    </row>
    <row r="6758" spans="1:9">
      <c r="A6758" s="21"/>
      <c r="B6758"/>
      <c r="F6758" s="87"/>
      <c r="H6758" s="87"/>
      <c r="I6758" s="89"/>
    </row>
    <row r="6759" spans="1:9">
      <c r="A6759" s="21"/>
      <c r="B6759"/>
      <c r="F6759" s="87"/>
      <c r="H6759" s="87"/>
      <c r="I6759" s="89"/>
    </row>
    <row r="6760" spans="1:9">
      <c r="A6760" s="21"/>
      <c r="B6760"/>
      <c r="F6760" s="87"/>
      <c r="H6760" s="87"/>
      <c r="I6760" s="89"/>
    </row>
    <row r="6761" spans="1:9">
      <c r="A6761" s="21"/>
      <c r="B6761"/>
      <c r="F6761" s="87"/>
      <c r="H6761" s="87"/>
      <c r="I6761" s="89"/>
    </row>
    <row r="6762" spans="1:9">
      <c r="A6762" s="21"/>
      <c r="B6762"/>
      <c r="F6762" s="87"/>
      <c r="H6762" s="87"/>
      <c r="I6762" s="89"/>
    </row>
    <row r="6763" spans="1:9">
      <c r="A6763" s="21"/>
      <c r="B6763"/>
      <c r="F6763" s="87"/>
      <c r="H6763" s="87"/>
      <c r="I6763" s="89"/>
    </row>
    <row r="6764" spans="1:9">
      <c r="A6764" s="21"/>
      <c r="B6764"/>
      <c r="F6764" s="87"/>
      <c r="H6764" s="87"/>
      <c r="I6764" s="89"/>
    </row>
    <row r="6765" spans="1:9">
      <c r="A6765" s="21"/>
      <c r="B6765"/>
      <c r="F6765" s="87"/>
      <c r="H6765" s="87"/>
      <c r="I6765" s="89"/>
    </row>
    <row r="6766" spans="1:9">
      <c r="A6766" s="21"/>
      <c r="B6766"/>
      <c r="F6766" s="87"/>
      <c r="H6766" s="87"/>
      <c r="I6766" s="89"/>
    </row>
    <row r="6767" spans="1:9">
      <c r="A6767" s="21"/>
      <c r="B6767"/>
      <c r="F6767" s="87"/>
      <c r="H6767" s="87"/>
      <c r="I6767" s="89"/>
    </row>
    <row r="6768" spans="1:9">
      <c r="A6768" s="21"/>
      <c r="B6768"/>
      <c r="F6768" s="87"/>
      <c r="H6768" s="87"/>
      <c r="I6768" s="89"/>
    </row>
    <row r="6769" spans="1:9">
      <c r="A6769" s="21"/>
      <c r="B6769"/>
      <c r="F6769" s="87"/>
      <c r="H6769" s="87"/>
      <c r="I6769" s="89"/>
    </row>
    <row r="6770" spans="1:9">
      <c r="A6770" s="21"/>
      <c r="B6770"/>
      <c r="F6770" s="87"/>
      <c r="H6770" s="87"/>
      <c r="I6770" s="89"/>
    </row>
    <row r="6771" spans="1:9">
      <c r="A6771" s="21"/>
      <c r="B6771"/>
      <c r="F6771" s="87"/>
      <c r="H6771" s="87"/>
      <c r="I6771" s="89"/>
    </row>
    <row r="6772" spans="1:9">
      <c r="A6772" s="21"/>
      <c r="B6772"/>
      <c r="F6772" s="87"/>
      <c r="H6772" s="87"/>
      <c r="I6772" s="89"/>
    </row>
    <row r="6773" spans="1:9">
      <c r="A6773" s="21"/>
      <c r="B6773"/>
      <c r="F6773" s="87"/>
      <c r="H6773" s="87"/>
      <c r="I6773" s="89"/>
    </row>
    <row r="6774" spans="1:9">
      <c r="A6774" s="21"/>
      <c r="B6774"/>
      <c r="F6774" s="87"/>
      <c r="H6774" s="87"/>
      <c r="I6774" s="89"/>
    </row>
    <row r="6775" spans="1:9">
      <c r="A6775" s="21"/>
      <c r="B6775"/>
      <c r="F6775" s="87"/>
      <c r="H6775" s="87"/>
      <c r="I6775" s="89"/>
    </row>
    <row r="6776" spans="1:9">
      <c r="A6776" s="21"/>
      <c r="B6776"/>
      <c r="F6776" s="87"/>
      <c r="H6776" s="87"/>
      <c r="I6776" s="89"/>
    </row>
    <row r="6777" spans="1:9">
      <c r="A6777" s="21"/>
      <c r="B6777"/>
      <c r="F6777" s="87"/>
      <c r="H6777" s="87"/>
      <c r="I6777" s="89"/>
    </row>
    <row r="6778" spans="1:9">
      <c r="A6778" s="21"/>
      <c r="B6778"/>
      <c r="F6778" s="87"/>
      <c r="H6778" s="87"/>
      <c r="I6778" s="89"/>
    </row>
    <row r="6779" spans="1:9">
      <c r="A6779" s="21"/>
      <c r="B6779"/>
      <c r="F6779" s="87"/>
      <c r="H6779" s="87"/>
      <c r="I6779" s="89"/>
    </row>
    <row r="6780" spans="1:9">
      <c r="A6780" s="21"/>
      <c r="B6780"/>
      <c r="F6780" s="87"/>
      <c r="H6780" s="87"/>
      <c r="I6780" s="89"/>
    </row>
    <row r="6781" spans="1:9">
      <c r="A6781" s="21"/>
      <c r="B6781"/>
      <c r="F6781" s="87"/>
      <c r="H6781" s="87"/>
      <c r="I6781" s="89"/>
    </row>
    <row r="6782" spans="1:9">
      <c r="A6782" s="21"/>
      <c r="B6782"/>
      <c r="F6782" s="87"/>
      <c r="H6782" s="87"/>
      <c r="I6782" s="89"/>
    </row>
    <row r="6783" spans="1:9">
      <c r="A6783" s="21"/>
      <c r="B6783"/>
      <c r="F6783" s="87"/>
      <c r="H6783" s="87"/>
      <c r="I6783" s="89"/>
    </row>
    <row r="6784" spans="1:9">
      <c r="A6784" s="21"/>
      <c r="B6784"/>
      <c r="F6784" s="87"/>
      <c r="H6784" s="87"/>
      <c r="I6784" s="89"/>
    </row>
    <row r="6785" spans="1:9">
      <c r="A6785" s="21"/>
      <c r="B6785"/>
      <c r="F6785" s="87"/>
      <c r="H6785" s="87"/>
      <c r="I6785" s="89"/>
    </row>
    <row r="6786" spans="1:9">
      <c r="A6786" s="21"/>
      <c r="B6786"/>
      <c r="F6786" s="87"/>
      <c r="H6786" s="87"/>
      <c r="I6786" s="89"/>
    </row>
    <row r="6787" spans="1:9">
      <c r="A6787" s="21"/>
      <c r="B6787"/>
      <c r="F6787" s="87"/>
      <c r="H6787" s="87"/>
      <c r="I6787" s="89"/>
    </row>
    <row r="6788" spans="1:9">
      <c r="A6788" s="21"/>
      <c r="B6788"/>
      <c r="F6788" s="87"/>
      <c r="H6788" s="87"/>
      <c r="I6788" s="89"/>
    </row>
    <row r="6789" spans="1:9">
      <c r="A6789" s="21"/>
      <c r="B6789"/>
      <c r="F6789" s="87"/>
      <c r="H6789" s="87"/>
      <c r="I6789" s="89"/>
    </row>
    <row r="6790" spans="1:9">
      <c r="A6790" s="21"/>
      <c r="B6790"/>
      <c r="F6790" s="87"/>
      <c r="H6790" s="87"/>
      <c r="I6790" s="89"/>
    </row>
    <row r="6791" spans="1:9">
      <c r="A6791" s="21"/>
      <c r="B6791"/>
      <c r="F6791" s="87"/>
      <c r="H6791" s="87"/>
      <c r="I6791" s="89"/>
    </row>
    <row r="6792" spans="1:9">
      <c r="A6792" s="21"/>
      <c r="B6792"/>
      <c r="F6792" s="87"/>
      <c r="H6792" s="87"/>
      <c r="I6792" s="89"/>
    </row>
    <row r="6793" spans="1:9">
      <c r="A6793" s="21"/>
      <c r="B6793"/>
      <c r="F6793" s="87"/>
      <c r="H6793" s="87"/>
      <c r="I6793" s="89"/>
    </row>
    <row r="6794" spans="1:9">
      <c r="A6794" s="21"/>
      <c r="B6794"/>
      <c r="F6794" s="87"/>
      <c r="H6794" s="87"/>
      <c r="I6794" s="89"/>
    </row>
    <row r="6795" spans="1:9">
      <c r="A6795" s="21"/>
      <c r="B6795"/>
      <c r="F6795" s="87"/>
      <c r="H6795" s="87"/>
      <c r="I6795" s="89"/>
    </row>
    <row r="6796" spans="1:9">
      <c r="A6796" s="21"/>
      <c r="B6796"/>
      <c r="F6796" s="87"/>
      <c r="H6796" s="87"/>
      <c r="I6796" s="89"/>
    </row>
    <row r="6797" spans="1:9">
      <c r="A6797" s="21"/>
      <c r="B6797"/>
      <c r="F6797" s="87"/>
      <c r="H6797" s="87"/>
      <c r="I6797" s="89"/>
    </row>
    <row r="6798" spans="1:9">
      <c r="A6798" s="21"/>
      <c r="B6798"/>
      <c r="F6798" s="87"/>
      <c r="H6798" s="87"/>
      <c r="I6798" s="89"/>
    </row>
    <row r="6799" spans="1:9">
      <c r="A6799" s="21"/>
      <c r="B6799"/>
      <c r="F6799" s="87"/>
      <c r="H6799" s="87"/>
      <c r="I6799" s="89"/>
    </row>
    <row r="6800" spans="1:9">
      <c r="A6800" s="21"/>
      <c r="B6800"/>
      <c r="F6800" s="87"/>
      <c r="H6800" s="87"/>
      <c r="I6800" s="89"/>
    </row>
    <row r="6801" spans="1:9">
      <c r="A6801" s="21"/>
      <c r="B6801"/>
      <c r="F6801" s="87"/>
      <c r="H6801" s="87"/>
      <c r="I6801" s="89"/>
    </row>
    <row r="6802" spans="1:9">
      <c r="A6802" s="21"/>
      <c r="B6802"/>
      <c r="F6802" s="87"/>
      <c r="H6802" s="87"/>
      <c r="I6802" s="89"/>
    </row>
    <row r="6803" spans="1:9">
      <c r="A6803" s="21"/>
      <c r="B6803"/>
      <c r="F6803" s="87"/>
      <c r="H6803" s="87"/>
      <c r="I6803" s="89"/>
    </row>
    <row r="6804" spans="1:9">
      <c r="A6804" s="21"/>
      <c r="B6804"/>
      <c r="F6804" s="87"/>
      <c r="H6804" s="87"/>
      <c r="I6804" s="89"/>
    </row>
    <row r="6805" spans="1:9">
      <c r="A6805" s="21"/>
      <c r="B6805"/>
      <c r="F6805" s="87"/>
      <c r="H6805" s="87"/>
      <c r="I6805" s="89"/>
    </row>
    <row r="6806" spans="1:9">
      <c r="A6806" s="21"/>
      <c r="B6806"/>
      <c r="F6806" s="87"/>
      <c r="H6806" s="87"/>
      <c r="I6806" s="89"/>
    </row>
    <row r="6807" spans="1:9">
      <c r="A6807" s="21"/>
      <c r="B6807"/>
      <c r="F6807" s="87"/>
      <c r="H6807" s="87"/>
      <c r="I6807" s="89"/>
    </row>
    <row r="6808" spans="1:9">
      <c r="A6808" s="21"/>
      <c r="B6808"/>
      <c r="F6808" s="87"/>
      <c r="H6808" s="87"/>
      <c r="I6808" s="89"/>
    </row>
    <row r="6809" spans="1:9">
      <c r="A6809" s="21"/>
      <c r="B6809"/>
      <c r="F6809" s="87"/>
      <c r="H6809" s="87"/>
      <c r="I6809" s="89"/>
    </row>
    <row r="6810" spans="1:9">
      <c r="A6810" s="21"/>
      <c r="B6810"/>
      <c r="F6810" s="87"/>
      <c r="H6810" s="87"/>
      <c r="I6810" s="89"/>
    </row>
    <row r="6811" spans="1:9">
      <c r="A6811" s="21"/>
      <c r="B6811"/>
      <c r="F6811" s="87"/>
      <c r="H6811" s="87"/>
      <c r="I6811" s="89"/>
    </row>
    <row r="6812" spans="1:9">
      <c r="A6812" s="21"/>
      <c r="B6812"/>
      <c r="F6812" s="87"/>
      <c r="H6812" s="87"/>
      <c r="I6812" s="89"/>
    </row>
    <row r="6813" spans="1:9">
      <c r="A6813" s="21"/>
      <c r="B6813"/>
      <c r="F6813" s="87"/>
      <c r="H6813" s="87"/>
      <c r="I6813" s="89"/>
    </row>
    <row r="6814" spans="1:9">
      <c r="A6814" s="21"/>
      <c r="B6814"/>
      <c r="F6814" s="87"/>
      <c r="H6814" s="87"/>
      <c r="I6814" s="89"/>
    </row>
    <row r="6815" spans="1:9">
      <c r="A6815" s="21"/>
      <c r="B6815"/>
      <c r="F6815" s="87"/>
      <c r="H6815" s="87"/>
      <c r="I6815" s="89"/>
    </row>
    <row r="6816" spans="1:9">
      <c r="A6816" s="21"/>
      <c r="B6816"/>
      <c r="F6816" s="87"/>
      <c r="H6816" s="87"/>
      <c r="I6816" s="89"/>
    </row>
    <row r="6817" spans="1:9">
      <c r="A6817" s="21"/>
      <c r="B6817"/>
      <c r="F6817" s="87"/>
      <c r="H6817" s="87"/>
      <c r="I6817" s="89"/>
    </row>
    <row r="6818" spans="1:9">
      <c r="A6818" s="21"/>
      <c r="B6818"/>
      <c r="F6818" s="87"/>
      <c r="H6818" s="87"/>
      <c r="I6818" s="89"/>
    </row>
    <row r="6819" spans="1:9">
      <c r="A6819" s="21"/>
      <c r="B6819"/>
      <c r="F6819" s="87"/>
      <c r="H6819" s="87"/>
      <c r="I6819" s="89"/>
    </row>
    <row r="6820" spans="1:9">
      <c r="A6820" s="21"/>
      <c r="B6820"/>
      <c r="F6820" s="87"/>
      <c r="H6820" s="87"/>
      <c r="I6820" s="89"/>
    </row>
    <row r="6821" spans="1:9">
      <c r="A6821" s="21"/>
      <c r="B6821"/>
      <c r="F6821" s="87"/>
      <c r="H6821" s="87"/>
      <c r="I6821" s="89"/>
    </row>
    <row r="6822" spans="1:9">
      <c r="A6822" s="21"/>
      <c r="B6822"/>
      <c r="F6822" s="87"/>
      <c r="H6822" s="87"/>
      <c r="I6822" s="89"/>
    </row>
    <row r="6823" spans="1:9">
      <c r="A6823" s="21"/>
      <c r="B6823"/>
      <c r="F6823" s="87"/>
      <c r="H6823" s="87"/>
      <c r="I6823" s="89"/>
    </row>
    <row r="6824" spans="1:9">
      <c r="A6824" s="21"/>
      <c r="B6824"/>
      <c r="F6824" s="87"/>
      <c r="H6824" s="87"/>
      <c r="I6824" s="89"/>
    </row>
    <row r="6825" spans="1:9">
      <c r="A6825" s="21"/>
      <c r="B6825"/>
      <c r="F6825" s="87"/>
      <c r="H6825" s="87"/>
      <c r="I6825" s="89"/>
    </row>
    <row r="6826" spans="1:9">
      <c r="A6826" s="21"/>
      <c r="B6826"/>
      <c r="F6826" s="87"/>
      <c r="H6826" s="87"/>
      <c r="I6826" s="89"/>
    </row>
    <row r="6827" spans="1:9">
      <c r="A6827" s="21"/>
      <c r="B6827"/>
      <c r="F6827" s="87"/>
      <c r="H6827" s="87"/>
      <c r="I6827" s="89"/>
    </row>
    <row r="6828" spans="1:9">
      <c r="A6828" s="21"/>
      <c r="B6828"/>
      <c r="F6828" s="87"/>
      <c r="H6828" s="87"/>
      <c r="I6828" s="89"/>
    </row>
    <row r="6829" spans="1:9">
      <c r="A6829" s="21"/>
      <c r="B6829"/>
      <c r="F6829" s="87"/>
      <c r="H6829" s="87"/>
      <c r="I6829" s="89"/>
    </row>
    <row r="6830" spans="1:9">
      <c r="A6830" s="21"/>
      <c r="B6830"/>
      <c r="F6830" s="87"/>
      <c r="H6830" s="87"/>
      <c r="I6830" s="89"/>
    </row>
    <row r="6831" spans="1:9">
      <c r="A6831" s="21"/>
      <c r="B6831"/>
      <c r="F6831" s="87"/>
      <c r="H6831" s="87"/>
      <c r="I6831" s="89"/>
    </row>
    <row r="6832" spans="1:9">
      <c r="A6832" s="21"/>
      <c r="B6832"/>
      <c r="F6832" s="87"/>
      <c r="H6832" s="87"/>
      <c r="I6832" s="89"/>
    </row>
    <row r="6833" spans="1:9">
      <c r="A6833" s="21"/>
      <c r="B6833"/>
      <c r="F6833" s="87"/>
      <c r="H6833" s="87"/>
      <c r="I6833" s="89"/>
    </row>
    <row r="6834" spans="1:9">
      <c r="A6834" s="21"/>
      <c r="B6834"/>
      <c r="F6834" s="87"/>
      <c r="H6834" s="87"/>
      <c r="I6834" s="89"/>
    </row>
    <row r="6835" spans="1:9">
      <c r="A6835" s="21"/>
      <c r="B6835"/>
      <c r="F6835" s="87"/>
      <c r="H6835" s="87"/>
      <c r="I6835" s="89"/>
    </row>
    <row r="6836" spans="1:9">
      <c r="A6836" s="21"/>
      <c r="B6836"/>
      <c r="F6836" s="87"/>
      <c r="H6836" s="87"/>
      <c r="I6836" s="89"/>
    </row>
    <row r="6837" spans="1:9">
      <c r="A6837" s="21"/>
      <c r="B6837"/>
      <c r="F6837" s="87"/>
      <c r="H6837" s="87"/>
      <c r="I6837" s="89"/>
    </row>
    <row r="6838" spans="1:9">
      <c r="A6838" s="21"/>
      <c r="B6838"/>
      <c r="F6838" s="87"/>
      <c r="H6838" s="87"/>
      <c r="I6838" s="89"/>
    </row>
    <row r="6839" spans="1:9">
      <c r="A6839" s="21"/>
      <c r="B6839"/>
      <c r="F6839" s="87"/>
      <c r="H6839" s="87"/>
      <c r="I6839" s="89"/>
    </row>
    <row r="6840" spans="1:9">
      <c r="A6840" s="21"/>
      <c r="B6840"/>
      <c r="F6840" s="87"/>
      <c r="H6840" s="87"/>
      <c r="I6840" s="89"/>
    </row>
    <row r="6841" spans="1:9">
      <c r="A6841" s="21"/>
      <c r="B6841"/>
      <c r="F6841" s="87"/>
      <c r="H6841" s="87"/>
      <c r="I6841" s="89"/>
    </row>
    <row r="6842" spans="1:9">
      <c r="A6842" s="21"/>
      <c r="B6842"/>
      <c r="F6842" s="87"/>
      <c r="H6842" s="87"/>
      <c r="I6842" s="89"/>
    </row>
    <row r="6843" spans="1:9">
      <c r="A6843" s="21"/>
      <c r="B6843"/>
      <c r="F6843" s="87"/>
      <c r="H6843" s="87"/>
      <c r="I6843" s="89"/>
    </row>
    <row r="6844" spans="1:9">
      <c r="A6844" s="21"/>
      <c r="B6844"/>
      <c r="F6844" s="87"/>
      <c r="H6844" s="87"/>
      <c r="I6844" s="89"/>
    </row>
    <row r="6845" spans="1:9">
      <c r="A6845" s="21"/>
      <c r="B6845"/>
      <c r="F6845" s="87"/>
      <c r="H6845" s="87"/>
      <c r="I6845" s="89"/>
    </row>
    <row r="6846" spans="1:9">
      <c r="A6846" s="21"/>
      <c r="B6846"/>
      <c r="F6846" s="87"/>
      <c r="H6846" s="87"/>
      <c r="I6846" s="89"/>
    </row>
    <row r="6847" spans="1:9">
      <c r="A6847" s="21"/>
      <c r="B6847"/>
      <c r="F6847" s="87"/>
      <c r="H6847" s="87"/>
      <c r="I6847" s="89"/>
    </row>
    <row r="6848" spans="1:9">
      <c r="A6848" s="21"/>
      <c r="B6848"/>
      <c r="F6848" s="87"/>
      <c r="H6848" s="87"/>
      <c r="I6848" s="89"/>
    </row>
    <row r="6849" spans="1:9">
      <c r="A6849" s="21"/>
      <c r="B6849"/>
      <c r="F6849" s="87"/>
      <c r="H6849" s="87"/>
      <c r="I6849" s="89"/>
    </row>
    <row r="6850" spans="1:9">
      <c r="A6850" s="21"/>
      <c r="B6850"/>
      <c r="F6850" s="87"/>
      <c r="H6850" s="87"/>
      <c r="I6850" s="89"/>
    </row>
    <row r="6851" spans="1:9">
      <c r="A6851" s="21"/>
      <c r="B6851"/>
      <c r="F6851" s="87"/>
      <c r="H6851" s="87"/>
      <c r="I6851" s="89"/>
    </row>
    <row r="6852" spans="1:9">
      <c r="A6852" s="21"/>
      <c r="B6852"/>
      <c r="F6852" s="87"/>
      <c r="H6852" s="87"/>
      <c r="I6852" s="89"/>
    </row>
    <row r="6853" spans="1:9">
      <c r="A6853" s="21"/>
      <c r="B6853"/>
      <c r="F6853" s="87"/>
      <c r="H6853" s="87"/>
      <c r="I6853" s="89"/>
    </row>
    <row r="6854" spans="1:9">
      <c r="A6854" s="21"/>
      <c r="B6854"/>
      <c r="F6854" s="87"/>
      <c r="H6854" s="87"/>
      <c r="I6854" s="89"/>
    </row>
    <row r="6855" spans="1:9">
      <c r="A6855" s="21"/>
      <c r="B6855"/>
      <c r="F6855" s="87"/>
      <c r="H6855" s="87"/>
      <c r="I6855" s="89"/>
    </row>
    <row r="6856" spans="1:9">
      <c r="A6856" s="21"/>
      <c r="B6856"/>
      <c r="F6856" s="87"/>
      <c r="H6856" s="87"/>
      <c r="I6856" s="89"/>
    </row>
    <row r="6857" spans="1:9">
      <c r="A6857" s="21"/>
      <c r="B6857"/>
      <c r="F6857" s="87"/>
      <c r="H6857" s="87"/>
      <c r="I6857" s="89"/>
    </row>
    <row r="6858" spans="1:9">
      <c r="A6858" s="21"/>
      <c r="B6858"/>
      <c r="F6858" s="87"/>
      <c r="H6858" s="87"/>
      <c r="I6858" s="89"/>
    </row>
    <row r="6859" spans="1:9">
      <c r="A6859" s="21"/>
      <c r="B6859"/>
      <c r="F6859" s="87"/>
      <c r="H6859" s="87"/>
      <c r="I6859" s="89"/>
    </row>
    <row r="6860" spans="1:9">
      <c r="A6860" s="21"/>
      <c r="B6860"/>
      <c r="F6860" s="87"/>
      <c r="H6860" s="87"/>
      <c r="I6860" s="89"/>
    </row>
    <row r="6861" spans="1:9">
      <c r="A6861" s="21"/>
      <c r="B6861"/>
      <c r="F6861" s="87"/>
      <c r="H6861" s="87"/>
      <c r="I6861" s="89"/>
    </row>
    <row r="6862" spans="1:9">
      <c r="A6862" s="21"/>
      <c r="B6862"/>
      <c r="F6862" s="87"/>
      <c r="H6862" s="87"/>
      <c r="I6862" s="89"/>
    </row>
    <row r="6863" spans="1:9">
      <c r="A6863" s="21"/>
      <c r="B6863"/>
      <c r="F6863" s="87"/>
      <c r="H6863" s="87"/>
      <c r="I6863" s="89"/>
    </row>
    <row r="6864" spans="1:9">
      <c r="A6864" s="21"/>
      <c r="B6864"/>
      <c r="F6864" s="87"/>
      <c r="H6864" s="87"/>
      <c r="I6864" s="89"/>
    </row>
    <row r="6865" spans="1:9">
      <c r="A6865" s="21"/>
      <c r="B6865"/>
      <c r="F6865" s="87"/>
      <c r="H6865" s="87"/>
      <c r="I6865" s="89"/>
    </row>
    <row r="6866" spans="1:9">
      <c r="A6866" s="21"/>
      <c r="B6866"/>
      <c r="F6866" s="87"/>
      <c r="H6866" s="87"/>
      <c r="I6866" s="89"/>
    </row>
    <row r="6867" spans="1:9">
      <c r="A6867" s="21"/>
      <c r="B6867"/>
      <c r="F6867" s="87"/>
      <c r="H6867" s="87"/>
      <c r="I6867" s="89"/>
    </row>
    <row r="6868" spans="1:9">
      <c r="A6868" s="21"/>
      <c r="B6868"/>
      <c r="F6868" s="87"/>
      <c r="H6868" s="87"/>
      <c r="I6868" s="89"/>
    </row>
    <row r="6869" spans="1:9">
      <c r="A6869" s="21"/>
      <c r="B6869"/>
      <c r="F6869" s="87"/>
      <c r="H6869" s="87"/>
      <c r="I6869" s="89"/>
    </row>
    <row r="6870" spans="1:9">
      <c r="A6870" s="21"/>
      <c r="B6870"/>
      <c r="F6870" s="87"/>
      <c r="H6870" s="87"/>
      <c r="I6870" s="89"/>
    </row>
    <row r="6871" spans="1:9">
      <c r="A6871" s="21"/>
      <c r="B6871"/>
      <c r="F6871" s="87"/>
      <c r="H6871" s="87"/>
      <c r="I6871" s="89"/>
    </row>
    <row r="6872" spans="1:9">
      <c r="A6872" s="21"/>
      <c r="B6872"/>
      <c r="F6872" s="87"/>
      <c r="H6872" s="87"/>
      <c r="I6872" s="89"/>
    </row>
    <row r="6873" spans="1:9">
      <c r="A6873" s="21"/>
      <c r="B6873"/>
      <c r="F6873" s="87"/>
      <c r="H6873" s="87"/>
      <c r="I6873" s="89"/>
    </row>
    <row r="6874" spans="1:9">
      <c r="A6874" s="21"/>
      <c r="B6874"/>
      <c r="F6874" s="87"/>
      <c r="H6874" s="87"/>
      <c r="I6874" s="89"/>
    </row>
    <row r="6875" spans="1:9">
      <c r="A6875" s="21"/>
      <c r="B6875"/>
      <c r="F6875" s="87"/>
      <c r="H6875" s="87"/>
      <c r="I6875" s="89"/>
    </row>
    <row r="6876" spans="1:9">
      <c r="A6876" s="21"/>
      <c r="B6876"/>
      <c r="F6876" s="87"/>
      <c r="H6876" s="87"/>
      <c r="I6876" s="89"/>
    </row>
    <row r="6877" spans="1:9">
      <c r="A6877" s="21"/>
      <c r="B6877"/>
      <c r="F6877" s="87"/>
      <c r="H6877" s="87"/>
      <c r="I6877" s="89"/>
    </row>
    <row r="6878" spans="1:9">
      <c r="A6878" s="21"/>
      <c r="B6878"/>
      <c r="F6878" s="87"/>
      <c r="H6878" s="87"/>
      <c r="I6878" s="89"/>
    </row>
    <row r="6879" spans="1:9">
      <c r="A6879" s="21"/>
      <c r="B6879"/>
      <c r="F6879" s="87"/>
      <c r="H6879" s="87"/>
      <c r="I6879" s="89"/>
    </row>
    <row r="6880" spans="1:9">
      <c r="A6880" s="21"/>
      <c r="B6880"/>
      <c r="F6880" s="87"/>
      <c r="H6880" s="87"/>
      <c r="I6880" s="89"/>
    </row>
    <row r="6881" spans="1:9">
      <c r="A6881" s="21"/>
      <c r="B6881"/>
      <c r="F6881" s="87"/>
      <c r="H6881" s="87"/>
      <c r="I6881" s="89"/>
    </row>
    <row r="6882" spans="1:9">
      <c r="A6882" s="21"/>
      <c r="B6882"/>
      <c r="F6882" s="87"/>
      <c r="H6882" s="87"/>
      <c r="I6882" s="89"/>
    </row>
    <row r="6883" spans="1:9">
      <c r="A6883" s="21"/>
      <c r="B6883"/>
      <c r="F6883" s="87"/>
      <c r="H6883" s="87"/>
      <c r="I6883" s="89"/>
    </row>
    <row r="6884" spans="1:9">
      <c r="A6884" s="21"/>
      <c r="B6884"/>
      <c r="F6884" s="87"/>
      <c r="H6884" s="87"/>
      <c r="I6884" s="89"/>
    </row>
    <row r="6885" spans="1:9">
      <c r="A6885" s="21"/>
      <c r="B6885"/>
      <c r="F6885" s="87"/>
      <c r="H6885" s="87"/>
      <c r="I6885" s="89"/>
    </row>
    <row r="6886" spans="1:9">
      <c r="A6886" s="21"/>
      <c r="B6886"/>
      <c r="F6886" s="87"/>
      <c r="H6886" s="87"/>
      <c r="I6886" s="89"/>
    </row>
    <row r="6887" spans="1:9">
      <c r="A6887" s="21"/>
      <c r="B6887"/>
      <c r="F6887" s="87"/>
      <c r="H6887" s="87"/>
      <c r="I6887" s="89"/>
    </row>
    <row r="6888" spans="1:9">
      <c r="A6888" s="21"/>
      <c r="B6888"/>
      <c r="F6888" s="87"/>
      <c r="H6888" s="87"/>
      <c r="I6888" s="89"/>
    </row>
    <row r="6889" spans="1:9">
      <c r="A6889" s="21"/>
      <c r="B6889"/>
      <c r="F6889" s="87"/>
      <c r="H6889" s="87"/>
      <c r="I6889" s="89"/>
    </row>
    <row r="6890" spans="1:9">
      <c r="A6890" s="21"/>
      <c r="B6890"/>
      <c r="F6890" s="87"/>
      <c r="H6890" s="87"/>
      <c r="I6890" s="89"/>
    </row>
    <row r="6891" spans="1:9">
      <c r="A6891" s="21"/>
      <c r="B6891"/>
      <c r="F6891" s="87"/>
      <c r="H6891" s="87"/>
      <c r="I6891" s="89"/>
    </row>
    <row r="6892" spans="1:9">
      <c r="A6892" s="21"/>
      <c r="B6892"/>
      <c r="F6892" s="87"/>
      <c r="H6892" s="87"/>
      <c r="I6892" s="89"/>
    </row>
    <row r="6893" spans="1:9">
      <c r="A6893" s="21"/>
      <c r="B6893"/>
      <c r="F6893" s="87"/>
      <c r="H6893" s="87"/>
      <c r="I6893" s="89"/>
    </row>
    <row r="6894" spans="1:9">
      <c r="A6894" s="21"/>
      <c r="B6894"/>
      <c r="F6894" s="87"/>
      <c r="H6894" s="87"/>
      <c r="I6894" s="89"/>
    </row>
    <row r="6895" spans="1:9">
      <c r="A6895" s="21"/>
      <c r="B6895"/>
      <c r="F6895" s="87"/>
      <c r="H6895" s="87"/>
      <c r="I6895" s="89"/>
    </row>
    <row r="6896" spans="1:9">
      <c r="A6896" s="21"/>
      <c r="B6896"/>
      <c r="F6896" s="87"/>
      <c r="H6896" s="87"/>
      <c r="I6896" s="89"/>
    </row>
    <row r="6897" spans="1:9">
      <c r="A6897" s="21"/>
      <c r="B6897"/>
      <c r="F6897" s="87"/>
      <c r="H6897" s="87"/>
      <c r="I6897" s="89"/>
    </row>
    <row r="6898" spans="1:9">
      <c r="A6898" s="21"/>
      <c r="B6898"/>
      <c r="F6898" s="87"/>
      <c r="H6898" s="87"/>
      <c r="I6898" s="89"/>
    </row>
    <row r="6899" spans="1:9">
      <c r="A6899" s="21"/>
      <c r="B6899"/>
      <c r="F6899" s="87"/>
      <c r="H6899" s="87"/>
      <c r="I6899" s="89"/>
    </row>
    <row r="6900" spans="1:9">
      <c r="A6900" s="21"/>
      <c r="B6900"/>
      <c r="F6900" s="87"/>
      <c r="H6900" s="87"/>
      <c r="I6900" s="89"/>
    </row>
    <row r="6901" spans="1:9">
      <c r="A6901" s="21"/>
      <c r="B6901"/>
      <c r="F6901" s="87"/>
      <c r="H6901" s="87"/>
      <c r="I6901" s="89"/>
    </row>
    <row r="6902" spans="1:9">
      <c r="A6902" s="21"/>
      <c r="B6902"/>
      <c r="F6902" s="87"/>
      <c r="H6902" s="87"/>
      <c r="I6902" s="89"/>
    </row>
    <row r="6903" spans="1:9">
      <c r="A6903" s="21"/>
      <c r="B6903"/>
      <c r="F6903" s="87"/>
      <c r="H6903" s="87"/>
      <c r="I6903" s="89"/>
    </row>
    <row r="6904" spans="1:9">
      <c r="A6904" s="21"/>
      <c r="B6904"/>
      <c r="F6904" s="87"/>
      <c r="H6904" s="87"/>
      <c r="I6904" s="89"/>
    </row>
    <row r="6905" spans="1:9">
      <c r="A6905" s="21"/>
      <c r="B6905"/>
      <c r="F6905" s="87"/>
      <c r="H6905" s="87"/>
      <c r="I6905" s="89"/>
    </row>
    <row r="6906" spans="1:9">
      <c r="A6906" s="21"/>
      <c r="B6906"/>
      <c r="F6906" s="87"/>
      <c r="H6906" s="87"/>
      <c r="I6906" s="89"/>
    </row>
    <row r="6907" spans="1:9">
      <c r="A6907" s="21"/>
      <c r="B6907"/>
      <c r="F6907" s="87"/>
      <c r="H6907" s="87"/>
      <c r="I6907" s="89"/>
    </row>
    <row r="6908" spans="1:9">
      <c r="A6908" s="21"/>
      <c r="B6908"/>
      <c r="F6908" s="87"/>
      <c r="H6908" s="87"/>
      <c r="I6908" s="89"/>
    </row>
    <row r="6909" spans="1:9">
      <c r="A6909" s="21"/>
      <c r="B6909"/>
      <c r="F6909" s="87"/>
      <c r="H6909" s="87"/>
      <c r="I6909" s="89"/>
    </row>
    <row r="6910" spans="1:9">
      <c r="A6910" s="21"/>
      <c r="B6910"/>
      <c r="F6910" s="87"/>
      <c r="H6910" s="87"/>
      <c r="I6910" s="89"/>
    </row>
    <row r="6911" spans="1:9">
      <c r="A6911" s="21"/>
      <c r="B6911"/>
      <c r="F6911" s="87"/>
      <c r="H6911" s="87"/>
      <c r="I6911" s="89"/>
    </row>
    <row r="6912" spans="1:9">
      <c r="A6912" s="21"/>
      <c r="B6912"/>
      <c r="F6912" s="87"/>
      <c r="H6912" s="87"/>
      <c r="I6912" s="89"/>
    </row>
    <row r="6913" spans="1:9">
      <c r="A6913" s="21"/>
      <c r="B6913"/>
      <c r="F6913" s="87"/>
      <c r="H6913" s="87"/>
      <c r="I6913" s="89"/>
    </row>
    <row r="6914" spans="1:9">
      <c r="A6914" s="21"/>
      <c r="B6914"/>
      <c r="F6914" s="87"/>
      <c r="H6914" s="87"/>
      <c r="I6914" s="89"/>
    </row>
    <row r="6915" spans="1:9">
      <c r="A6915" s="21"/>
      <c r="B6915"/>
      <c r="F6915" s="87"/>
      <c r="H6915" s="87"/>
      <c r="I6915" s="89"/>
    </row>
    <row r="6916" spans="1:9">
      <c r="A6916" s="21"/>
      <c r="B6916"/>
      <c r="F6916" s="87"/>
      <c r="H6916" s="87"/>
      <c r="I6916" s="89"/>
    </row>
    <row r="6917" spans="1:9">
      <c r="A6917" s="21"/>
      <c r="B6917"/>
      <c r="F6917" s="87"/>
      <c r="H6917" s="87"/>
      <c r="I6917" s="89"/>
    </row>
    <row r="6918" spans="1:9">
      <c r="A6918" s="21"/>
      <c r="B6918"/>
      <c r="F6918" s="87"/>
      <c r="H6918" s="87"/>
      <c r="I6918" s="89"/>
    </row>
    <row r="6919" spans="1:9">
      <c r="A6919" s="21"/>
      <c r="B6919"/>
      <c r="F6919" s="87"/>
      <c r="H6919" s="87"/>
      <c r="I6919" s="89"/>
    </row>
    <row r="6920" spans="1:9">
      <c r="A6920" s="21"/>
      <c r="B6920"/>
      <c r="F6920" s="87"/>
      <c r="H6920" s="87"/>
      <c r="I6920" s="89"/>
    </row>
    <row r="6921" spans="1:9">
      <c r="A6921" s="21"/>
      <c r="B6921"/>
      <c r="F6921" s="87"/>
      <c r="H6921" s="87"/>
      <c r="I6921" s="89"/>
    </row>
    <row r="6922" spans="1:9">
      <c r="A6922" s="21"/>
      <c r="B6922"/>
      <c r="F6922" s="87"/>
      <c r="H6922" s="87"/>
      <c r="I6922" s="89"/>
    </row>
    <row r="6923" spans="1:9">
      <c r="A6923" s="21"/>
      <c r="B6923"/>
      <c r="F6923" s="87"/>
      <c r="H6923" s="87"/>
      <c r="I6923" s="89"/>
    </row>
    <row r="6924" spans="1:9">
      <c r="A6924" s="21"/>
      <c r="B6924"/>
      <c r="F6924" s="87"/>
      <c r="H6924" s="87"/>
      <c r="I6924" s="89"/>
    </row>
    <row r="6925" spans="1:9">
      <c r="A6925" s="21"/>
      <c r="B6925"/>
      <c r="F6925" s="87"/>
      <c r="H6925" s="87"/>
      <c r="I6925" s="89"/>
    </row>
    <row r="6926" spans="1:9">
      <c r="A6926" s="21"/>
      <c r="B6926"/>
      <c r="F6926" s="87"/>
      <c r="H6926" s="87"/>
      <c r="I6926" s="89"/>
    </row>
    <row r="6927" spans="1:9">
      <c r="A6927" s="21"/>
      <c r="B6927"/>
      <c r="F6927" s="87"/>
      <c r="H6927" s="87"/>
      <c r="I6927" s="89"/>
    </row>
    <row r="6928" spans="1:9">
      <c r="A6928" s="21"/>
      <c r="B6928"/>
      <c r="F6928" s="87"/>
      <c r="H6928" s="87"/>
      <c r="I6928" s="89"/>
    </row>
    <row r="6929" spans="1:9">
      <c r="A6929" s="21"/>
      <c r="B6929"/>
      <c r="F6929" s="87"/>
      <c r="H6929" s="87"/>
      <c r="I6929" s="89"/>
    </row>
    <row r="6930" spans="1:9">
      <c r="A6930" s="21"/>
      <c r="B6930"/>
      <c r="F6930" s="87"/>
      <c r="H6930" s="87"/>
      <c r="I6930" s="89"/>
    </row>
    <row r="6931" spans="1:9">
      <c r="A6931" s="21"/>
      <c r="B6931"/>
      <c r="F6931" s="87"/>
      <c r="H6931" s="87"/>
      <c r="I6931" s="89"/>
    </row>
    <row r="6932" spans="1:9">
      <c r="A6932" s="21"/>
      <c r="B6932"/>
      <c r="F6932" s="87"/>
      <c r="H6932" s="87"/>
      <c r="I6932" s="89"/>
    </row>
    <row r="6933" spans="1:9">
      <c r="A6933" s="21"/>
      <c r="B6933"/>
      <c r="F6933" s="87"/>
      <c r="H6933" s="87"/>
      <c r="I6933" s="89"/>
    </row>
    <row r="6934" spans="1:9">
      <c r="A6934" s="21"/>
      <c r="B6934"/>
      <c r="F6934" s="87"/>
      <c r="H6934" s="87"/>
      <c r="I6934" s="89"/>
    </row>
    <row r="6935" spans="1:9">
      <c r="A6935" s="21"/>
      <c r="B6935"/>
      <c r="F6935" s="87"/>
      <c r="H6935" s="87"/>
      <c r="I6935" s="89"/>
    </row>
    <row r="6936" spans="1:9">
      <c r="A6936" s="21"/>
      <c r="B6936"/>
      <c r="F6936" s="87"/>
      <c r="H6936" s="87"/>
      <c r="I6936" s="89"/>
    </row>
    <row r="6937" spans="1:9">
      <c r="A6937" s="21"/>
      <c r="B6937"/>
      <c r="F6937" s="87"/>
      <c r="H6937" s="87"/>
      <c r="I6937" s="89"/>
    </row>
    <row r="6938" spans="1:9">
      <c r="A6938" s="21"/>
      <c r="B6938"/>
      <c r="F6938" s="87"/>
      <c r="H6938" s="87"/>
      <c r="I6938" s="89"/>
    </row>
    <row r="6939" spans="1:9">
      <c r="A6939" s="21"/>
      <c r="B6939"/>
      <c r="F6939" s="87"/>
      <c r="H6939" s="87"/>
      <c r="I6939" s="89"/>
    </row>
    <row r="6940" spans="1:9">
      <c r="A6940" s="21"/>
      <c r="B6940"/>
      <c r="F6940" s="87"/>
      <c r="H6940" s="87"/>
      <c r="I6940" s="89"/>
    </row>
    <row r="6941" spans="1:9">
      <c r="A6941" s="21"/>
      <c r="B6941"/>
      <c r="F6941" s="87"/>
      <c r="H6941" s="87"/>
      <c r="I6941" s="89"/>
    </row>
    <row r="6942" spans="1:9">
      <c r="A6942" s="21"/>
      <c r="B6942"/>
      <c r="F6942" s="87"/>
      <c r="H6942" s="87"/>
      <c r="I6942" s="89"/>
    </row>
    <row r="6943" spans="1:9">
      <c r="A6943" s="21"/>
      <c r="B6943"/>
      <c r="F6943" s="87"/>
      <c r="H6943" s="87"/>
      <c r="I6943" s="89"/>
    </row>
    <row r="6944" spans="1:9">
      <c r="A6944" s="21"/>
      <c r="B6944"/>
      <c r="F6944" s="87"/>
      <c r="H6944" s="87"/>
      <c r="I6944" s="89"/>
    </row>
    <row r="6945" spans="1:9">
      <c r="A6945" s="21"/>
      <c r="B6945"/>
      <c r="F6945" s="87"/>
      <c r="H6945" s="87"/>
      <c r="I6945" s="89"/>
    </row>
    <row r="6946" spans="1:9">
      <c r="A6946" s="21"/>
      <c r="B6946"/>
      <c r="F6946" s="87"/>
      <c r="H6946" s="87"/>
      <c r="I6946" s="89"/>
    </row>
    <row r="6947" spans="1:9">
      <c r="A6947" s="21"/>
      <c r="B6947"/>
      <c r="F6947" s="87"/>
      <c r="H6947" s="87"/>
      <c r="I6947" s="89"/>
    </row>
    <row r="6948" spans="1:9">
      <c r="A6948" s="21"/>
      <c r="B6948"/>
      <c r="F6948" s="87"/>
      <c r="H6948" s="87"/>
      <c r="I6948" s="89"/>
    </row>
    <row r="6949" spans="1:9">
      <c r="A6949" s="21"/>
      <c r="B6949"/>
      <c r="F6949" s="87"/>
      <c r="H6949" s="87"/>
      <c r="I6949" s="89"/>
    </row>
    <row r="6950" spans="1:9">
      <c r="A6950" s="21"/>
      <c r="B6950"/>
      <c r="F6950" s="87"/>
      <c r="H6950" s="87"/>
      <c r="I6950" s="89"/>
    </row>
    <row r="6951" spans="1:9">
      <c r="A6951" s="21"/>
      <c r="B6951"/>
      <c r="F6951" s="87"/>
      <c r="H6951" s="87"/>
      <c r="I6951" s="89"/>
    </row>
    <row r="6952" spans="1:9">
      <c r="A6952" s="21"/>
      <c r="B6952"/>
      <c r="F6952" s="87"/>
      <c r="H6952" s="87"/>
      <c r="I6952" s="89"/>
    </row>
    <row r="6953" spans="1:9">
      <c r="A6953" s="21"/>
      <c r="B6953"/>
      <c r="F6953" s="87"/>
      <c r="H6953" s="87"/>
      <c r="I6953" s="89"/>
    </row>
    <row r="6954" spans="1:9">
      <c r="A6954" s="21"/>
      <c r="B6954"/>
      <c r="F6954" s="87"/>
      <c r="H6954" s="87"/>
      <c r="I6954" s="89"/>
    </row>
    <row r="6955" spans="1:9">
      <c r="A6955" s="21"/>
      <c r="B6955"/>
      <c r="F6955" s="87"/>
      <c r="H6955" s="87"/>
      <c r="I6955" s="89"/>
    </row>
    <row r="6956" spans="1:9">
      <c r="A6956" s="21"/>
      <c r="B6956"/>
      <c r="F6956" s="87"/>
      <c r="H6956" s="87"/>
      <c r="I6956" s="89"/>
    </row>
    <row r="6957" spans="1:9">
      <c r="A6957" s="21"/>
      <c r="B6957"/>
      <c r="F6957" s="87"/>
      <c r="H6957" s="87"/>
      <c r="I6957" s="89"/>
    </row>
    <row r="6958" spans="1:9">
      <c r="A6958" s="21"/>
      <c r="B6958"/>
      <c r="F6958" s="87"/>
      <c r="H6958" s="87"/>
      <c r="I6958" s="89"/>
    </row>
    <row r="6959" spans="1:9">
      <c r="A6959" s="21"/>
      <c r="B6959"/>
      <c r="F6959" s="87"/>
      <c r="H6959" s="87"/>
      <c r="I6959" s="89"/>
    </row>
    <row r="6960" spans="1:9">
      <c r="A6960" s="21"/>
      <c r="B6960"/>
      <c r="F6960" s="87"/>
      <c r="H6960" s="87"/>
      <c r="I6960" s="89"/>
    </row>
    <row r="6961" spans="1:9">
      <c r="A6961" s="21"/>
      <c r="B6961"/>
      <c r="F6961" s="87"/>
      <c r="H6961" s="87"/>
      <c r="I6961" s="89"/>
    </row>
    <row r="6962" spans="1:9">
      <c r="A6962" s="21"/>
      <c r="B6962"/>
      <c r="F6962" s="87"/>
      <c r="H6962" s="87"/>
      <c r="I6962" s="89"/>
    </row>
    <row r="6963" spans="1:9">
      <c r="A6963" s="21"/>
      <c r="B6963"/>
      <c r="F6963" s="87"/>
      <c r="H6963" s="87"/>
      <c r="I6963" s="89"/>
    </row>
    <row r="6964" spans="1:9">
      <c r="A6964" s="21"/>
      <c r="B6964"/>
      <c r="F6964" s="87"/>
      <c r="H6964" s="87"/>
      <c r="I6964" s="89"/>
    </row>
    <row r="6965" spans="1:9">
      <c r="A6965" s="21"/>
      <c r="B6965"/>
      <c r="F6965" s="87"/>
      <c r="H6965" s="87"/>
      <c r="I6965" s="89"/>
    </row>
    <row r="6966" spans="1:9">
      <c r="A6966" s="21"/>
      <c r="B6966"/>
      <c r="F6966" s="87"/>
      <c r="H6966" s="87"/>
      <c r="I6966" s="89"/>
    </row>
    <row r="6967" spans="1:9">
      <c r="A6967" s="21"/>
      <c r="B6967"/>
      <c r="F6967" s="87"/>
      <c r="H6967" s="87"/>
      <c r="I6967" s="89"/>
    </row>
    <row r="6968" spans="1:9">
      <c r="A6968" s="21"/>
      <c r="B6968"/>
      <c r="F6968" s="87"/>
      <c r="H6968" s="87"/>
      <c r="I6968" s="89"/>
    </row>
    <row r="6969" spans="1:9">
      <c r="A6969" s="21"/>
      <c r="B6969"/>
      <c r="F6969" s="87"/>
      <c r="H6969" s="87"/>
      <c r="I6969" s="89"/>
    </row>
    <row r="6970" spans="1:9">
      <c r="A6970" s="21"/>
      <c r="B6970"/>
      <c r="F6970" s="87"/>
      <c r="H6970" s="87"/>
      <c r="I6970" s="89"/>
    </row>
    <row r="6971" spans="1:9">
      <c r="A6971" s="21"/>
      <c r="B6971"/>
      <c r="F6971" s="87"/>
      <c r="H6971" s="87"/>
      <c r="I6971" s="89"/>
    </row>
    <row r="6972" spans="1:9">
      <c r="A6972" s="21"/>
      <c r="B6972"/>
      <c r="F6972" s="87"/>
      <c r="H6972" s="87"/>
      <c r="I6972" s="89"/>
    </row>
    <row r="6973" spans="1:9">
      <c r="A6973" s="21"/>
      <c r="B6973"/>
      <c r="F6973" s="87"/>
      <c r="H6973" s="87"/>
      <c r="I6973" s="89"/>
    </row>
    <row r="6974" spans="1:9">
      <c r="A6974" s="21"/>
      <c r="B6974"/>
      <c r="F6974" s="87"/>
      <c r="H6974" s="87"/>
      <c r="I6974" s="89"/>
    </row>
    <row r="6975" spans="1:9">
      <c r="A6975" s="21"/>
      <c r="B6975"/>
      <c r="F6975" s="87"/>
      <c r="H6975" s="87"/>
      <c r="I6975" s="89"/>
    </row>
    <row r="6976" spans="1:9">
      <c r="A6976" s="21"/>
      <c r="B6976"/>
      <c r="F6976" s="87"/>
      <c r="H6976" s="87"/>
      <c r="I6976" s="89"/>
    </row>
    <row r="6977" spans="1:9">
      <c r="A6977" s="21"/>
      <c r="B6977"/>
      <c r="F6977" s="87"/>
      <c r="H6977" s="87"/>
      <c r="I6977" s="89"/>
    </row>
    <row r="6978" spans="1:9">
      <c r="A6978" s="21"/>
      <c r="B6978"/>
      <c r="F6978" s="87"/>
      <c r="H6978" s="87"/>
      <c r="I6978" s="89"/>
    </row>
    <row r="6979" spans="1:9">
      <c r="A6979" s="21"/>
      <c r="B6979"/>
      <c r="F6979" s="87"/>
      <c r="H6979" s="87"/>
      <c r="I6979" s="89"/>
    </row>
    <row r="6980" spans="1:9">
      <c r="A6980" s="21"/>
      <c r="B6980"/>
      <c r="F6980" s="87"/>
      <c r="H6980" s="87"/>
      <c r="I6980" s="89"/>
    </row>
    <row r="6981" spans="1:9">
      <c r="A6981" s="21"/>
      <c r="B6981"/>
      <c r="F6981" s="87"/>
      <c r="H6981" s="87"/>
      <c r="I6981" s="89"/>
    </row>
    <row r="6982" spans="1:9">
      <c r="A6982" s="21"/>
      <c r="B6982"/>
      <c r="F6982" s="87"/>
      <c r="H6982" s="87"/>
      <c r="I6982" s="89"/>
    </row>
    <row r="6983" spans="1:9">
      <c r="A6983" s="21"/>
      <c r="B6983"/>
      <c r="F6983" s="87"/>
      <c r="H6983" s="87"/>
      <c r="I6983" s="89"/>
    </row>
    <row r="6984" spans="1:9">
      <c r="A6984" s="21"/>
      <c r="B6984"/>
      <c r="F6984" s="87"/>
      <c r="H6984" s="87"/>
      <c r="I6984" s="89"/>
    </row>
    <row r="6985" spans="1:9">
      <c r="A6985" s="21"/>
      <c r="B6985"/>
      <c r="F6985" s="87"/>
      <c r="H6985" s="87"/>
      <c r="I6985" s="89"/>
    </row>
    <row r="6986" spans="1:9">
      <c r="A6986" s="21"/>
      <c r="B6986"/>
      <c r="F6986" s="87"/>
      <c r="H6986" s="87"/>
      <c r="I6986" s="89"/>
    </row>
    <row r="6987" spans="1:9">
      <c r="A6987" s="21"/>
      <c r="B6987"/>
      <c r="F6987" s="87"/>
      <c r="H6987" s="87"/>
      <c r="I6987" s="89"/>
    </row>
    <row r="6988" spans="1:9">
      <c r="A6988" s="21"/>
      <c r="B6988"/>
      <c r="F6988" s="87"/>
      <c r="H6988" s="87"/>
      <c r="I6988" s="89"/>
    </row>
    <row r="6989" spans="1:9">
      <c r="A6989" s="21"/>
      <c r="B6989"/>
      <c r="F6989" s="87"/>
      <c r="H6989" s="87"/>
      <c r="I6989" s="89"/>
    </row>
    <row r="6990" spans="1:9">
      <c r="A6990" s="21"/>
      <c r="B6990"/>
      <c r="F6990" s="87"/>
      <c r="H6990" s="87"/>
      <c r="I6990" s="89"/>
    </row>
    <row r="6991" spans="1:9">
      <c r="A6991" s="21"/>
      <c r="B6991"/>
      <c r="F6991" s="87"/>
      <c r="H6991" s="87"/>
      <c r="I6991" s="89"/>
    </row>
    <row r="6992" spans="1:9">
      <c r="A6992" s="21"/>
      <c r="B6992"/>
      <c r="F6992" s="87"/>
      <c r="H6992" s="87"/>
      <c r="I6992" s="89"/>
    </row>
    <row r="6993" spans="1:9">
      <c r="A6993" s="21"/>
      <c r="B6993"/>
      <c r="F6993" s="87"/>
      <c r="H6993" s="87"/>
      <c r="I6993" s="89"/>
    </row>
    <row r="6994" spans="1:9">
      <c r="A6994" s="21"/>
      <c r="B6994"/>
      <c r="F6994" s="87"/>
      <c r="H6994" s="87"/>
      <c r="I6994" s="89"/>
    </row>
    <row r="6995" spans="1:9">
      <c r="A6995" s="21"/>
      <c r="B6995"/>
      <c r="F6995" s="87"/>
      <c r="H6995" s="87"/>
      <c r="I6995" s="89"/>
    </row>
    <row r="6996" spans="1:9">
      <c r="A6996" s="21"/>
      <c r="B6996"/>
      <c r="F6996" s="87"/>
      <c r="H6996" s="87"/>
      <c r="I6996" s="89"/>
    </row>
    <row r="6997" spans="1:9">
      <c r="A6997" s="21"/>
      <c r="B6997"/>
      <c r="F6997" s="87"/>
      <c r="H6997" s="87"/>
      <c r="I6997" s="89"/>
    </row>
    <row r="6998" spans="1:9">
      <c r="A6998" s="21"/>
      <c r="B6998"/>
      <c r="F6998" s="87"/>
      <c r="H6998" s="87"/>
      <c r="I6998" s="89"/>
    </row>
    <row r="6999" spans="1:9">
      <c r="A6999" s="21"/>
      <c r="B6999"/>
      <c r="F6999" s="87"/>
      <c r="H6999" s="87"/>
      <c r="I6999" s="89"/>
    </row>
    <row r="7000" spans="1:9">
      <c r="A7000" s="21"/>
      <c r="B7000"/>
      <c r="F7000" s="87"/>
      <c r="H7000" s="87"/>
      <c r="I7000" s="89"/>
    </row>
    <row r="7001" spans="1:9">
      <c r="A7001" s="21"/>
      <c r="B7001"/>
      <c r="F7001" s="87"/>
      <c r="H7001" s="87"/>
      <c r="I7001" s="89"/>
    </row>
    <row r="7002" spans="1:9">
      <c r="A7002" s="21"/>
      <c r="B7002"/>
      <c r="F7002" s="87"/>
      <c r="H7002" s="87"/>
      <c r="I7002" s="89"/>
    </row>
    <row r="7003" spans="1:9">
      <c r="A7003" s="21"/>
      <c r="B7003"/>
      <c r="F7003" s="87"/>
      <c r="H7003" s="87"/>
      <c r="I7003" s="89"/>
    </row>
    <row r="7004" spans="1:9">
      <c r="A7004" s="21"/>
      <c r="B7004"/>
      <c r="F7004" s="87"/>
      <c r="H7004" s="87"/>
      <c r="I7004" s="89"/>
    </row>
    <row r="7005" spans="1:9">
      <c r="A7005" s="21"/>
      <c r="B7005"/>
      <c r="F7005" s="87"/>
      <c r="H7005" s="87"/>
      <c r="I7005" s="89"/>
    </row>
    <row r="7006" spans="1:9">
      <c r="A7006" s="21"/>
      <c r="B7006"/>
      <c r="F7006" s="87"/>
      <c r="H7006" s="87"/>
      <c r="I7006" s="89"/>
    </row>
    <row r="7007" spans="1:9">
      <c r="A7007" s="21"/>
      <c r="B7007"/>
      <c r="F7007" s="87"/>
      <c r="H7007" s="87"/>
      <c r="I7007" s="89"/>
    </row>
    <row r="7008" spans="1:9">
      <c r="A7008" s="21"/>
      <c r="B7008"/>
      <c r="F7008" s="87"/>
      <c r="H7008" s="87"/>
      <c r="I7008" s="89"/>
    </row>
    <row r="7009" spans="1:9">
      <c r="A7009" s="21"/>
      <c r="B7009"/>
      <c r="F7009" s="87"/>
      <c r="H7009" s="87"/>
      <c r="I7009" s="89"/>
    </row>
    <row r="7010" spans="1:9">
      <c r="A7010" s="21"/>
      <c r="B7010"/>
      <c r="F7010" s="87"/>
      <c r="H7010" s="87"/>
      <c r="I7010" s="89"/>
    </row>
    <row r="7011" spans="1:9">
      <c r="A7011" s="21"/>
      <c r="B7011"/>
      <c r="F7011" s="87"/>
      <c r="H7011" s="87"/>
      <c r="I7011" s="89"/>
    </row>
    <row r="7012" spans="1:9">
      <c r="A7012" s="21"/>
      <c r="B7012"/>
      <c r="F7012" s="87"/>
      <c r="H7012" s="87"/>
      <c r="I7012" s="89"/>
    </row>
    <row r="7013" spans="1:9">
      <c r="A7013" s="21"/>
      <c r="B7013"/>
      <c r="F7013" s="87"/>
      <c r="H7013" s="87"/>
      <c r="I7013" s="89"/>
    </row>
    <row r="7014" spans="1:9">
      <c r="A7014" s="21"/>
      <c r="B7014"/>
      <c r="F7014" s="87"/>
      <c r="H7014" s="87"/>
      <c r="I7014" s="89"/>
    </row>
    <row r="7015" spans="1:9">
      <c r="A7015" s="21"/>
      <c r="B7015"/>
      <c r="F7015" s="87"/>
      <c r="H7015" s="87"/>
      <c r="I7015" s="89"/>
    </row>
    <row r="7016" spans="1:9">
      <c r="A7016" s="21"/>
      <c r="B7016"/>
      <c r="F7016" s="87"/>
      <c r="H7016" s="87"/>
      <c r="I7016" s="89"/>
    </row>
    <row r="7017" spans="1:9">
      <c r="A7017" s="21"/>
      <c r="B7017"/>
      <c r="F7017" s="87"/>
      <c r="H7017" s="87"/>
      <c r="I7017" s="89"/>
    </row>
    <row r="7018" spans="1:9">
      <c r="A7018" s="21"/>
      <c r="B7018"/>
      <c r="F7018" s="87"/>
      <c r="H7018" s="87"/>
      <c r="I7018" s="89"/>
    </row>
    <row r="7019" spans="1:9">
      <c r="A7019" s="21"/>
      <c r="B7019"/>
      <c r="F7019" s="87"/>
      <c r="H7019" s="87"/>
      <c r="I7019" s="89"/>
    </row>
    <row r="7020" spans="1:9">
      <c r="A7020" s="21"/>
      <c r="B7020"/>
      <c r="F7020" s="87"/>
      <c r="H7020" s="87"/>
      <c r="I7020" s="89"/>
    </row>
    <row r="7021" spans="1:9">
      <c r="A7021" s="21"/>
      <c r="B7021"/>
      <c r="F7021" s="87"/>
      <c r="H7021" s="87"/>
      <c r="I7021" s="89"/>
    </row>
    <row r="7022" spans="1:9">
      <c r="A7022" s="21"/>
      <c r="B7022"/>
      <c r="F7022" s="87"/>
      <c r="H7022" s="87"/>
      <c r="I7022" s="89"/>
    </row>
    <row r="7023" spans="1:9">
      <c r="A7023" s="21"/>
      <c r="B7023"/>
      <c r="F7023" s="87"/>
      <c r="H7023" s="87"/>
      <c r="I7023" s="89"/>
    </row>
    <row r="7024" spans="1:9">
      <c r="A7024" s="21"/>
      <c r="B7024"/>
      <c r="F7024" s="87"/>
      <c r="H7024" s="87"/>
      <c r="I7024" s="89"/>
    </row>
    <row r="7025" spans="1:9">
      <c r="A7025" s="21"/>
      <c r="B7025"/>
      <c r="F7025" s="87"/>
      <c r="H7025" s="87"/>
      <c r="I7025" s="89"/>
    </row>
    <row r="7026" spans="1:9">
      <c r="A7026" s="21"/>
      <c r="B7026"/>
      <c r="F7026" s="87"/>
      <c r="H7026" s="87"/>
      <c r="I7026" s="89"/>
    </row>
    <row r="7027" spans="1:9">
      <c r="A7027" s="21"/>
      <c r="B7027"/>
      <c r="F7027" s="87"/>
      <c r="H7027" s="87"/>
      <c r="I7027" s="89"/>
    </row>
    <row r="7028" spans="1:9">
      <c r="A7028" s="21"/>
      <c r="B7028"/>
      <c r="F7028" s="87"/>
      <c r="H7028" s="87"/>
      <c r="I7028" s="89"/>
    </row>
    <row r="7029" spans="1:9">
      <c r="A7029" s="21"/>
      <c r="B7029"/>
      <c r="F7029" s="87"/>
      <c r="H7029" s="87"/>
      <c r="I7029" s="89"/>
    </row>
    <row r="7030" spans="1:9">
      <c r="A7030" s="21"/>
      <c r="B7030"/>
      <c r="F7030" s="87"/>
      <c r="H7030" s="87"/>
      <c r="I7030" s="89"/>
    </row>
    <row r="7031" spans="1:9">
      <c r="A7031" s="21"/>
      <c r="B7031"/>
      <c r="F7031" s="87"/>
      <c r="H7031" s="87"/>
      <c r="I7031" s="89"/>
    </row>
    <row r="7032" spans="1:9">
      <c r="A7032" s="21"/>
      <c r="B7032"/>
      <c r="F7032" s="87"/>
      <c r="H7032" s="87"/>
      <c r="I7032" s="89"/>
    </row>
    <row r="7033" spans="1:9">
      <c r="A7033" s="21"/>
      <c r="B7033"/>
      <c r="F7033" s="87"/>
      <c r="H7033" s="87"/>
      <c r="I7033" s="89"/>
    </row>
    <row r="7034" spans="1:9">
      <c r="A7034" s="21"/>
      <c r="B7034"/>
      <c r="F7034" s="87"/>
      <c r="H7034" s="87"/>
      <c r="I7034" s="89"/>
    </row>
    <row r="7035" spans="1:9">
      <c r="A7035" s="21"/>
      <c r="B7035"/>
      <c r="F7035" s="87"/>
      <c r="H7035" s="87"/>
      <c r="I7035" s="89"/>
    </row>
    <row r="7036" spans="1:9">
      <c r="A7036" s="21"/>
      <c r="B7036"/>
      <c r="F7036" s="87"/>
      <c r="H7036" s="87"/>
      <c r="I7036" s="89"/>
    </row>
    <row r="7037" spans="1:9">
      <c r="A7037" s="21"/>
      <c r="B7037"/>
      <c r="F7037" s="87"/>
      <c r="H7037" s="87"/>
      <c r="I7037" s="89"/>
    </row>
    <row r="7038" spans="1:9">
      <c r="A7038" s="21"/>
      <c r="B7038"/>
      <c r="F7038" s="87"/>
      <c r="H7038" s="87"/>
      <c r="I7038" s="89"/>
    </row>
    <row r="7039" spans="1:9">
      <c r="A7039" s="21"/>
      <c r="B7039"/>
      <c r="F7039" s="87"/>
      <c r="H7039" s="87"/>
      <c r="I7039" s="89"/>
    </row>
    <row r="7040" spans="1:9">
      <c r="A7040" s="21"/>
      <c r="B7040"/>
      <c r="F7040" s="87"/>
      <c r="H7040" s="87"/>
      <c r="I7040" s="89"/>
    </row>
    <row r="7041" spans="1:9">
      <c r="A7041" s="21"/>
      <c r="B7041"/>
      <c r="F7041" s="87"/>
      <c r="H7041" s="87"/>
      <c r="I7041" s="89"/>
    </row>
    <row r="7042" spans="1:9">
      <c r="A7042" s="21"/>
      <c r="B7042"/>
      <c r="F7042" s="87"/>
      <c r="H7042" s="87"/>
      <c r="I7042" s="89"/>
    </row>
    <row r="7043" spans="1:9">
      <c r="A7043" s="21"/>
      <c r="B7043"/>
      <c r="F7043" s="87"/>
      <c r="H7043" s="87"/>
      <c r="I7043" s="89"/>
    </row>
    <row r="7044" spans="1:9">
      <c r="A7044" s="21"/>
      <c r="B7044"/>
      <c r="F7044" s="87"/>
      <c r="H7044" s="87"/>
      <c r="I7044" s="89"/>
    </row>
    <row r="7045" spans="1:9">
      <c r="A7045" s="21"/>
      <c r="B7045"/>
      <c r="F7045" s="87"/>
      <c r="H7045" s="87"/>
      <c r="I7045" s="89"/>
    </row>
    <row r="7046" spans="1:9">
      <c r="A7046" s="21"/>
      <c r="B7046"/>
      <c r="F7046" s="87"/>
      <c r="H7046" s="87"/>
      <c r="I7046" s="89"/>
    </row>
    <row r="7047" spans="1:9">
      <c r="A7047" s="21"/>
      <c r="B7047"/>
      <c r="F7047" s="87"/>
      <c r="H7047" s="87"/>
      <c r="I7047" s="89"/>
    </row>
    <row r="7048" spans="1:9">
      <c r="A7048" s="21"/>
      <c r="B7048"/>
      <c r="F7048" s="87"/>
      <c r="H7048" s="87"/>
      <c r="I7048" s="89"/>
    </row>
    <row r="7049" spans="1:9">
      <c r="A7049" s="21"/>
      <c r="B7049"/>
      <c r="F7049" s="87"/>
      <c r="H7049" s="87"/>
      <c r="I7049" s="89"/>
    </row>
    <row r="7050" spans="1:9">
      <c r="A7050" s="21"/>
      <c r="B7050"/>
      <c r="F7050" s="87"/>
      <c r="H7050" s="87"/>
      <c r="I7050" s="89"/>
    </row>
    <row r="7051" spans="1:9">
      <c r="A7051" s="21"/>
      <c r="B7051"/>
      <c r="F7051" s="87"/>
      <c r="H7051" s="87"/>
      <c r="I7051" s="89"/>
    </row>
    <row r="7052" spans="1:9">
      <c r="A7052" s="21"/>
      <c r="B7052"/>
      <c r="F7052" s="87"/>
      <c r="H7052" s="87"/>
      <c r="I7052" s="89"/>
    </row>
    <row r="7053" spans="1:9">
      <c r="A7053" s="21"/>
      <c r="B7053"/>
      <c r="F7053" s="87"/>
      <c r="H7053" s="87"/>
      <c r="I7053" s="89"/>
    </row>
    <row r="7054" spans="1:9">
      <c r="A7054" s="21"/>
      <c r="B7054"/>
      <c r="F7054" s="87"/>
      <c r="H7054" s="87"/>
      <c r="I7054" s="89"/>
    </row>
    <row r="7055" spans="1:9">
      <c r="A7055" s="21"/>
      <c r="B7055"/>
      <c r="F7055" s="87"/>
      <c r="H7055" s="87"/>
      <c r="I7055" s="89"/>
    </row>
    <row r="7056" spans="1:9">
      <c r="A7056" s="21"/>
      <c r="B7056"/>
      <c r="F7056" s="87"/>
      <c r="H7056" s="87"/>
      <c r="I7056" s="89"/>
    </row>
    <row r="7057" spans="1:9">
      <c r="A7057" s="21"/>
      <c r="B7057"/>
      <c r="F7057" s="87"/>
      <c r="H7057" s="87"/>
      <c r="I7057" s="89"/>
    </row>
    <row r="7058" spans="1:9">
      <c r="A7058" s="21"/>
      <c r="B7058"/>
      <c r="F7058" s="87"/>
      <c r="H7058" s="87"/>
      <c r="I7058" s="89"/>
    </row>
    <row r="7059" spans="1:9">
      <c r="A7059" s="21"/>
      <c r="B7059"/>
      <c r="F7059" s="87"/>
      <c r="H7059" s="87"/>
      <c r="I7059" s="89"/>
    </row>
    <row r="7060" spans="1:9">
      <c r="A7060" s="21"/>
      <c r="B7060"/>
      <c r="F7060" s="87"/>
      <c r="H7060" s="87"/>
      <c r="I7060" s="89"/>
    </row>
    <row r="7061" spans="1:9">
      <c r="A7061" s="21"/>
      <c r="B7061"/>
      <c r="F7061" s="87"/>
      <c r="H7061" s="87"/>
      <c r="I7061" s="89"/>
    </row>
    <row r="7062" spans="1:9">
      <c r="A7062" s="21"/>
      <c r="B7062"/>
      <c r="F7062" s="87"/>
      <c r="H7062" s="87"/>
      <c r="I7062" s="89"/>
    </row>
    <row r="7063" spans="1:9">
      <c r="A7063" s="21"/>
      <c r="B7063"/>
      <c r="F7063" s="87"/>
      <c r="H7063" s="87"/>
      <c r="I7063" s="89"/>
    </row>
    <row r="7064" spans="1:9">
      <c r="A7064" s="21"/>
      <c r="B7064"/>
      <c r="F7064" s="87"/>
      <c r="H7064" s="87"/>
      <c r="I7064" s="89"/>
    </row>
    <row r="7065" spans="1:9">
      <c r="A7065" s="21"/>
      <c r="B7065"/>
      <c r="F7065" s="87"/>
      <c r="H7065" s="87"/>
      <c r="I7065" s="89"/>
    </row>
    <row r="7066" spans="1:9">
      <c r="A7066" s="21"/>
      <c r="B7066"/>
      <c r="F7066" s="87"/>
      <c r="H7066" s="87"/>
      <c r="I7066" s="89"/>
    </row>
    <row r="7067" spans="1:9">
      <c r="A7067" s="21"/>
      <c r="B7067"/>
      <c r="F7067" s="87"/>
      <c r="H7067" s="87"/>
      <c r="I7067" s="89"/>
    </row>
    <row r="7068" spans="1:9">
      <c r="A7068" s="21"/>
      <c r="B7068"/>
      <c r="F7068" s="87"/>
      <c r="H7068" s="87"/>
      <c r="I7068" s="89"/>
    </row>
    <row r="7069" spans="1:9">
      <c r="A7069" s="21"/>
      <c r="B7069"/>
      <c r="F7069" s="87"/>
      <c r="H7069" s="87"/>
      <c r="I7069" s="89"/>
    </row>
    <row r="7070" spans="1:9">
      <c r="A7070" s="21"/>
      <c r="B7070"/>
      <c r="F7070" s="87"/>
      <c r="H7070" s="87"/>
      <c r="I7070" s="89"/>
    </row>
    <row r="7071" spans="1:9">
      <c r="A7071" s="21"/>
      <c r="B7071"/>
      <c r="F7071" s="87"/>
      <c r="H7071" s="87"/>
      <c r="I7071" s="89"/>
    </row>
    <row r="7072" spans="1:9">
      <c r="A7072" s="21"/>
      <c r="B7072"/>
      <c r="F7072" s="87"/>
      <c r="H7072" s="87"/>
      <c r="I7072" s="89"/>
    </row>
    <row r="7073" spans="1:9">
      <c r="A7073" s="21"/>
      <c r="B7073"/>
      <c r="F7073" s="87"/>
      <c r="H7073" s="87"/>
      <c r="I7073" s="89"/>
    </row>
    <row r="7074" spans="1:9">
      <c r="A7074" s="21"/>
      <c r="B7074"/>
      <c r="F7074" s="87"/>
      <c r="H7074" s="87"/>
      <c r="I7074" s="89"/>
    </row>
    <row r="7075" spans="1:9">
      <c r="A7075" s="21"/>
      <c r="B7075"/>
      <c r="F7075" s="87"/>
      <c r="H7075" s="87"/>
      <c r="I7075" s="89"/>
    </row>
    <row r="7076" spans="1:9">
      <c r="A7076" s="21"/>
      <c r="B7076"/>
      <c r="F7076" s="87"/>
      <c r="H7076" s="87"/>
      <c r="I7076" s="89"/>
    </row>
    <row r="7077" spans="1:9">
      <c r="A7077" s="21"/>
      <c r="B7077"/>
      <c r="F7077" s="87"/>
      <c r="H7077" s="87"/>
      <c r="I7077" s="89"/>
    </row>
    <row r="7078" spans="1:9">
      <c r="A7078" s="21"/>
      <c r="B7078"/>
      <c r="F7078" s="87"/>
      <c r="H7078" s="87"/>
      <c r="I7078" s="89"/>
    </row>
    <row r="7079" spans="1:9">
      <c r="A7079" s="21"/>
      <c r="B7079"/>
      <c r="F7079" s="87"/>
      <c r="H7079" s="87"/>
      <c r="I7079" s="89"/>
    </row>
    <row r="7080" spans="1:9">
      <c r="A7080" s="21"/>
      <c r="B7080"/>
      <c r="F7080" s="87"/>
      <c r="H7080" s="87"/>
      <c r="I7080" s="89"/>
    </row>
    <row r="7081" spans="1:9">
      <c r="A7081" s="21"/>
      <c r="B7081"/>
      <c r="F7081" s="87"/>
      <c r="H7081" s="87"/>
      <c r="I7081" s="89"/>
    </row>
    <row r="7082" spans="1:9">
      <c r="A7082" s="21"/>
      <c r="B7082"/>
      <c r="F7082" s="87"/>
      <c r="H7082" s="87"/>
      <c r="I7082" s="89"/>
    </row>
    <row r="7083" spans="1:9">
      <c r="A7083" s="21"/>
      <c r="B7083"/>
      <c r="F7083" s="87"/>
      <c r="H7083" s="87"/>
      <c r="I7083" s="89"/>
    </row>
    <row r="7084" spans="1:9">
      <c r="A7084" s="21"/>
      <c r="B7084"/>
      <c r="F7084" s="87"/>
      <c r="H7084" s="87"/>
      <c r="I7084" s="89"/>
    </row>
    <row r="7085" spans="1:9">
      <c r="A7085" s="21"/>
      <c r="B7085"/>
      <c r="F7085" s="87"/>
      <c r="H7085" s="87"/>
      <c r="I7085" s="89"/>
    </row>
    <row r="7086" spans="1:9">
      <c r="A7086" s="21"/>
      <c r="B7086"/>
      <c r="F7086" s="87"/>
      <c r="H7086" s="87"/>
      <c r="I7086" s="89"/>
    </row>
    <row r="7087" spans="1:9">
      <c r="A7087" s="21"/>
      <c r="B7087"/>
      <c r="F7087" s="87"/>
      <c r="H7087" s="87"/>
      <c r="I7087" s="89"/>
    </row>
    <row r="7088" spans="1:9">
      <c r="A7088" s="21"/>
      <c r="B7088"/>
      <c r="F7088" s="87"/>
      <c r="H7088" s="87"/>
      <c r="I7088" s="89"/>
    </row>
    <row r="7089" spans="1:9">
      <c r="A7089" s="21"/>
      <c r="B7089"/>
      <c r="F7089" s="87"/>
      <c r="H7089" s="87"/>
      <c r="I7089" s="89"/>
    </row>
    <row r="7090" spans="1:9">
      <c r="A7090" s="21"/>
      <c r="B7090"/>
      <c r="F7090" s="87"/>
      <c r="H7090" s="87"/>
      <c r="I7090" s="89"/>
    </row>
    <row r="7091" spans="1:9">
      <c r="A7091" s="21"/>
      <c r="B7091"/>
      <c r="F7091" s="87"/>
      <c r="H7091" s="87"/>
      <c r="I7091" s="89"/>
    </row>
    <row r="7092" spans="1:9">
      <c r="A7092" s="21"/>
      <c r="B7092"/>
      <c r="F7092" s="87"/>
      <c r="H7092" s="87"/>
      <c r="I7092" s="89"/>
    </row>
    <row r="7093" spans="1:9">
      <c r="A7093" s="21"/>
      <c r="B7093"/>
      <c r="F7093" s="87"/>
      <c r="H7093" s="87"/>
      <c r="I7093" s="89"/>
    </row>
    <row r="7094" spans="1:9">
      <c r="A7094" s="21"/>
      <c r="B7094"/>
      <c r="F7094" s="87"/>
      <c r="H7094" s="87"/>
      <c r="I7094" s="89"/>
    </row>
    <row r="7095" spans="1:9">
      <c r="A7095" s="21"/>
      <c r="B7095"/>
      <c r="F7095" s="87"/>
      <c r="H7095" s="87"/>
      <c r="I7095" s="89"/>
    </row>
    <row r="7096" spans="1:9">
      <c r="A7096" s="21"/>
      <c r="B7096"/>
      <c r="F7096" s="87"/>
      <c r="H7096" s="87"/>
      <c r="I7096" s="89"/>
    </row>
    <row r="7097" spans="1:9">
      <c r="A7097" s="21"/>
      <c r="B7097"/>
      <c r="F7097" s="87"/>
      <c r="H7097" s="87"/>
      <c r="I7097" s="89"/>
    </row>
    <row r="7098" spans="1:9">
      <c r="A7098" s="21"/>
      <c r="B7098"/>
      <c r="F7098" s="87"/>
      <c r="H7098" s="87"/>
      <c r="I7098" s="89"/>
    </row>
    <row r="7099" spans="1:9">
      <c r="A7099" s="21"/>
      <c r="B7099"/>
      <c r="F7099" s="87"/>
      <c r="H7099" s="87"/>
      <c r="I7099" s="89"/>
    </row>
    <row r="7100" spans="1:9">
      <c r="A7100" s="21"/>
      <c r="B7100"/>
      <c r="F7100" s="87"/>
      <c r="H7100" s="87"/>
      <c r="I7100" s="89"/>
    </row>
    <row r="7101" spans="1:9">
      <c r="A7101" s="21"/>
      <c r="B7101"/>
      <c r="F7101" s="87"/>
      <c r="H7101" s="87"/>
      <c r="I7101" s="89"/>
    </row>
    <row r="7102" spans="1:9">
      <c r="A7102" s="21"/>
      <c r="B7102"/>
      <c r="F7102" s="87"/>
      <c r="H7102" s="87"/>
      <c r="I7102" s="89"/>
    </row>
    <row r="7103" spans="1:9">
      <c r="A7103" s="21"/>
      <c r="B7103"/>
      <c r="F7103" s="87"/>
      <c r="H7103" s="87"/>
      <c r="I7103" s="89"/>
    </row>
    <row r="7104" spans="1:9">
      <c r="A7104" s="21"/>
      <c r="B7104"/>
      <c r="F7104" s="87"/>
      <c r="H7104" s="87"/>
      <c r="I7104" s="89"/>
    </row>
    <row r="7105" spans="1:9">
      <c r="A7105" s="21"/>
      <c r="B7105"/>
      <c r="F7105" s="87"/>
      <c r="H7105" s="87"/>
      <c r="I7105" s="89"/>
    </row>
    <row r="7106" spans="1:9">
      <c r="A7106" s="21"/>
      <c r="B7106"/>
      <c r="F7106" s="87"/>
      <c r="H7106" s="87"/>
      <c r="I7106" s="89"/>
    </row>
    <row r="7107" spans="1:9">
      <c r="A7107" s="21"/>
      <c r="B7107"/>
      <c r="F7107" s="87"/>
      <c r="H7107" s="87"/>
      <c r="I7107" s="89"/>
    </row>
    <row r="7108" spans="1:9">
      <c r="A7108" s="21"/>
      <c r="B7108"/>
      <c r="F7108" s="87"/>
      <c r="H7108" s="87"/>
      <c r="I7108" s="89"/>
    </row>
    <row r="7109" spans="1:9">
      <c r="A7109" s="21"/>
      <c r="B7109"/>
      <c r="F7109" s="87"/>
      <c r="H7109" s="87"/>
      <c r="I7109" s="89"/>
    </row>
    <row r="7110" spans="1:9">
      <c r="A7110" s="21"/>
      <c r="B7110"/>
      <c r="F7110" s="87"/>
      <c r="H7110" s="87"/>
      <c r="I7110" s="89"/>
    </row>
    <row r="7111" spans="1:9">
      <c r="A7111" s="21"/>
      <c r="B7111"/>
      <c r="F7111" s="87"/>
      <c r="H7111" s="87"/>
      <c r="I7111" s="89"/>
    </row>
    <row r="7112" spans="1:9">
      <c r="A7112" s="21"/>
      <c r="B7112"/>
      <c r="F7112" s="87"/>
      <c r="H7112" s="87"/>
      <c r="I7112" s="89"/>
    </row>
    <row r="7113" spans="1:9">
      <c r="A7113" s="21"/>
      <c r="B7113"/>
      <c r="F7113" s="87"/>
      <c r="H7113" s="87"/>
      <c r="I7113" s="89"/>
    </row>
    <row r="7114" spans="1:9">
      <c r="A7114" s="21"/>
      <c r="B7114"/>
      <c r="F7114" s="87"/>
      <c r="H7114" s="87"/>
      <c r="I7114" s="89"/>
    </row>
    <row r="7115" spans="1:9">
      <c r="A7115" s="21"/>
      <c r="B7115"/>
      <c r="F7115" s="87"/>
      <c r="H7115" s="87"/>
      <c r="I7115" s="89"/>
    </row>
    <row r="7116" spans="1:9">
      <c r="A7116" s="21"/>
      <c r="B7116"/>
      <c r="F7116" s="87"/>
      <c r="H7116" s="87"/>
      <c r="I7116" s="89"/>
    </row>
    <row r="7117" spans="1:9">
      <c r="A7117" s="21"/>
      <c r="B7117"/>
      <c r="F7117" s="87"/>
      <c r="H7117" s="87"/>
      <c r="I7117" s="89"/>
    </row>
    <row r="7118" spans="1:9">
      <c r="A7118" s="21"/>
      <c r="B7118"/>
      <c r="F7118" s="87"/>
      <c r="H7118" s="87"/>
      <c r="I7118" s="89"/>
    </row>
    <row r="7119" spans="1:9">
      <c r="A7119" s="21"/>
      <c r="B7119"/>
      <c r="F7119" s="87"/>
      <c r="H7119" s="87"/>
      <c r="I7119" s="89"/>
    </row>
    <row r="7120" spans="1:9">
      <c r="A7120" s="21"/>
      <c r="B7120"/>
      <c r="F7120" s="87"/>
      <c r="H7120" s="87"/>
      <c r="I7120" s="89"/>
    </row>
    <row r="7121" spans="1:9">
      <c r="A7121" s="21"/>
      <c r="B7121"/>
      <c r="F7121" s="87"/>
      <c r="H7121" s="87"/>
      <c r="I7121" s="89"/>
    </row>
    <row r="7122" spans="1:9">
      <c r="A7122" s="21"/>
      <c r="B7122"/>
      <c r="F7122" s="87"/>
      <c r="H7122" s="87"/>
      <c r="I7122" s="89"/>
    </row>
    <row r="7123" spans="1:9">
      <c r="A7123" s="21"/>
      <c r="B7123"/>
      <c r="F7123" s="87"/>
      <c r="H7123" s="87"/>
      <c r="I7123" s="89"/>
    </row>
    <row r="7124" spans="1:9">
      <c r="A7124" s="21"/>
      <c r="B7124"/>
      <c r="F7124" s="87"/>
      <c r="H7124" s="87"/>
      <c r="I7124" s="89"/>
    </row>
    <row r="7125" spans="1:9">
      <c r="A7125" s="21"/>
      <c r="B7125"/>
      <c r="F7125" s="87"/>
      <c r="H7125" s="87"/>
      <c r="I7125" s="89"/>
    </row>
    <row r="7126" spans="1:9">
      <c r="A7126" s="21"/>
      <c r="B7126"/>
      <c r="F7126" s="87"/>
      <c r="H7126" s="87"/>
      <c r="I7126" s="89"/>
    </row>
    <row r="7127" spans="1:9">
      <c r="A7127" s="21"/>
      <c r="B7127"/>
      <c r="F7127" s="87"/>
      <c r="H7127" s="87"/>
      <c r="I7127" s="89"/>
    </row>
    <row r="7128" spans="1:9">
      <c r="A7128" s="21"/>
      <c r="B7128"/>
      <c r="F7128" s="87"/>
      <c r="H7128" s="87"/>
      <c r="I7128" s="89"/>
    </row>
    <row r="7129" spans="1:9">
      <c r="A7129" s="21"/>
      <c r="B7129"/>
      <c r="F7129" s="87"/>
      <c r="H7129" s="87"/>
      <c r="I7129" s="89"/>
    </row>
    <row r="7130" spans="1:9">
      <c r="A7130" s="21"/>
      <c r="B7130"/>
      <c r="F7130" s="87"/>
      <c r="H7130" s="87"/>
      <c r="I7130" s="89"/>
    </row>
    <row r="7131" spans="1:9">
      <c r="A7131" s="21"/>
      <c r="B7131"/>
      <c r="F7131" s="87"/>
      <c r="H7131" s="87"/>
      <c r="I7131" s="89"/>
    </row>
    <row r="7132" spans="1:9">
      <c r="A7132" s="21"/>
      <c r="B7132"/>
      <c r="F7132" s="87"/>
      <c r="H7132" s="87"/>
      <c r="I7132" s="89"/>
    </row>
    <row r="7133" spans="1:9">
      <c r="A7133" s="21"/>
      <c r="B7133"/>
      <c r="F7133" s="87"/>
      <c r="H7133" s="87"/>
      <c r="I7133" s="89"/>
    </row>
    <row r="7134" spans="1:9">
      <c r="A7134" s="21"/>
      <c r="B7134"/>
      <c r="F7134" s="87"/>
      <c r="H7134" s="87"/>
      <c r="I7134" s="89"/>
    </row>
    <row r="7135" spans="1:9">
      <c r="A7135" s="21"/>
      <c r="B7135"/>
      <c r="F7135" s="87"/>
      <c r="H7135" s="87"/>
      <c r="I7135" s="89"/>
    </row>
    <row r="7136" spans="1:9">
      <c r="A7136" s="21"/>
      <c r="B7136"/>
      <c r="F7136" s="87"/>
      <c r="H7136" s="87"/>
      <c r="I7136" s="89"/>
    </row>
    <row r="7137" spans="1:9">
      <c r="A7137" s="21"/>
      <c r="B7137"/>
      <c r="F7137" s="87"/>
      <c r="H7137" s="87"/>
      <c r="I7137" s="89"/>
    </row>
    <row r="7138" spans="1:9">
      <c r="A7138" s="21"/>
      <c r="B7138"/>
      <c r="F7138" s="87"/>
      <c r="H7138" s="87"/>
      <c r="I7138" s="89"/>
    </row>
    <row r="7139" spans="1:9">
      <c r="A7139" s="21"/>
      <c r="B7139"/>
      <c r="F7139" s="87"/>
      <c r="H7139" s="87"/>
      <c r="I7139" s="89"/>
    </row>
    <row r="7140" spans="1:9">
      <c r="A7140" s="21"/>
      <c r="B7140"/>
      <c r="F7140" s="87"/>
      <c r="H7140" s="87"/>
      <c r="I7140" s="89"/>
    </row>
    <row r="7141" spans="1:9">
      <c r="A7141" s="21"/>
      <c r="B7141"/>
      <c r="F7141" s="87"/>
      <c r="H7141" s="87"/>
      <c r="I7141" s="89"/>
    </row>
    <row r="7142" spans="1:9">
      <c r="A7142" s="21"/>
      <c r="B7142"/>
      <c r="F7142" s="87"/>
      <c r="H7142" s="87"/>
      <c r="I7142" s="89"/>
    </row>
    <row r="7143" spans="1:9">
      <c r="A7143" s="21"/>
      <c r="B7143"/>
      <c r="F7143" s="87"/>
      <c r="H7143" s="87"/>
      <c r="I7143" s="89"/>
    </row>
    <row r="7144" spans="1:9">
      <c r="A7144" s="21"/>
      <c r="B7144"/>
      <c r="F7144" s="87"/>
      <c r="H7144" s="87"/>
      <c r="I7144" s="89"/>
    </row>
    <row r="7145" spans="1:9">
      <c r="A7145" s="21"/>
      <c r="B7145"/>
      <c r="F7145" s="87"/>
      <c r="H7145" s="87"/>
      <c r="I7145" s="89"/>
    </row>
    <row r="7146" spans="1:9">
      <c r="A7146" s="21"/>
      <c r="B7146"/>
      <c r="F7146" s="87"/>
      <c r="H7146" s="87"/>
      <c r="I7146" s="89"/>
    </row>
    <row r="7147" spans="1:9">
      <c r="A7147" s="21"/>
      <c r="B7147"/>
      <c r="F7147" s="87"/>
      <c r="H7147" s="87"/>
      <c r="I7147" s="89"/>
    </row>
    <row r="7148" spans="1:9">
      <c r="A7148" s="21"/>
      <c r="B7148"/>
      <c r="F7148" s="87"/>
      <c r="H7148" s="87"/>
      <c r="I7148" s="89"/>
    </row>
    <row r="7149" spans="1:9">
      <c r="A7149" s="21"/>
      <c r="B7149"/>
      <c r="F7149" s="87"/>
      <c r="H7149" s="87"/>
      <c r="I7149" s="89"/>
    </row>
    <row r="7150" spans="1:9">
      <c r="A7150" s="21"/>
      <c r="B7150"/>
      <c r="F7150" s="87"/>
      <c r="H7150" s="87"/>
      <c r="I7150" s="89"/>
    </row>
    <row r="7151" spans="1:9">
      <c r="A7151" s="21"/>
      <c r="B7151"/>
      <c r="F7151" s="87"/>
      <c r="H7151" s="87"/>
      <c r="I7151" s="89"/>
    </row>
    <row r="7152" spans="1:9">
      <c r="A7152" s="21"/>
      <c r="B7152"/>
      <c r="F7152" s="87"/>
      <c r="H7152" s="87"/>
      <c r="I7152" s="89"/>
    </row>
    <row r="7153" spans="1:9">
      <c r="A7153" s="21"/>
      <c r="B7153"/>
      <c r="F7153" s="87"/>
      <c r="H7153" s="87"/>
      <c r="I7153" s="89"/>
    </row>
    <row r="7154" spans="1:9">
      <c r="A7154" s="21"/>
      <c r="B7154"/>
      <c r="F7154" s="87"/>
      <c r="H7154" s="87"/>
      <c r="I7154" s="89"/>
    </row>
    <row r="7155" spans="1:9">
      <c r="A7155" s="21"/>
      <c r="B7155"/>
      <c r="F7155" s="87"/>
      <c r="H7155" s="87"/>
      <c r="I7155" s="89"/>
    </row>
    <row r="7156" spans="1:9">
      <c r="A7156" s="21"/>
      <c r="B7156"/>
      <c r="F7156" s="87"/>
      <c r="H7156" s="87"/>
      <c r="I7156" s="89"/>
    </row>
    <row r="7157" spans="1:9">
      <c r="A7157" s="21"/>
      <c r="B7157"/>
      <c r="F7157" s="87"/>
      <c r="H7157" s="87"/>
      <c r="I7157" s="89"/>
    </row>
    <row r="7158" spans="1:9">
      <c r="A7158" s="21"/>
      <c r="B7158"/>
      <c r="F7158" s="87"/>
      <c r="H7158" s="87"/>
      <c r="I7158" s="89"/>
    </row>
    <row r="7159" spans="1:9">
      <c r="A7159" s="21"/>
      <c r="B7159"/>
      <c r="F7159" s="87"/>
      <c r="H7159" s="87"/>
      <c r="I7159" s="89"/>
    </row>
    <row r="7160" spans="1:9">
      <c r="A7160" s="21"/>
      <c r="B7160"/>
      <c r="F7160" s="87"/>
      <c r="H7160" s="87"/>
      <c r="I7160" s="89"/>
    </row>
    <row r="7161" spans="1:9">
      <c r="A7161" s="21"/>
      <c r="B7161"/>
      <c r="F7161" s="87"/>
      <c r="H7161" s="87"/>
      <c r="I7161" s="89"/>
    </row>
    <row r="7162" spans="1:9">
      <c r="A7162" s="21"/>
      <c r="B7162"/>
      <c r="F7162" s="87"/>
      <c r="H7162" s="87"/>
      <c r="I7162" s="89"/>
    </row>
    <row r="7163" spans="1:9">
      <c r="A7163" s="21"/>
      <c r="B7163"/>
      <c r="F7163" s="87"/>
      <c r="H7163" s="87"/>
      <c r="I7163" s="89"/>
    </row>
    <row r="7164" spans="1:9">
      <c r="A7164" s="21"/>
      <c r="B7164"/>
      <c r="F7164" s="87"/>
      <c r="H7164" s="87"/>
      <c r="I7164" s="89"/>
    </row>
    <row r="7165" spans="1:9">
      <c r="A7165" s="21"/>
      <c r="B7165"/>
      <c r="F7165" s="87"/>
      <c r="H7165" s="87"/>
      <c r="I7165" s="89"/>
    </row>
    <row r="7166" spans="1:9">
      <c r="A7166" s="21"/>
      <c r="B7166"/>
      <c r="F7166" s="87"/>
      <c r="H7166" s="87"/>
      <c r="I7166" s="89"/>
    </row>
    <row r="7167" spans="1:9">
      <c r="A7167" s="21"/>
      <c r="B7167"/>
      <c r="F7167" s="87"/>
      <c r="H7167" s="87"/>
      <c r="I7167" s="89"/>
    </row>
    <row r="7168" spans="1:9">
      <c r="A7168" s="21"/>
      <c r="B7168"/>
      <c r="F7168" s="87"/>
      <c r="H7168" s="87"/>
      <c r="I7168" s="89"/>
    </row>
    <row r="7169" spans="1:9">
      <c r="A7169" s="21"/>
      <c r="B7169"/>
      <c r="F7169" s="87"/>
      <c r="H7169" s="87"/>
      <c r="I7169" s="89"/>
    </row>
    <row r="7170" spans="1:9">
      <c r="A7170" s="21"/>
      <c r="B7170"/>
      <c r="F7170" s="87"/>
      <c r="H7170" s="87"/>
      <c r="I7170" s="89"/>
    </row>
    <row r="7171" spans="1:9">
      <c r="A7171" s="21"/>
      <c r="B7171"/>
      <c r="F7171" s="87"/>
      <c r="H7171" s="87"/>
      <c r="I7171" s="89"/>
    </row>
    <row r="7172" spans="1:9">
      <c r="A7172" s="21"/>
      <c r="B7172"/>
      <c r="F7172" s="87"/>
      <c r="H7172" s="87"/>
      <c r="I7172" s="89"/>
    </row>
    <row r="7173" spans="1:9">
      <c r="A7173" s="21"/>
      <c r="B7173"/>
      <c r="F7173" s="87"/>
      <c r="H7173" s="87"/>
      <c r="I7173" s="89"/>
    </row>
    <row r="7174" spans="1:9">
      <c r="A7174" s="21"/>
      <c r="B7174"/>
      <c r="F7174" s="87"/>
      <c r="H7174" s="87"/>
      <c r="I7174" s="89"/>
    </row>
    <row r="7175" spans="1:9">
      <c r="A7175" s="21"/>
      <c r="B7175"/>
      <c r="F7175" s="87"/>
      <c r="H7175" s="87"/>
      <c r="I7175" s="89"/>
    </row>
    <row r="7176" spans="1:9">
      <c r="A7176" s="21"/>
      <c r="B7176"/>
      <c r="F7176" s="87"/>
      <c r="H7176" s="87"/>
      <c r="I7176" s="89"/>
    </row>
    <row r="7177" spans="1:9">
      <c r="A7177" s="21"/>
      <c r="B7177"/>
      <c r="F7177" s="87"/>
      <c r="H7177" s="87"/>
      <c r="I7177" s="89"/>
    </row>
    <row r="7178" spans="1:9">
      <c r="A7178" s="21"/>
      <c r="B7178"/>
      <c r="F7178" s="87"/>
      <c r="H7178" s="87"/>
      <c r="I7178" s="89"/>
    </row>
    <row r="7179" spans="1:9">
      <c r="A7179" s="21"/>
      <c r="B7179"/>
      <c r="F7179" s="87"/>
      <c r="H7179" s="87"/>
      <c r="I7179" s="89"/>
    </row>
    <row r="7180" spans="1:9">
      <c r="A7180" s="21"/>
      <c r="B7180"/>
      <c r="F7180" s="87"/>
      <c r="H7180" s="87"/>
      <c r="I7180" s="89"/>
    </row>
    <row r="7181" spans="1:9">
      <c r="A7181" s="21"/>
      <c r="B7181"/>
      <c r="F7181" s="87"/>
      <c r="H7181" s="87"/>
      <c r="I7181" s="89"/>
    </row>
    <row r="7182" spans="1:9">
      <c r="A7182" s="21"/>
      <c r="B7182"/>
      <c r="F7182" s="87"/>
      <c r="H7182" s="87"/>
      <c r="I7182" s="89"/>
    </row>
    <row r="7183" spans="1:9">
      <c r="A7183" s="21"/>
      <c r="B7183"/>
      <c r="F7183" s="87"/>
      <c r="H7183" s="87"/>
      <c r="I7183" s="89"/>
    </row>
    <row r="7184" spans="1:9">
      <c r="A7184" s="21"/>
      <c r="B7184"/>
      <c r="F7184" s="87"/>
      <c r="H7184" s="87"/>
      <c r="I7184" s="89"/>
    </row>
    <row r="7185" spans="1:9">
      <c r="A7185" s="21"/>
      <c r="B7185"/>
      <c r="F7185" s="87"/>
      <c r="H7185" s="87"/>
      <c r="I7185" s="89"/>
    </row>
    <row r="7186" spans="1:9">
      <c r="A7186" s="21"/>
      <c r="B7186"/>
      <c r="F7186" s="87"/>
      <c r="H7186" s="87"/>
      <c r="I7186" s="89"/>
    </row>
    <row r="7187" spans="1:9">
      <c r="A7187" s="21"/>
      <c r="B7187"/>
      <c r="F7187" s="87"/>
      <c r="H7187" s="87"/>
      <c r="I7187" s="89"/>
    </row>
    <row r="7188" spans="1:9">
      <c r="A7188" s="21"/>
      <c r="B7188"/>
      <c r="F7188" s="87"/>
      <c r="H7188" s="87"/>
      <c r="I7188" s="89"/>
    </row>
    <row r="7189" spans="1:9">
      <c r="A7189" s="21"/>
      <c r="B7189"/>
      <c r="F7189" s="87"/>
      <c r="H7189" s="87"/>
      <c r="I7189" s="89"/>
    </row>
    <row r="7190" spans="1:9">
      <c r="A7190" s="21"/>
      <c r="B7190"/>
      <c r="F7190" s="87"/>
      <c r="H7190" s="87"/>
      <c r="I7190" s="89"/>
    </row>
    <row r="7191" spans="1:9">
      <c r="A7191" s="21"/>
      <c r="B7191"/>
      <c r="F7191" s="87"/>
      <c r="H7191" s="87"/>
      <c r="I7191" s="89"/>
    </row>
    <row r="7192" spans="1:9">
      <c r="A7192" s="21"/>
      <c r="B7192"/>
      <c r="F7192" s="87"/>
      <c r="H7192" s="87"/>
      <c r="I7192" s="89"/>
    </row>
    <row r="7193" spans="1:9">
      <c r="A7193" s="21"/>
      <c r="B7193"/>
      <c r="F7193" s="87"/>
      <c r="H7193" s="87"/>
      <c r="I7193" s="89"/>
    </row>
    <row r="7194" spans="1:9">
      <c r="A7194" s="21"/>
      <c r="B7194"/>
      <c r="F7194" s="87"/>
      <c r="H7194" s="87"/>
      <c r="I7194" s="89"/>
    </row>
    <row r="7195" spans="1:9">
      <c r="A7195" s="21"/>
      <c r="B7195"/>
      <c r="F7195" s="87"/>
      <c r="H7195" s="87"/>
      <c r="I7195" s="89"/>
    </row>
    <row r="7196" spans="1:9">
      <c r="A7196" s="21"/>
      <c r="B7196"/>
      <c r="F7196" s="87"/>
      <c r="H7196" s="87"/>
      <c r="I7196" s="89"/>
    </row>
    <row r="7197" spans="1:9">
      <c r="A7197" s="21"/>
      <c r="B7197"/>
      <c r="F7197" s="87"/>
      <c r="H7197" s="87"/>
      <c r="I7197" s="89"/>
    </row>
    <row r="7198" spans="1:9">
      <c r="A7198" s="21"/>
      <c r="B7198"/>
      <c r="F7198" s="87"/>
      <c r="H7198" s="87"/>
      <c r="I7198" s="89"/>
    </row>
    <row r="7199" spans="1:9">
      <c r="A7199" s="21"/>
      <c r="B7199"/>
      <c r="F7199" s="87"/>
      <c r="H7199" s="87"/>
      <c r="I7199" s="89"/>
    </row>
    <row r="7200" spans="1:9">
      <c r="A7200" s="21"/>
      <c r="B7200"/>
      <c r="F7200" s="87"/>
      <c r="H7200" s="87"/>
      <c r="I7200" s="89"/>
    </row>
    <row r="7201" spans="1:9">
      <c r="A7201" s="21"/>
      <c r="B7201"/>
      <c r="F7201" s="87"/>
      <c r="H7201" s="87"/>
      <c r="I7201" s="89"/>
    </row>
    <row r="7202" spans="1:9">
      <c r="A7202" s="21"/>
      <c r="B7202"/>
      <c r="F7202" s="87"/>
      <c r="H7202" s="87"/>
      <c r="I7202" s="89"/>
    </row>
    <row r="7203" spans="1:9">
      <c r="A7203" s="21"/>
      <c r="B7203"/>
      <c r="F7203" s="87"/>
      <c r="H7203" s="87"/>
      <c r="I7203" s="89"/>
    </row>
    <row r="7204" spans="1:9">
      <c r="A7204" s="21"/>
      <c r="B7204"/>
      <c r="F7204" s="87"/>
      <c r="H7204" s="87"/>
      <c r="I7204" s="89"/>
    </row>
    <row r="7205" spans="1:9">
      <c r="A7205" s="21"/>
      <c r="B7205"/>
      <c r="F7205" s="87"/>
      <c r="H7205" s="87"/>
      <c r="I7205" s="89"/>
    </row>
    <row r="7206" spans="1:9">
      <c r="A7206" s="21"/>
      <c r="B7206"/>
      <c r="F7206" s="87"/>
      <c r="H7206" s="87"/>
      <c r="I7206" s="89"/>
    </row>
    <row r="7207" spans="1:9">
      <c r="A7207" s="21"/>
      <c r="B7207"/>
      <c r="F7207" s="87"/>
      <c r="H7207" s="87"/>
      <c r="I7207" s="89"/>
    </row>
    <row r="7208" spans="1:9">
      <c r="A7208" s="21"/>
      <c r="B7208"/>
      <c r="F7208" s="87"/>
      <c r="H7208" s="87"/>
      <c r="I7208" s="89"/>
    </row>
    <row r="7209" spans="1:9">
      <c r="A7209" s="21"/>
      <c r="B7209"/>
      <c r="F7209" s="87"/>
      <c r="H7209" s="87"/>
      <c r="I7209" s="89"/>
    </row>
    <row r="7210" spans="1:9">
      <c r="A7210" s="21"/>
      <c r="B7210"/>
      <c r="F7210" s="87"/>
      <c r="H7210" s="87"/>
      <c r="I7210" s="89"/>
    </row>
    <row r="7211" spans="1:9">
      <c r="A7211" s="21"/>
      <c r="B7211"/>
      <c r="F7211" s="87"/>
      <c r="H7211" s="87"/>
      <c r="I7211" s="89"/>
    </row>
    <row r="7212" spans="1:9">
      <c r="A7212" s="21"/>
      <c r="B7212"/>
      <c r="F7212" s="87"/>
      <c r="H7212" s="87"/>
      <c r="I7212" s="89"/>
    </row>
    <row r="7213" spans="1:9">
      <c r="A7213" s="21"/>
      <c r="B7213"/>
      <c r="F7213" s="87"/>
      <c r="H7213" s="87"/>
      <c r="I7213" s="89"/>
    </row>
    <row r="7214" spans="1:9">
      <c r="A7214" s="21"/>
      <c r="B7214"/>
      <c r="F7214" s="87"/>
      <c r="H7214" s="87"/>
      <c r="I7214" s="89"/>
    </row>
    <row r="7215" spans="1:9">
      <c r="A7215" s="21"/>
      <c r="B7215"/>
      <c r="F7215" s="87"/>
      <c r="H7215" s="87"/>
      <c r="I7215" s="89"/>
    </row>
    <row r="7216" spans="1:9">
      <c r="A7216" s="21"/>
      <c r="B7216"/>
      <c r="F7216" s="87"/>
      <c r="H7216" s="87"/>
      <c r="I7216" s="89"/>
    </row>
    <row r="7217" spans="1:9">
      <c r="A7217" s="21"/>
      <c r="B7217"/>
      <c r="F7217" s="87"/>
      <c r="H7217" s="87"/>
      <c r="I7217" s="89"/>
    </row>
    <row r="7218" spans="1:9">
      <c r="A7218" s="21"/>
      <c r="B7218"/>
      <c r="F7218" s="87"/>
      <c r="H7218" s="87"/>
      <c r="I7218" s="89"/>
    </row>
    <row r="7219" spans="1:9">
      <c r="A7219" s="21"/>
      <c r="B7219"/>
      <c r="F7219" s="87"/>
      <c r="H7219" s="87"/>
      <c r="I7219" s="89"/>
    </row>
    <row r="7220" spans="1:9">
      <c r="A7220" s="21"/>
      <c r="B7220"/>
      <c r="F7220" s="87"/>
      <c r="H7220" s="87"/>
      <c r="I7220" s="89"/>
    </row>
    <row r="7221" spans="1:9">
      <c r="A7221" s="21"/>
      <c r="B7221"/>
      <c r="F7221" s="87"/>
      <c r="H7221" s="87"/>
      <c r="I7221" s="89"/>
    </row>
    <row r="7222" spans="1:9">
      <c r="A7222" s="21"/>
      <c r="B7222"/>
      <c r="F7222" s="87"/>
      <c r="H7222" s="87"/>
      <c r="I7222" s="89"/>
    </row>
    <row r="7223" spans="1:9">
      <c r="A7223" s="21"/>
      <c r="B7223"/>
      <c r="F7223" s="87"/>
      <c r="H7223" s="87"/>
      <c r="I7223" s="89"/>
    </row>
    <row r="7224" spans="1:9">
      <c r="A7224" s="21"/>
      <c r="B7224"/>
      <c r="F7224" s="87"/>
      <c r="H7224" s="87"/>
      <c r="I7224" s="89"/>
    </row>
    <row r="7225" spans="1:9">
      <c r="A7225" s="21"/>
      <c r="B7225"/>
      <c r="F7225" s="87"/>
      <c r="H7225" s="87"/>
      <c r="I7225" s="89"/>
    </row>
    <row r="7226" spans="1:9">
      <c r="A7226" s="21"/>
      <c r="B7226"/>
      <c r="F7226" s="87"/>
      <c r="H7226" s="87"/>
      <c r="I7226" s="89"/>
    </row>
    <row r="7227" spans="1:9">
      <c r="A7227" s="21"/>
      <c r="B7227"/>
      <c r="F7227" s="87"/>
      <c r="H7227" s="87"/>
      <c r="I7227" s="89"/>
    </row>
    <row r="7228" spans="1:9">
      <c r="A7228" s="21"/>
      <c r="B7228"/>
      <c r="F7228" s="87"/>
      <c r="H7228" s="87"/>
      <c r="I7228" s="89"/>
    </row>
    <row r="7229" spans="1:9">
      <c r="A7229" s="21"/>
      <c r="B7229"/>
      <c r="F7229" s="87"/>
      <c r="H7229" s="87"/>
      <c r="I7229" s="89"/>
    </row>
    <row r="7230" spans="1:9">
      <c r="A7230" s="21"/>
      <c r="B7230"/>
      <c r="F7230" s="87"/>
      <c r="H7230" s="87"/>
      <c r="I7230" s="89"/>
    </row>
    <row r="7231" spans="1:9">
      <c r="A7231" s="21"/>
      <c r="B7231"/>
      <c r="F7231" s="87"/>
      <c r="H7231" s="87"/>
      <c r="I7231" s="89"/>
    </row>
    <row r="7232" spans="1:9">
      <c r="A7232" s="21"/>
      <c r="B7232"/>
      <c r="F7232" s="87"/>
      <c r="H7232" s="87"/>
      <c r="I7232" s="89"/>
    </row>
    <row r="7233" spans="1:9">
      <c r="A7233" s="21"/>
      <c r="B7233"/>
      <c r="F7233" s="87"/>
      <c r="H7233" s="87"/>
      <c r="I7233" s="89"/>
    </row>
    <row r="7234" spans="1:9">
      <c r="A7234" s="21"/>
      <c r="B7234"/>
      <c r="F7234" s="87"/>
      <c r="H7234" s="87"/>
      <c r="I7234" s="89"/>
    </row>
    <row r="7235" spans="1:9">
      <c r="A7235" s="21"/>
      <c r="B7235"/>
      <c r="F7235" s="87"/>
      <c r="H7235" s="87"/>
      <c r="I7235" s="89"/>
    </row>
    <row r="7236" spans="1:9">
      <c r="A7236" s="21"/>
      <c r="B7236"/>
      <c r="F7236" s="87"/>
      <c r="H7236" s="87"/>
      <c r="I7236" s="89"/>
    </row>
    <row r="7237" spans="1:9">
      <c r="A7237" s="21"/>
      <c r="B7237"/>
      <c r="F7237" s="87"/>
      <c r="H7237" s="87"/>
      <c r="I7237" s="89"/>
    </row>
    <row r="7238" spans="1:9">
      <c r="A7238" s="21"/>
      <c r="B7238"/>
      <c r="F7238" s="87"/>
      <c r="H7238" s="87"/>
      <c r="I7238" s="89"/>
    </row>
    <row r="7239" spans="1:9">
      <c r="A7239" s="21"/>
      <c r="B7239"/>
      <c r="F7239" s="87"/>
      <c r="H7239" s="87"/>
      <c r="I7239" s="89"/>
    </row>
    <row r="7240" spans="1:9">
      <c r="A7240" s="21"/>
      <c r="B7240"/>
      <c r="F7240" s="87"/>
      <c r="H7240" s="87"/>
      <c r="I7240" s="89"/>
    </row>
    <row r="7241" spans="1:9">
      <c r="A7241" s="21"/>
      <c r="B7241"/>
      <c r="F7241" s="87"/>
      <c r="H7241" s="87"/>
      <c r="I7241" s="89"/>
    </row>
    <row r="7242" spans="1:9">
      <c r="A7242" s="21"/>
      <c r="B7242"/>
      <c r="F7242" s="87"/>
      <c r="H7242" s="87"/>
      <c r="I7242" s="89"/>
    </row>
    <row r="7243" spans="1:9">
      <c r="A7243" s="21"/>
      <c r="B7243"/>
      <c r="F7243" s="87"/>
      <c r="H7243" s="87"/>
      <c r="I7243" s="89"/>
    </row>
    <row r="7244" spans="1:9">
      <c r="A7244" s="21"/>
      <c r="B7244"/>
      <c r="F7244" s="87"/>
      <c r="H7244" s="87"/>
      <c r="I7244" s="89"/>
    </row>
    <row r="7245" spans="1:9">
      <c r="A7245" s="21"/>
      <c r="B7245"/>
      <c r="F7245" s="87"/>
      <c r="H7245" s="87"/>
      <c r="I7245" s="89"/>
    </row>
    <row r="7246" spans="1:9">
      <c r="A7246" s="21"/>
      <c r="B7246"/>
      <c r="F7246" s="87"/>
      <c r="H7246" s="87"/>
      <c r="I7246" s="89"/>
    </row>
    <row r="7247" spans="1:9">
      <c r="A7247" s="21"/>
      <c r="B7247"/>
      <c r="F7247" s="87"/>
      <c r="H7247" s="87"/>
      <c r="I7247" s="89"/>
    </row>
    <row r="7248" spans="1:9">
      <c r="A7248" s="21"/>
      <c r="B7248"/>
      <c r="F7248" s="87"/>
      <c r="H7248" s="87"/>
      <c r="I7248" s="89"/>
    </row>
    <row r="7249" spans="1:9">
      <c r="A7249" s="21"/>
      <c r="B7249"/>
      <c r="F7249" s="87"/>
      <c r="H7249" s="87"/>
      <c r="I7249" s="89"/>
    </row>
    <row r="7250" spans="1:9">
      <c r="A7250" s="21"/>
      <c r="B7250"/>
      <c r="F7250" s="87"/>
      <c r="H7250" s="87"/>
      <c r="I7250" s="89"/>
    </row>
    <row r="7251" spans="1:9">
      <c r="A7251" s="21"/>
      <c r="B7251"/>
      <c r="F7251" s="87"/>
      <c r="H7251" s="87"/>
      <c r="I7251" s="89"/>
    </row>
    <row r="7252" spans="1:9">
      <c r="A7252" s="21"/>
      <c r="B7252"/>
      <c r="F7252" s="87"/>
      <c r="H7252" s="87"/>
      <c r="I7252" s="89"/>
    </row>
    <row r="7253" spans="1:9">
      <c r="A7253" s="21"/>
      <c r="B7253"/>
      <c r="F7253" s="87"/>
      <c r="H7253" s="87"/>
      <c r="I7253" s="89"/>
    </row>
    <row r="7254" spans="1:9">
      <c r="A7254" s="21"/>
      <c r="B7254"/>
      <c r="F7254" s="87"/>
      <c r="H7254" s="87"/>
      <c r="I7254" s="89"/>
    </row>
    <row r="7255" spans="1:9">
      <c r="A7255" s="21"/>
      <c r="B7255"/>
      <c r="F7255" s="87"/>
      <c r="H7255" s="87"/>
      <c r="I7255" s="89"/>
    </row>
    <row r="7256" spans="1:9">
      <c r="A7256" s="21"/>
      <c r="B7256"/>
      <c r="F7256" s="87"/>
      <c r="H7256" s="87"/>
      <c r="I7256" s="89"/>
    </row>
    <row r="7257" spans="1:9">
      <c r="A7257" s="21"/>
      <c r="B7257"/>
      <c r="F7257" s="87"/>
      <c r="H7257" s="87"/>
      <c r="I7257" s="89"/>
    </row>
    <row r="7258" spans="1:9">
      <c r="A7258" s="21"/>
      <c r="B7258"/>
      <c r="F7258" s="87"/>
      <c r="H7258" s="87"/>
      <c r="I7258" s="89"/>
    </row>
    <row r="7259" spans="1:9">
      <c r="A7259" s="21"/>
      <c r="B7259"/>
      <c r="F7259" s="87"/>
      <c r="H7259" s="87"/>
      <c r="I7259" s="89"/>
    </row>
    <row r="7260" spans="1:9">
      <c r="A7260" s="21"/>
      <c r="B7260"/>
      <c r="F7260" s="87"/>
      <c r="H7260" s="87"/>
      <c r="I7260" s="89"/>
    </row>
    <row r="7261" spans="1:9">
      <c r="A7261" s="21"/>
      <c r="B7261"/>
      <c r="F7261" s="87"/>
      <c r="H7261" s="87"/>
      <c r="I7261" s="89"/>
    </row>
    <row r="7262" spans="1:9">
      <c r="A7262" s="21"/>
      <c r="B7262"/>
      <c r="F7262" s="87"/>
      <c r="H7262" s="87"/>
      <c r="I7262" s="89"/>
    </row>
    <row r="7263" spans="1:9">
      <c r="A7263" s="21"/>
      <c r="B7263"/>
      <c r="F7263" s="87"/>
      <c r="H7263" s="87"/>
      <c r="I7263" s="89"/>
    </row>
    <row r="7264" spans="1:9">
      <c r="A7264" s="21"/>
      <c r="B7264"/>
      <c r="F7264" s="87"/>
      <c r="H7264" s="87"/>
      <c r="I7264" s="89"/>
    </row>
    <row r="7265" spans="1:9">
      <c r="A7265" s="21"/>
      <c r="B7265"/>
      <c r="F7265" s="87"/>
      <c r="H7265" s="87"/>
      <c r="I7265" s="89"/>
    </row>
    <row r="7266" spans="1:9">
      <c r="A7266" s="21"/>
      <c r="B7266"/>
      <c r="F7266" s="87"/>
      <c r="H7266" s="87"/>
      <c r="I7266" s="89"/>
    </row>
    <row r="7267" spans="1:9">
      <c r="A7267" s="21"/>
      <c r="B7267"/>
      <c r="F7267" s="87"/>
      <c r="H7267" s="87"/>
      <c r="I7267" s="89"/>
    </row>
    <row r="7268" spans="1:9">
      <c r="A7268" s="21"/>
      <c r="B7268"/>
      <c r="F7268" s="87"/>
      <c r="H7268" s="87"/>
      <c r="I7268" s="89"/>
    </row>
    <row r="7269" spans="1:9">
      <c r="A7269" s="21"/>
      <c r="B7269"/>
      <c r="F7269" s="87"/>
      <c r="H7269" s="87"/>
      <c r="I7269" s="89"/>
    </row>
    <row r="7270" spans="1:9">
      <c r="A7270" s="21"/>
      <c r="B7270"/>
      <c r="F7270" s="87"/>
      <c r="H7270" s="87"/>
      <c r="I7270" s="89"/>
    </row>
    <row r="7271" spans="1:9">
      <c r="A7271" s="21"/>
      <c r="B7271"/>
      <c r="F7271" s="87"/>
      <c r="H7271" s="87"/>
      <c r="I7271" s="89"/>
    </row>
    <row r="7272" spans="1:9">
      <c r="A7272" s="21"/>
      <c r="B7272"/>
      <c r="F7272" s="87"/>
      <c r="H7272" s="87"/>
      <c r="I7272" s="89"/>
    </row>
    <row r="7273" spans="1:9">
      <c r="A7273" s="21"/>
      <c r="B7273"/>
      <c r="F7273" s="87"/>
      <c r="H7273" s="87"/>
      <c r="I7273" s="89"/>
    </row>
    <row r="7274" spans="1:9">
      <c r="A7274" s="21"/>
      <c r="B7274"/>
      <c r="F7274" s="87"/>
      <c r="H7274" s="87"/>
      <c r="I7274" s="89"/>
    </row>
    <row r="7275" spans="1:9">
      <c r="A7275" s="21"/>
      <c r="B7275"/>
      <c r="F7275" s="87"/>
      <c r="H7275" s="87"/>
      <c r="I7275" s="89"/>
    </row>
    <row r="7276" spans="1:9">
      <c r="A7276" s="21"/>
      <c r="B7276"/>
      <c r="F7276" s="87"/>
      <c r="H7276" s="87"/>
      <c r="I7276" s="89"/>
    </row>
    <row r="7277" spans="1:9">
      <c r="A7277" s="21"/>
      <c r="B7277"/>
      <c r="F7277" s="87"/>
      <c r="H7277" s="87"/>
      <c r="I7277" s="89"/>
    </row>
    <row r="7278" spans="1:9">
      <c r="A7278" s="21"/>
      <c r="B7278"/>
      <c r="F7278" s="87"/>
      <c r="H7278" s="87"/>
      <c r="I7278" s="89"/>
    </row>
    <row r="7279" spans="1:9">
      <c r="A7279" s="21"/>
      <c r="B7279"/>
      <c r="F7279" s="87"/>
      <c r="H7279" s="87"/>
      <c r="I7279" s="89"/>
    </row>
    <row r="7280" spans="1:9">
      <c r="A7280" s="21"/>
      <c r="B7280"/>
      <c r="F7280" s="87"/>
      <c r="H7280" s="87"/>
      <c r="I7280" s="89"/>
    </row>
    <row r="7281" spans="1:9">
      <c r="A7281" s="21"/>
      <c r="B7281"/>
      <c r="F7281" s="87"/>
      <c r="H7281" s="87"/>
      <c r="I7281" s="89"/>
    </row>
    <row r="7282" spans="1:9">
      <c r="A7282" s="21"/>
      <c r="B7282"/>
      <c r="F7282" s="87"/>
      <c r="H7282" s="87"/>
      <c r="I7282" s="89"/>
    </row>
    <row r="7283" spans="1:9">
      <c r="A7283" s="21"/>
      <c r="B7283"/>
      <c r="F7283" s="87"/>
      <c r="H7283" s="87"/>
      <c r="I7283" s="89"/>
    </row>
    <row r="7284" spans="1:9">
      <c r="A7284" s="21"/>
      <c r="B7284"/>
      <c r="F7284" s="87"/>
      <c r="H7284" s="87"/>
      <c r="I7284" s="89"/>
    </row>
    <row r="7285" spans="1:9">
      <c r="A7285" s="21"/>
      <c r="B7285"/>
      <c r="F7285" s="87"/>
      <c r="H7285" s="87"/>
      <c r="I7285" s="89"/>
    </row>
    <row r="7286" spans="1:9">
      <c r="A7286" s="21"/>
      <c r="B7286"/>
      <c r="F7286" s="87"/>
      <c r="H7286" s="87"/>
      <c r="I7286" s="89"/>
    </row>
    <row r="7287" spans="1:9">
      <c r="A7287" s="21"/>
      <c r="B7287"/>
      <c r="F7287" s="87"/>
      <c r="H7287" s="87"/>
      <c r="I7287" s="89"/>
    </row>
    <row r="7288" spans="1:9">
      <c r="A7288" s="21"/>
      <c r="B7288"/>
      <c r="F7288" s="87"/>
      <c r="H7288" s="87"/>
      <c r="I7288" s="89"/>
    </row>
    <row r="7289" spans="1:9">
      <c r="A7289" s="21"/>
      <c r="B7289"/>
      <c r="F7289" s="87"/>
      <c r="H7289" s="87"/>
      <c r="I7289" s="89"/>
    </row>
    <row r="7290" spans="1:9">
      <c r="A7290" s="21"/>
      <c r="B7290"/>
      <c r="F7290" s="87"/>
      <c r="H7290" s="87"/>
      <c r="I7290" s="89"/>
    </row>
    <row r="7291" spans="1:9">
      <c r="A7291" s="21"/>
      <c r="B7291"/>
      <c r="F7291" s="87"/>
      <c r="H7291" s="87"/>
      <c r="I7291" s="89"/>
    </row>
    <row r="7292" spans="1:9">
      <c r="A7292" s="21"/>
      <c r="B7292"/>
      <c r="F7292" s="87"/>
      <c r="H7292" s="87"/>
      <c r="I7292" s="89"/>
    </row>
    <row r="7293" spans="1:9">
      <c r="A7293" s="21"/>
      <c r="B7293"/>
      <c r="F7293" s="87"/>
      <c r="H7293" s="87"/>
      <c r="I7293" s="89"/>
    </row>
    <row r="7294" spans="1:9">
      <c r="A7294" s="21"/>
      <c r="B7294"/>
      <c r="F7294" s="87"/>
      <c r="H7294" s="87"/>
      <c r="I7294" s="89"/>
    </row>
    <row r="7295" spans="1:9">
      <c r="A7295" s="21"/>
      <c r="B7295"/>
      <c r="F7295" s="87"/>
      <c r="H7295" s="87"/>
      <c r="I7295" s="89"/>
    </row>
    <row r="7296" spans="1:9">
      <c r="A7296" s="21"/>
      <c r="B7296"/>
      <c r="F7296" s="87"/>
      <c r="H7296" s="87"/>
      <c r="I7296" s="89"/>
    </row>
    <row r="7297" spans="1:9">
      <c r="A7297" s="21"/>
      <c r="B7297"/>
      <c r="F7297" s="87"/>
      <c r="H7297" s="87"/>
      <c r="I7297" s="89"/>
    </row>
    <row r="7298" spans="1:9">
      <c r="A7298" s="21"/>
      <c r="B7298"/>
      <c r="F7298" s="87"/>
      <c r="H7298" s="87"/>
      <c r="I7298" s="89"/>
    </row>
    <row r="7299" spans="1:9">
      <c r="A7299" s="21"/>
      <c r="B7299"/>
      <c r="F7299" s="87"/>
      <c r="H7299" s="87"/>
      <c r="I7299" s="89"/>
    </row>
    <row r="7300" spans="1:9">
      <c r="A7300" s="21"/>
      <c r="B7300"/>
      <c r="F7300" s="87"/>
      <c r="H7300" s="87"/>
      <c r="I7300" s="89"/>
    </row>
    <row r="7301" spans="1:9">
      <c r="A7301" s="21"/>
      <c r="B7301"/>
      <c r="F7301" s="87"/>
      <c r="H7301" s="87"/>
      <c r="I7301" s="89"/>
    </row>
    <row r="7302" spans="1:9">
      <c r="A7302" s="21"/>
      <c r="B7302"/>
      <c r="F7302" s="87"/>
      <c r="H7302" s="87"/>
      <c r="I7302" s="89"/>
    </row>
    <row r="7303" spans="1:9">
      <c r="A7303" s="21"/>
      <c r="B7303"/>
      <c r="F7303" s="87"/>
      <c r="H7303" s="87"/>
      <c r="I7303" s="89"/>
    </row>
    <row r="7304" spans="1:9">
      <c r="A7304" s="21"/>
      <c r="B7304"/>
      <c r="F7304" s="87"/>
      <c r="H7304" s="87"/>
      <c r="I7304" s="89"/>
    </row>
    <row r="7305" spans="1:9">
      <c r="A7305" s="21"/>
      <c r="B7305"/>
      <c r="F7305" s="87"/>
      <c r="H7305" s="87"/>
      <c r="I7305" s="89"/>
    </row>
    <row r="7306" spans="1:9">
      <c r="A7306" s="21"/>
      <c r="B7306"/>
      <c r="F7306" s="87"/>
      <c r="H7306" s="87"/>
      <c r="I7306" s="89"/>
    </row>
    <row r="7307" spans="1:9">
      <c r="A7307" s="21"/>
      <c r="B7307"/>
      <c r="F7307" s="87"/>
      <c r="H7307" s="87"/>
      <c r="I7307" s="89"/>
    </row>
    <row r="7308" spans="1:9">
      <c r="A7308" s="21"/>
      <c r="B7308"/>
      <c r="F7308" s="87"/>
      <c r="H7308" s="87"/>
      <c r="I7308" s="89"/>
    </row>
    <row r="7309" spans="1:9">
      <c r="A7309" s="21"/>
      <c r="B7309"/>
      <c r="F7309" s="87"/>
      <c r="H7309" s="87"/>
      <c r="I7309" s="89"/>
    </row>
    <row r="7310" spans="1:9">
      <c r="A7310" s="21"/>
      <c r="B7310"/>
      <c r="F7310" s="87"/>
      <c r="H7310" s="87"/>
      <c r="I7310" s="89"/>
    </row>
    <row r="7311" spans="1:9">
      <c r="A7311" s="21"/>
      <c r="B7311"/>
      <c r="F7311" s="87"/>
      <c r="H7311" s="87"/>
      <c r="I7311" s="89"/>
    </row>
    <row r="7312" spans="1:9">
      <c r="A7312" s="21"/>
      <c r="B7312"/>
      <c r="F7312" s="87"/>
      <c r="H7312" s="87"/>
      <c r="I7312" s="89"/>
    </row>
    <row r="7313" spans="1:9">
      <c r="A7313" s="21"/>
      <c r="B7313"/>
      <c r="F7313" s="87"/>
      <c r="H7313" s="87"/>
      <c r="I7313" s="89"/>
    </row>
    <row r="7314" spans="1:9">
      <c r="A7314" s="21"/>
      <c r="B7314"/>
      <c r="F7314" s="87"/>
      <c r="H7314" s="87"/>
      <c r="I7314" s="89"/>
    </row>
    <row r="7315" spans="1:9">
      <c r="A7315" s="21"/>
      <c r="B7315"/>
      <c r="F7315" s="87"/>
      <c r="H7315" s="87"/>
      <c r="I7315" s="89"/>
    </row>
    <row r="7316" spans="1:9">
      <c r="A7316" s="21"/>
      <c r="B7316"/>
      <c r="F7316" s="87"/>
      <c r="H7316" s="87"/>
      <c r="I7316" s="89"/>
    </row>
    <row r="7317" spans="1:9">
      <c r="A7317" s="21"/>
      <c r="B7317"/>
      <c r="F7317" s="87"/>
      <c r="H7317" s="87"/>
      <c r="I7317" s="89"/>
    </row>
    <row r="7318" spans="1:9">
      <c r="A7318" s="21"/>
      <c r="B7318"/>
      <c r="F7318" s="87"/>
      <c r="H7318" s="87"/>
      <c r="I7318" s="89"/>
    </row>
    <row r="7319" spans="1:9">
      <c r="A7319" s="21"/>
      <c r="B7319"/>
      <c r="F7319" s="87"/>
      <c r="H7319" s="87"/>
      <c r="I7319" s="89"/>
    </row>
    <row r="7320" spans="1:9">
      <c r="A7320" s="21"/>
      <c r="B7320"/>
      <c r="F7320" s="87"/>
      <c r="H7320" s="87"/>
      <c r="I7320" s="89"/>
    </row>
    <row r="7321" spans="1:9">
      <c r="A7321" s="21"/>
      <c r="B7321"/>
      <c r="F7321" s="87"/>
      <c r="H7321" s="87"/>
      <c r="I7321" s="89"/>
    </row>
    <row r="7322" spans="1:9">
      <c r="A7322" s="21"/>
      <c r="B7322"/>
      <c r="F7322" s="87"/>
      <c r="H7322" s="87"/>
      <c r="I7322" s="89"/>
    </row>
    <row r="7323" spans="1:9">
      <c r="A7323" s="21"/>
      <c r="B7323"/>
      <c r="F7323" s="87"/>
      <c r="H7323" s="87"/>
      <c r="I7323" s="89"/>
    </row>
    <row r="7324" spans="1:9">
      <c r="A7324" s="21"/>
      <c r="B7324"/>
      <c r="F7324" s="87"/>
      <c r="H7324" s="87"/>
      <c r="I7324" s="89"/>
    </row>
    <row r="7325" spans="1:9">
      <c r="A7325" s="21"/>
      <c r="B7325"/>
      <c r="F7325" s="87"/>
      <c r="H7325" s="87"/>
      <c r="I7325" s="89"/>
    </row>
    <row r="7326" spans="1:9">
      <c r="A7326" s="21"/>
      <c r="B7326"/>
      <c r="F7326" s="87"/>
      <c r="H7326" s="87"/>
      <c r="I7326" s="89"/>
    </row>
    <row r="7327" spans="1:9">
      <c r="A7327" s="21"/>
      <c r="B7327"/>
      <c r="F7327" s="87"/>
      <c r="H7327" s="87"/>
      <c r="I7327" s="89"/>
    </row>
    <row r="7328" spans="1:9">
      <c r="A7328" s="21"/>
      <c r="B7328"/>
      <c r="F7328" s="87"/>
      <c r="H7328" s="87"/>
      <c r="I7328" s="89"/>
    </row>
    <row r="7329" spans="1:9">
      <c r="A7329" s="21"/>
      <c r="B7329"/>
      <c r="F7329" s="87"/>
      <c r="H7329" s="87"/>
      <c r="I7329" s="89"/>
    </row>
    <row r="7330" spans="1:9">
      <c r="A7330" s="21"/>
      <c r="B7330"/>
      <c r="F7330" s="87"/>
      <c r="H7330" s="87"/>
      <c r="I7330" s="89"/>
    </row>
    <row r="7331" spans="1:9">
      <c r="A7331" s="21"/>
      <c r="B7331"/>
      <c r="F7331" s="87"/>
      <c r="H7331" s="87"/>
      <c r="I7331" s="89"/>
    </row>
    <row r="7332" spans="1:9">
      <c r="A7332" s="21"/>
      <c r="B7332"/>
      <c r="F7332" s="87"/>
      <c r="H7332" s="87"/>
      <c r="I7332" s="89"/>
    </row>
    <row r="7333" spans="1:9">
      <c r="A7333" s="21"/>
      <c r="B7333"/>
      <c r="F7333" s="87"/>
      <c r="H7333" s="87"/>
      <c r="I7333" s="89"/>
    </row>
    <row r="7334" spans="1:9">
      <c r="A7334" s="21"/>
      <c r="B7334"/>
      <c r="F7334" s="87"/>
      <c r="H7334" s="87"/>
      <c r="I7334" s="89"/>
    </row>
    <row r="7335" spans="1:9">
      <c r="A7335" s="21"/>
      <c r="B7335"/>
      <c r="F7335" s="87"/>
      <c r="H7335" s="87"/>
      <c r="I7335" s="89"/>
    </row>
    <row r="7336" spans="1:9">
      <c r="A7336" s="21"/>
      <c r="B7336"/>
      <c r="F7336" s="87"/>
      <c r="H7336" s="87"/>
      <c r="I7336" s="89"/>
    </row>
    <row r="7337" spans="1:9">
      <c r="A7337" s="21"/>
      <c r="B7337"/>
      <c r="F7337" s="87"/>
      <c r="H7337" s="87"/>
      <c r="I7337" s="89"/>
    </row>
    <row r="7338" spans="1:9">
      <c r="A7338" s="21"/>
      <c r="B7338"/>
      <c r="F7338" s="87"/>
      <c r="H7338" s="87"/>
      <c r="I7338" s="89"/>
    </row>
    <row r="7339" spans="1:9">
      <c r="A7339" s="21"/>
      <c r="B7339"/>
      <c r="F7339" s="87"/>
      <c r="H7339" s="87"/>
      <c r="I7339" s="89"/>
    </row>
    <row r="7340" spans="1:9">
      <c r="A7340" s="21"/>
      <c r="B7340"/>
      <c r="F7340" s="87"/>
      <c r="H7340" s="87"/>
      <c r="I7340" s="89"/>
    </row>
    <row r="7341" spans="1:9">
      <c r="A7341" s="21"/>
      <c r="B7341"/>
      <c r="F7341" s="87"/>
      <c r="H7341" s="87"/>
      <c r="I7341" s="89"/>
    </row>
    <row r="7342" spans="1:9">
      <c r="A7342" s="21"/>
      <c r="B7342"/>
      <c r="F7342" s="87"/>
      <c r="H7342" s="87"/>
      <c r="I7342" s="89"/>
    </row>
    <row r="7343" spans="1:9">
      <c r="A7343" s="21"/>
      <c r="B7343"/>
      <c r="F7343" s="87"/>
      <c r="H7343" s="87"/>
      <c r="I7343" s="89"/>
    </row>
    <row r="7344" spans="1:9">
      <c r="A7344" s="21"/>
      <c r="B7344"/>
      <c r="F7344" s="87"/>
      <c r="H7344" s="87"/>
      <c r="I7344" s="89"/>
    </row>
    <row r="7345" spans="1:9">
      <c r="A7345" s="21"/>
      <c r="B7345"/>
      <c r="F7345" s="87"/>
      <c r="H7345" s="87"/>
      <c r="I7345" s="89"/>
    </row>
    <row r="7346" spans="1:9">
      <c r="A7346" s="21"/>
      <c r="B7346"/>
      <c r="F7346" s="87"/>
      <c r="H7346" s="87"/>
      <c r="I7346" s="89"/>
    </row>
    <row r="7347" spans="1:9">
      <c r="A7347" s="21"/>
      <c r="B7347"/>
      <c r="F7347" s="87"/>
      <c r="H7347" s="87"/>
      <c r="I7347" s="89"/>
    </row>
    <row r="7348" spans="1:9">
      <c r="A7348" s="21"/>
      <c r="B7348"/>
      <c r="F7348" s="87"/>
      <c r="H7348" s="87"/>
      <c r="I7348" s="89"/>
    </row>
    <row r="7349" spans="1:9">
      <c r="A7349" s="21"/>
      <c r="B7349"/>
      <c r="F7349" s="87"/>
      <c r="H7349" s="87"/>
      <c r="I7349" s="89"/>
    </row>
    <row r="7350" spans="1:9">
      <c r="A7350" s="21"/>
      <c r="B7350"/>
      <c r="F7350" s="87"/>
      <c r="H7350" s="87"/>
      <c r="I7350" s="89"/>
    </row>
    <row r="7351" spans="1:9">
      <c r="A7351" s="21"/>
      <c r="B7351"/>
      <c r="F7351" s="87"/>
      <c r="H7351" s="87"/>
      <c r="I7351" s="89"/>
    </row>
    <row r="7352" spans="1:9">
      <c r="A7352" s="21"/>
      <c r="B7352"/>
      <c r="F7352" s="87"/>
      <c r="H7352" s="87"/>
      <c r="I7352" s="89"/>
    </row>
    <row r="7353" spans="1:9">
      <c r="A7353" s="21"/>
      <c r="B7353"/>
      <c r="F7353" s="87"/>
      <c r="H7353" s="87"/>
      <c r="I7353" s="89"/>
    </row>
    <row r="7354" spans="1:9">
      <c r="A7354" s="21"/>
      <c r="B7354"/>
      <c r="F7354" s="87"/>
      <c r="H7354" s="87"/>
      <c r="I7354" s="89"/>
    </row>
    <row r="7355" spans="1:9">
      <c r="A7355" s="21"/>
      <c r="B7355"/>
      <c r="F7355" s="87"/>
      <c r="H7355" s="87"/>
      <c r="I7355" s="89"/>
    </row>
    <row r="7356" spans="1:9">
      <c r="A7356" s="21"/>
      <c r="B7356"/>
      <c r="F7356" s="87"/>
      <c r="H7356" s="87"/>
      <c r="I7356" s="89"/>
    </row>
    <row r="7357" spans="1:9">
      <c r="A7357" s="21"/>
      <c r="B7357"/>
      <c r="F7357" s="87"/>
      <c r="H7357" s="87"/>
      <c r="I7357" s="89"/>
    </row>
    <row r="7358" spans="1:9">
      <c r="A7358" s="21"/>
      <c r="B7358"/>
      <c r="F7358" s="87"/>
      <c r="H7358" s="87"/>
      <c r="I7358" s="89"/>
    </row>
    <row r="7359" spans="1:9">
      <c r="A7359" s="21"/>
      <c r="B7359"/>
      <c r="F7359" s="87"/>
      <c r="H7359" s="87"/>
      <c r="I7359" s="89"/>
    </row>
    <row r="7360" spans="1:9">
      <c r="A7360" s="21"/>
      <c r="B7360"/>
      <c r="F7360" s="87"/>
      <c r="H7360" s="87"/>
      <c r="I7360" s="89"/>
    </row>
    <row r="7361" spans="1:9">
      <c r="A7361" s="21"/>
      <c r="B7361"/>
      <c r="F7361" s="87"/>
      <c r="H7361" s="87"/>
      <c r="I7361" s="89"/>
    </row>
    <row r="7362" spans="1:9">
      <c r="A7362" s="21"/>
      <c r="B7362"/>
      <c r="F7362" s="87"/>
      <c r="H7362" s="87"/>
      <c r="I7362" s="89"/>
    </row>
    <row r="7363" spans="1:9">
      <c r="A7363" s="21"/>
      <c r="B7363"/>
      <c r="F7363" s="87"/>
      <c r="H7363" s="87"/>
      <c r="I7363" s="89"/>
    </row>
    <row r="7364" spans="1:9">
      <c r="A7364" s="21"/>
      <c r="B7364"/>
      <c r="F7364" s="87"/>
      <c r="H7364" s="87"/>
      <c r="I7364" s="89"/>
    </row>
    <row r="7365" spans="1:9">
      <c r="A7365" s="21"/>
      <c r="B7365"/>
      <c r="F7365" s="87"/>
      <c r="H7365" s="87"/>
      <c r="I7365" s="89"/>
    </row>
    <row r="7366" spans="1:9">
      <c r="A7366" s="21"/>
      <c r="B7366"/>
      <c r="F7366" s="87"/>
      <c r="H7366" s="87"/>
      <c r="I7366" s="89"/>
    </row>
    <row r="7367" spans="1:9">
      <c r="A7367" s="21"/>
      <c r="B7367"/>
      <c r="F7367" s="87"/>
      <c r="H7367" s="87"/>
      <c r="I7367" s="89"/>
    </row>
    <row r="7368" spans="1:9">
      <c r="A7368" s="21"/>
      <c r="B7368"/>
      <c r="F7368" s="87"/>
      <c r="H7368" s="87"/>
      <c r="I7368" s="89"/>
    </row>
    <row r="7369" spans="1:9">
      <c r="A7369" s="21"/>
      <c r="B7369"/>
      <c r="F7369" s="87"/>
      <c r="H7369" s="87"/>
      <c r="I7369" s="89"/>
    </row>
    <row r="7370" spans="1:9">
      <c r="A7370" s="21"/>
      <c r="B7370"/>
      <c r="F7370" s="87"/>
      <c r="H7370" s="87"/>
      <c r="I7370" s="89"/>
    </row>
    <row r="7371" spans="1:9">
      <c r="A7371" s="21"/>
      <c r="B7371"/>
      <c r="F7371" s="87"/>
      <c r="H7371" s="87"/>
      <c r="I7371" s="89"/>
    </row>
    <row r="7372" spans="1:9">
      <c r="A7372" s="21"/>
      <c r="B7372"/>
      <c r="F7372" s="87"/>
      <c r="H7372" s="87"/>
      <c r="I7372" s="89"/>
    </row>
    <row r="7373" spans="1:9">
      <c r="A7373" s="21"/>
      <c r="B7373"/>
      <c r="F7373" s="87"/>
      <c r="H7373" s="87"/>
      <c r="I7373" s="89"/>
    </row>
    <row r="7374" spans="1:9">
      <c r="A7374" s="21"/>
      <c r="B7374"/>
      <c r="F7374" s="87"/>
      <c r="H7374" s="87"/>
      <c r="I7374" s="89"/>
    </row>
    <row r="7375" spans="1:9">
      <c r="A7375" s="21"/>
      <c r="B7375"/>
      <c r="F7375" s="87"/>
      <c r="H7375" s="87"/>
      <c r="I7375" s="89"/>
    </row>
    <row r="7376" spans="1:9">
      <c r="A7376" s="21"/>
      <c r="B7376"/>
      <c r="F7376" s="87"/>
      <c r="H7376" s="87"/>
      <c r="I7376" s="89"/>
    </row>
    <row r="7377" spans="1:9">
      <c r="A7377" s="21"/>
      <c r="B7377"/>
      <c r="F7377" s="87"/>
      <c r="H7377" s="87"/>
      <c r="I7377" s="89"/>
    </row>
    <row r="7378" spans="1:9">
      <c r="A7378" s="21"/>
      <c r="B7378"/>
      <c r="F7378" s="87"/>
      <c r="H7378" s="87"/>
      <c r="I7378" s="89"/>
    </row>
    <row r="7379" spans="1:9">
      <c r="A7379" s="21"/>
      <c r="B7379"/>
      <c r="F7379" s="87"/>
      <c r="H7379" s="87"/>
      <c r="I7379" s="89"/>
    </row>
    <row r="7380" spans="1:9">
      <c r="A7380" s="21"/>
      <c r="B7380"/>
      <c r="F7380" s="87"/>
      <c r="H7380" s="87"/>
      <c r="I7380" s="89"/>
    </row>
    <row r="7381" spans="1:9">
      <c r="A7381" s="21"/>
      <c r="B7381"/>
      <c r="F7381" s="87"/>
      <c r="H7381" s="87"/>
      <c r="I7381" s="89"/>
    </row>
    <row r="7382" spans="1:9">
      <c r="A7382" s="21"/>
      <c r="B7382"/>
      <c r="F7382" s="87"/>
      <c r="H7382" s="87"/>
      <c r="I7382" s="89"/>
    </row>
    <row r="7383" spans="1:9">
      <c r="A7383" s="21"/>
      <c r="B7383"/>
      <c r="F7383" s="87"/>
      <c r="H7383" s="87"/>
      <c r="I7383" s="89"/>
    </row>
    <row r="7384" spans="1:9">
      <c r="A7384" s="21"/>
      <c r="B7384"/>
      <c r="F7384" s="87"/>
      <c r="H7384" s="87"/>
      <c r="I7384" s="89"/>
    </row>
    <row r="7385" spans="1:9">
      <c r="A7385" s="21"/>
      <c r="B7385"/>
      <c r="F7385" s="87"/>
      <c r="H7385" s="87"/>
      <c r="I7385" s="89"/>
    </row>
    <row r="7386" spans="1:9">
      <c r="A7386" s="21"/>
      <c r="B7386"/>
      <c r="F7386" s="87"/>
      <c r="H7386" s="87"/>
      <c r="I7386" s="89"/>
    </row>
    <row r="7387" spans="1:9">
      <c r="A7387" s="21"/>
      <c r="B7387"/>
      <c r="F7387" s="87"/>
      <c r="H7387" s="87"/>
      <c r="I7387" s="89"/>
    </row>
    <row r="7388" spans="1:9">
      <c r="A7388" s="21"/>
      <c r="B7388"/>
      <c r="F7388" s="87"/>
      <c r="H7388" s="87"/>
      <c r="I7388" s="89"/>
    </row>
    <row r="7389" spans="1:9">
      <c r="A7389" s="21"/>
      <c r="B7389"/>
      <c r="F7389" s="87"/>
      <c r="H7389" s="87"/>
      <c r="I7389" s="89"/>
    </row>
    <row r="7390" spans="1:9">
      <c r="A7390" s="21"/>
      <c r="B7390"/>
      <c r="F7390" s="87"/>
      <c r="H7390" s="87"/>
      <c r="I7390" s="89"/>
    </row>
    <row r="7391" spans="1:9">
      <c r="A7391" s="21"/>
      <c r="B7391"/>
      <c r="F7391" s="87"/>
      <c r="H7391" s="87"/>
      <c r="I7391" s="89"/>
    </row>
    <row r="7392" spans="1:9">
      <c r="A7392" s="21"/>
      <c r="B7392"/>
      <c r="F7392" s="87"/>
      <c r="H7392" s="87"/>
      <c r="I7392" s="89"/>
    </row>
    <row r="7393" spans="1:9">
      <c r="A7393" s="21"/>
      <c r="B7393"/>
      <c r="F7393" s="87"/>
      <c r="H7393" s="87"/>
      <c r="I7393" s="89"/>
    </row>
    <row r="7394" spans="1:9">
      <c r="A7394" s="21"/>
      <c r="B7394"/>
      <c r="F7394" s="87"/>
      <c r="H7394" s="87"/>
      <c r="I7394" s="89"/>
    </row>
    <row r="7395" spans="1:9">
      <c r="A7395" s="21"/>
      <c r="B7395"/>
      <c r="F7395" s="87"/>
      <c r="H7395" s="87"/>
      <c r="I7395" s="89"/>
    </row>
    <row r="7396" spans="1:9">
      <c r="A7396" s="21"/>
      <c r="B7396"/>
      <c r="F7396" s="87"/>
      <c r="H7396" s="87"/>
      <c r="I7396" s="89"/>
    </row>
    <row r="7397" spans="1:9">
      <c r="A7397" s="21"/>
      <c r="B7397"/>
      <c r="F7397" s="87"/>
      <c r="H7397" s="87"/>
      <c r="I7397" s="89"/>
    </row>
    <row r="7398" spans="1:9">
      <c r="A7398" s="21"/>
      <c r="B7398"/>
      <c r="F7398" s="87"/>
      <c r="H7398" s="87"/>
      <c r="I7398" s="89"/>
    </row>
    <row r="7399" spans="1:9">
      <c r="A7399" s="21"/>
      <c r="B7399"/>
      <c r="F7399" s="87"/>
      <c r="H7399" s="87"/>
      <c r="I7399" s="89"/>
    </row>
    <row r="7400" spans="1:9">
      <c r="A7400" s="21"/>
      <c r="B7400"/>
      <c r="F7400" s="87"/>
      <c r="H7400" s="87"/>
      <c r="I7400" s="89"/>
    </row>
    <row r="7401" spans="1:9">
      <c r="A7401" s="21"/>
      <c r="B7401"/>
      <c r="F7401" s="87"/>
      <c r="H7401" s="87"/>
      <c r="I7401" s="89"/>
    </row>
    <row r="7402" spans="1:9">
      <c r="A7402" s="21"/>
      <c r="B7402"/>
      <c r="F7402" s="87"/>
      <c r="H7402" s="87"/>
      <c r="I7402" s="89"/>
    </row>
    <row r="7403" spans="1:9">
      <c r="A7403" s="21"/>
      <c r="B7403"/>
      <c r="F7403" s="87"/>
      <c r="H7403" s="87"/>
      <c r="I7403" s="89"/>
    </row>
    <row r="7404" spans="1:9">
      <c r="A7404" s="21"/>
      <c r="B7404"/>
      <c r="F7404" s="87"/>
      <c r="H7404" s="87"/>
      <c r="I7404" s="89"/>
    </row>
    <row r="7405" spans="1:9">
      <c r="A7405" s="21"/>
      <c r="B7405"/>
      <c r="F7405" s="87"/>
      <c r="H7405" s="87"/>
      <c r="I7405" s="89"/>
    </row>
    <row r="7406" spans="1:9">
      <c r="A7406" s="21"/>
      <c r="B7406"/>
      <c r="F7406" s="87"/>
      <c r="H7406" s="87"/>
      <c r="I7406" s="89"/>
    </row>
    <row r="7407" spans="1:9">
      <c r="A7407" s="21"/>
      <c r="B7407"/>
      <c r="F7407" s="87"/>
      <c r="H7407" s="87"/>
      <c r="I7407" s="89"/>
    </row>
    <row r="7408" spans="1:9">
      <c r="A7408" s="21"/>
      <c r="B7408"/>
      <c r="F7408" s="87"/>
      <c r="H7408" s="87"/>
      <c r="I7408" s="89"/>
    </row>
    <row r="7409" spans="1:9">
      <c r="A7409" s="21"/>
      <c r="B7409"/>
      <c r="F7409" s="87"/>
      <c r="H7409" s="87"/>
      <c r="I7409" s="89"/>
    </row>
    <row r="7410" spans="1:9">
      <c r="A7410" s="21"/>
      <c r="B7410"/>
      <c r="F7410" s="87"/>
      <c r="H7410" s="87"/>
      <c r="I7410" s="89"/>
    </row>
    <row r="7411" spans="1:9">
      <c r="A7411" s="21"/>
      <c r="B7411"/>
      <c r="F7411" s="87"/>
      <c r="H7411" s="87"/>
      <c r="I7411" s="89"/>
    </row>
    <row r="7412" spans="1:9">
      <c r="A7412" s="21"/>
      <c r="B7412"/>
      <c r="F7412" s="87"/>
      <c r="H7412" s="87"/>
      <c r="I7412" s="89"/>
    </row>
    <row r="7413" spans="1:9">
      <c r="A7413" s="21"/>
      <c r="B7413"/>
      <c r="F7413" s="87"/>
      <c r="H7413" s="87"/>
      <c r="I7413" s="89"/>
    </row>
    <row r="7414" spans="1:9">
      <c r="A7414" s="21"/>
      <c r="B7414"/>
      <c r="F7414" s="87"/>
      <c r="H7414" s="87"/>
      <c r="I7414" s="89"/>
    </row>
    <row r="7415" spans="1:9">
      <c r="A7415" s="21"/>
      <c r="B7415"/>
      <c r="F7415" s="87"/>
      <c r="H7415" s="87"/>
      <c r="I7415" s="89"/>
    </row>
    <row r="7416" spans="1:9">
      <c r="A7416" s="21"/>
      <c r="B7416"/>
      <c r="F7416" s="87"/>
      <c r="H7416" s="87"/>
      <c r="I7416" s="89"/>
    </row>
    <row r="7417" spans="1:9">
      <c r="A7417" s="21"/>
      <c r="B7417"/>
      <c r="F7417" s="87"/>
      <c r="H7417" s="87"/>
      <c r="I7417" s="89"/>
    </row>
    <row r="7418" spans="1:9">
      <c r="A7418" s="21"/>
      <c r="B7418"/>
      <c r="F7418" s="87"/>
      <c r="H7418" s="87"/>
      <c r="I7418" s="89"/>
    </row>
    <row r="7419" spans="1:9">
      <c r="A7419" s="21"/>
      <c r="B7419"/>
      <c r="F7419" s="87"/>
      <c r="H7419" s="87"/>
      <c r="I7419" s="89"/>
    </row>
    <row r="7420" spans="1:9">
      <c r="A7420" s="21"/>
      <c r="B7420"/>
      <c r="F7420" s="87"/>
      <c r="H7420" s="87"/>
      <c r="I7420" s="89"/>
    </row>
    <row r="7421" spans="1:9">
      <c r="A7421" s="21"/>
      <c r="B7421"/>
      <c r="F7421" s="87"/>
      <c r="H7421" s="87"/>
      <c r="I7421" s="89"/>
    </row>
    <row r="7422" spans="1:9">
      <c r="A7422" s="21"/>
      <c r="B7422"/>
      <c r="F7422" s="87"/>
      <c r="H7422" s="87"/>
      <c r="I7422" s="89"/>
    </row>
    <row r="7423" spans="1:9">
      <c r="A7423" s="21"/>
      <c r="B7423"/>
      <c r="F7423" s="87"/>
      <c r="H7423" s="87"/>
      <c r="I7423" s="89"/>
    </row>
    <row r="7424" spans="1:9">
      <c r="A7424" s="21"/>
      <c r="B7424"/>
      <c r="F7424" s="87"/>
      <c r="H7424" s="87"/>
      <c r="I7424" s="89"/>
    </row>
    <row r="7425" spans="1:9">
      <c r="A7425" s="21"/>
      <c r="B7425"/>
      <c r="F7425" s="87"/>
      <c r="H7425" s="87"/>
      <c r="I7425" s="89"/>
    </row>
    <row r="7426" spans="1:9">
      <c r="A7426" s="21"/>
      <c r="B7426"/>
      <c r="F7426" s="87"/>
      <c r="H7426" s="87"/>
      <c r="I7426" s="89"/>
    </row>
    <row r="7427" spans="1:9">
      <c r="A7427" s="21"/>
      <c r="B7427"/>
      <c r="F7427" s="87"/>
      <c r="H7427" s="87"/>
      <c r="I7427" s="89"/>
    </row>
    <row r="7428" spans="1:9">
      <c r="A7428" s="21"/>
      <c r="B7428"/>
      <c r="F7428" s="87"/>
      <c r="H7428" s="87"/>
      <c r="I7428" s="89"/>
    </row>
    <row r="7429" spans="1:9">
      <c r="A7429" s="21"/>
      <c r="B7429"/>
      <c r="F7429" s="87"/>
      <c r="H7429" s="87"/>
      <c r="I7429" s="89"/>
    </row>
    <row r="7430" spans="1:9">
      <c r="A7430" s="21"/>
      <c r="B7430"/>
      <c r="F7430" s="87"/>
      <c r="H7430" s="87"/>
      <c r="I7430" s="89"/>
    </row>
    <row r="7431" spans="1:9">
      <c r="A7431" s="21"/>
      <c r="B7431"/>
      <c r="F7431" s="87"/>
      <c r="H7431" s="87"/>
      <c r="I7431" s="89"/>
    </row>
    <row r="7432" spans="1:9">
      <c r="A7432" s="21"/>
      <c r="B7432"/>
      <c r="F7432" s="87"/>
      <c r="H7432" s="87"/>
      <c r="I7432" s="89"/>
    </row>
    <row r="7433" spans="1:9">
      <c r="A7433" s="21"/>
      <c r="B7433"/>
      <c r="F7433" s="87"/>
      <c r="H7433" s="87"/>
      <c r="I7433" s="89"/>
    </row>
    <row r="7434" spans="1:9">
      <c r="A7434" s="21"/>
      <c r="B7434"/>
      <c r="F7434" s="87"/>
      <c r="H7434" s="87"/>
      <c r="I7434" s="89"/>
    </row>
    <row r="7435" spans="1:9">
      <c r="A7435" s="21"/>
      <c r="B7435"/>
      <c r="F7435" s="87"/>
      <c r="H7435" s="87"/>
      <c r="I7435" s="89"/>
    </row>
    <row r="7436" spans="1:9">
      <c r="A7436" s="21"/>
      <c r="B7436"/>
      <c r="F7436" s="87"/>
      <c r="H7436" s="87"/>
      <c r="I7436" s="89"/>
    </row>
    <row r="7437" spans="1:9">
      <c r="A7437" s="21"/>
      <c r="B7437"/>
      <c r="F7437" s="87"/>
      <c r="H7437" s="87"/>
      <c r="I7437" s="89"/>
    </row>
    <row r="7438" spans="1:9">
      <c r="A7438" s="21"/>
      <c r="B7438"/>
      <c r="F7438" s="87"/>
      <c r="H7438" s="87"/>
      <c r="I7438" s="89"/>
    </row>
    <row r="7439" spans="1:9">
      <c r="A7439" s="21"/>
      <c r="B7439"/>
      <c r="F7439" s="87"/>
      <c r="H7439" s="87"/>
      <c r="I7439" s="89"/>
    </row>
    <row r="7440" spans="1:9">
      <c r="A7440" s="21"/>
      <c r="B7440"/>
      <c r="F7440" s="87"/>
      <c r="H7440" s="87"/>
      <c r="I7440" s="89"/>
    </row>
    <row r="7441" spans="1:9">
      <c r="A7441" s="21"/>
      <c r="B7441"/>
      <c r="F7441" s="87"/>
      <c r="H7441" s="87"/>
      <c r="I7441" s="89"/>
    </row>
    <row r="7442" spans="1:9">
      <c r="A7442" s="21"/>
      <c r="B7442"/>
      <c r="F7442" s="87"/>
      <c r="H7442" s="87"/>
      <c r="I7442" s="89"/>
    </row>
    <row r="7443" spans="1:9">
      <c r="A7443" s="21"/>
      <c r="B7443"/>
      <c r="F7443" s="87"/>
      <c r="H7443" s="87"/>
      <c r="I7443" s="89"/>
    </row>
    <row r="7444" spans="1:9">
      <c r="A7444" s="21"/>
      <c r="B7444"/>
      <c r="F7444" s="87"/>
      <c r="H7444" s="87"/>
      <c r="I7444" s="89"/>
    </row>
    <row r="7445" spans="1:9">
      <c r="A7445" s="21"/>
      <c r="B7445"/>
      <c r="F7445" s="87"/>
      <c r="H7445" s="87"/>
      <c r="I7445" s="89"/>
    </row>
    <row r="7446" spans="1:9">
      <c r="A7446" s="21"/>
      <c r="B7446"/>
      <c r="F7446" s="87"/>
      <c r="H7446" s="87"/>
      <c r="I7446" s="89"/>
    </row>
    <row r="7447" spans="1:9">
      <c r="A7447" s="21"/>
      <c r="B7447"/>
      <c r="F7447" s="87"/>
      <c r="H7447" s="87"/>
      <c r="I7447" s="89"/>
    </row>
    <row r="7448" spans="1:9">
      <c r="A7448" s="21"/>
      <c r="B7448"/>
      <c r="F7448" s="87"/>
      <c r="H7448" s="87"/>
      <c r="I7448" s="89"/>
    </row>
    <row r="7449" spans="1:9">
      <c r="A7449" s="21"/>
      <c r="B7449"/>
      <c r="F7449" s="87"/>
      <c r="H7449" s="87"/>
      <c r="I7449" s="89"/>
    </row>
    <row r="7450" spans="1:9">
      <c r="A7450" s="21"/>
      <c r="B7450"/>
      <c r="F7450" s="87"/>
      <c r="H7450" s="87"/>
      <c r="I7450" s="89"/>
    </row>
    <row r="7451" spans="1:9">
      <c r="A7451" s="21"/>
      <c r="B7451"/>
      <c r="F7451" s="87"/>
      <c r="H7451" s="87"/>
      <c r="I7451" s="89"/>
    </row>
    <row r="7452" spans="1:9">
      <c r="A7452" s="21"/>
      <c r="B7452"/>
      <c r="F7452" s="87"/>
      <c r="H7452" s="87"/>
      <c r="I7452" s="89"/>
    </row>
    <row r="7453" spans="1:9">
      <c r="A7453" s="21"/>
      <c r="B7453"/>
      <c r="F7453" s="87"/>
      <c r="H7453" s="87"/>
      <c r="I7453" s="89"/>
    </row>
    <row r="7454" spans="1:9">
      <c r="A7454" s="21"/>
      <c r="B7454"/>
      <c r="F7454" s="87"/>
      <c r="H7454" s="87"/>
      <c r="I7454" s="89"/>
    </row>
    <row r="7455" spans="1:9">
      <c r="A7455" s="21"/>
      <c r="B7455"/>
      <c r="F7455" s="87"/>
      <c r="H7455" s="87"/>
      <c r="I7455" s="89"/>
    </row>
    <row r="7456" spans="1:9">
      <c r="A7456" s="21"/>
      <c r="B7456"/>
      <c r="F7456" s="87"/>
      <c r="H7456" s="87"/>
      <c r="I7456" s="89"/>
    </row>
    <row r="7457" spans="1:9">
      <c r="A7457" s="21"/>
      <c r="B7457"/>
      <c r="F7457" s="87"/>
      <c r="H7457" s="87"/>
      <c r="I7457" s="89"/>
    </row>
    <row r="7458" spans="1:9">
      <c r="A7458" s="21"/>
      <c r="B7458"/>
      <c r="F7458" s="87"/>
      <c r="H7458" s="87"/>
      <c r="I7458" s="89"/>
    </row>
    <row r="7459" spans="1:9">
      <c r="A7459" s="21"/>
      <c r="B7459"/>
      <c r="F7459" s="87"/>
      <c r="H7459" s="87"/>
      <c r="I7459" s="89"/>
    </row>
    <row r="7460" spans="1:9">
      <c r="A7460" s="21"/>
      <c r="B7460"/>
      <c r="F7460" s="87"/>
      <c r="H7460" s="87"/>
      <c r="I7460" s="89"/>
    </row>
    <row r="7461" spans="1:9">
      <c r="A7461" s="21"/>
      <c r="B7461"/>
      <c r="F7461" s="87"/>
      <c r="H7461" s="87"/>
      <c r="I7461" s="89"/>
    </row>
    <row r="7462" spans="1:9">
      <c r="A7462" s="21"/>
      <c r="B7462"/>
      <c r="F7462" s="87"/>
      <c r="H7462" s="87"/>
      <c r="I7462" s="89"/>
    </row>
    <row r="7463" spans="1:9">
      <c r="A7463" s="21"/>
      <c r="B7463"/>
      <c r="F7463" s="87"/>
      <c r="H7463" s="87"/>
      <c r="I7463" s="89"/>
    </row>
    <row r="7464" spans="1:9">
      <c r="A7464" s="21"/>
      <c r="B7464"/>
      <c r="F7464" s="87"/>
      <c r="H7464" s="87"/>
      <c r="I7464" s="89"/>
    </row>
    <row r="7465" spans="1:9">
      <c r="A7465" s="21"/>
      <c r="B7465"/>
      <c r="F7465" s="87"/>
      <c r="H7465" s="87"/>
      <c r="I7465" s="89"/>
    </row>
    <row r="7466" spans="1:9">
      <c r="A7466" s="21"/>
      <c r="B7466"/>
      <c r="F7466" s="87"/>
      <c r="H7466" s="87"/>
      <c r="I7466" s="89"/>
    </row>
    <row r="7467" spans="1:9">
      <c r="A7467" s="21"/>
      <c r="B7467"/>
      <c r="F7467" s="87"/>
      <c r="H7467" s="87"/>
      <c r="I7467" s="89"/>
    </row>
    <row r="7468" spans="1:9">
      <c r="A7468" s="21"/>
      <c r="B7468"/>
      <c r="F7468" s="87"/>
      <c r="H7468" s="87"/>
      <c r="I7468" s="89"/>
    </row>
    <row r="7469" spans="1:9">
      <c r="A7469" s="21"/>
      <c r="B7469"/>
      <c r="F7469" s="87"/>
      <c r="H7469" s="87"/>
      <c r="I7469" s="89"/>
    </row>
    <row r="7470" spans="1:9">
      <c r="A7470" s="21"/>
      <c r="B7470"/>
      <c r="F7470" s="87"/>
      <c r="H7470" s="87"/>
      <c r="I7470" s="89"/>
    </row>
    <row r="7471" spans="1:9">
      <c r="A7471" s="21"/>
      <c r="B7471"/>
      <c r="F7471" s="87"/>
      <c r="H7471" s="87"/>
      <c r="I7471" s="89"/>
    </row>
    <row r="7472" spans="1:9">
      <c r="A7472" s="21"/>
      <c r="B7472"/>
      <c r="F7472" s="87"/>
      <c r="H7472" s="87"/>
      <c r="I7472" s="89"/>
    </row>
    <row r="7473" spans="1:9">
      <c r="A7473" s="21"/>
      <c r="B7473"/>
      <c r="F7473" s="87"/>
      <c r="H7473" s="87"/>
      <c r="I7473" s="89"/>
    </row>
    <row r="7474" spans="1:9">
      <c r="A7474" s="21"/>
      <c r="B7474"/>
      <c r="F7474" s="87"/>
      <c r="H7474" s="87"/>
      <c r="I7474" s="89"/>
    </row>
    <row r="7475" spans="1:9">
      <c r="A7475" s="21"/>
      <c r="B7475"/>
      <c r="F7475" s="87"/>
      <c r="H7475" s="87"/>
      <c r="I7475" s="89"/>
    </row>
    <row r="7476" spans="1:9">
      <c r="A7476" s="21"/>
      <c r="B7476"/>
      <c r="F7476" s="87"/>
      <c r="H7476" s="87"/>
      <c r="I7476" s="89"/>
    </row>
    <row r="7477" spans="1:9">
      <c r="A7477" s="21"/>
      <c r="B7477"/>
      <c r="F7477" s="87"/>
      <c r="H7477" s="87"/>
      <c r="I7477" s="89"/>
    </row>
    <row r="7478" spans="1:9">
      <c r="A7478" s="21"/>
      <c r="B7478"/>
      <c r="F7478" s="87"/>
      <c r="H7478" s="87"/>
      <c r="I7478" s="89"/>
    </row>
    <row r="7479" spans="1:9">
      <c r="A7479" s="21"/>
      <c r="B7479"/>
      <c r="F7479" s="87"/>
      <c r="H7479" s="87"/>
      <c r="I7479" s="89"/>
    </row>
    <row r="7480" spans="1:9">
      <c r="A7480" s="21"/>
      <c r="B7480"/>
      <c r="F7480" s="87"/>
      <c r="H7480" s="87"/>
      <c r="I7480" s="89"/>
    </row>
    <row r="7481" spans="1:9">
      <c r="A7481" s="21"/>
      <c r="B7481"/>
      <c r="F7481" s="87"/>
      <c r="H7481" s="87"/>
      <c r="I7481" s="89"/>
    </row>
    <row r="7482" spans="1:9">
      <c r="A7482" s="21"/>
      <c r="B7482"/>
      <c r="F7482" s="87"/>
      <c r="H7482" s="87"/>
      <c r="I7482" s="89"/>
    </row>
    <row r="7483" spans="1:9">
      <c r="A7483" s="21"/>
      <c r="B7483"/>
      <c r="F7483" s="87"/>
      <c r="H7483" s="87"/>
      <c r="I7483" s="89"/>
    </row>
    <row r="7484" spans="1:9">
      <c r="A7484" s="21"/>
      <c r="B7484"/>
      <c r="F7484" s="87"/>
      <c r="H7484" s="87"/>
      <c r="I7484" s="89"/>
    </row>
    <row r="7485" spans="1:9">
      <c r="A7485" s="21"/>
      <c r="B7485"/>
      <c r="F7485" s="87"/>
      <c r="H7485" s="87"/>
      <c r="I7485" s="89"/>
    </row>
    <row r="7486" spans="1:9">
      <c r="A7486" s="21"/>
      <c r="B7486"/>
      <c r="F7486" s="87"/>
      <c r="H7486" s="87"/>
      <c r="I7486" s="89"/>
    </row>
    <row r="7487" spans="1:9">
      <c r="A7487" s="21"/>
      <c r="B7487"/>
      <c r="F7487" s="87"/>
      <c r="H7487" s="87"/>
      <c r="I7487" s="89"/>
    </row>
    <row r="7488" spans="1:9">
      <c r="A7488" s="21"/>
      <c r="B7488"/>
      <c r="F7488" s="87"/>
      <c r="H7488" s="87"/>
      <c r="I7488" s="89"/>
    </row>
    <row r="7489" spans="1:9">
      <c r="A7489" s="21"/>
      <c r="B7489"/>
      <c r="F7489" s="87"/>
      <c r="H7489" s="87"/>
      <c r="I7489" s="89"/>
    </row>
    <row r="7490" spans="1:9">
      <c r="A7490" s="21"/>
      <c r="B7490"/>
      <c r="F7490" s="87"/>
      <c r="H7490" s="87"/>
      <c r="I7490" s="89"/>
    </row>
    <row r="7491" spans="1:9">
      <c r="A7491" s="21"/>
      <c r="B7491"/>
      <c r="F7491" s="87"/>
      <c r="H7491" s="87"/>
      <c r="I7491" s="89"/>
    </row>
    <row r="7492" spans="1:9">
      <c r="A7492" s="21"/>
      <c r="B7492"/>
      <c r="F7492" s="87"/>
      <c r="H7492" s="87"/>
      <c r="I7492" s="89"/>
    </row>
    <row r="7493" spans="1:9">
      <c r="A7493" s="21"/>
      <c r="B7493"/>
      <c r="F7493" s="87"/>
      <c r="H7493" s="87"/>
      <c r="I7493" s="89"/>
    </row>
    <row r="7494" spans="1:9">
      <c r="A7494" s="21"/>
      <c r="B7494"/>
      <c r="F7494" s="87"/>
      <c r="H7494" s="87"/>
      <c r="I7494" s="89"/>
    </row>
    <row r="7495" spans="1:9">
      <c r="A7495" s="21"/>
      <c r="B7495"/>
      <c r="F7495" s="87"/>
      <c r="H7495" s="87"/>
      <c r="I7495" s="89"/>
    </row>
    <row r="7496" spans="1:9">
      <c r="A7496" s="21"/>
      <c r="B7496"/>
      <c r="F7496" s="87"/>
      <c r="H7496" s="87"/>
      <c r="I7496" s="89"/>
    </row>
    <row r="7497" spans="1:9">
      <c r="A7497" s="21"/>
      <c r="B7497"/>
      <c r="F7497" s="87"/>
      <c r="H7497" s="87"/>
      <c r="I7497" s="89"/>
    </row>
    <row r="7498" spans="1:9">
      <c r="A7498" s="21"/>
      <c r="B7498"/>
      <c r="F7498" s="87"/>
      <c r="H7498" s="87"/>
      <c r="I7498" s="89"/>
    </row>
    <row r="7499" spans="1:9">
      <c r="A7499" s="21"/>
      <c r="B7499"/>
      <c r="F7499" s="87"/>
      <c r="H7499" s="87"/>
      <c r="I7499" s="89"/>
    </row>
    <row r="7500" spans="1:9">
      <c r="A7500" s="21"/>
      <c r="B7500"/>
      <c r="F7500" s="87"/>
      <c r="H7500" s="87"/>
      <c r="I7500" s="89"/>
    </row>
    <row r="7501" spans="1:9">
      <c r="A7501" s="21"/>
      <c r="B7501"/>
      <c r="F7501" s="87"/>
      <c r="H7501" s="87"/>
      <c r="I7501" s="89"/>
    </row>
    <row r="7502" spans="1:9">
      <c r="A7502" s="21"/>
      <c r="B7502"/>
      <c r="F7502" s="87"/>
      <c r="H7502" s="87"/>
      <c r="I7502" s="89"/>
    </row>
    <row r="7503" spans="1:9">
      <c r="A7503" s="21"/>
      <c r="B7503"/>
      <c r="F7503" s="87"/>
      <c r="H7503" s="87"/>
      <c r="I7503" s="89"/>
    </row>
    <row r="7504" spans="1:9">
      <c r="A7504" s="21"/>
      <c r="B7504"/>
      <c r="F7504" s="87"/>
      <c r="H7504" s="87"/>
      <c r="I7504" s="89"/>
    </row>
    <row r="7505" spans="1:9">
      <c r="A7505" s="21"/>
      <c r="B7505"/>
      <c r="F7505" s="87"/>
      <c r="H7505" s="87"/>
      <c r="I7505" s="89"/>
    </row>
    <row r="7506" spans="1:9">
      <c r="A7506" s="21"/>
      <c r="B7506"/>
      <c r="F7506" s="87"/>
      <c r="H7506" s="87"/>
      <c r="I7506" s="89"/>
    </row>
    <row r="7507" spans="1:9">
      <c r="A7507" s="21"/>
      <c r="B7507"/>
      <c r="F7507" s="87"/>
      <c r="H7507" s="87"/>
      <c r="I7507" s="89"/>
    </row>
    <row r="7508" spans="1:9">
      <c r="A7508" s="21"/>
      <c r="B7508"/>
      <c r="F7508" s="87"/>
      <c r="H7508" s="87"/>
      <c r="I7508" s="89"/>
    </row>
    <row r="7509" spans="1:9">
      <c r="A7509" s="21"/>
      <c r="B7509"/>
      <c r="F7509" s="87"/>
      <c r="H7509" s="87"/>
      <c r="I7509" s="89"/>
    </row>
    <row r="7510" spans="1:9">
      <c r="A7510" s="21"/>
      <c r="B7510"/>
      <c r="F7510" s="87"/>
      <c r="H7510" s="87"/>
      <c r="I7510" s="89"/>
    </row>
    <row r="7511" spans="1:9">
      <c r="A7511" s="21"/>
      <c r="B7511"/>
      <c r="F7511" s="87"/>
      <c r="H7511" s="87"/>
      <c r="I7511" s="89"/>
    </row>
    <row r="7512" spans="1:9">
      <c r="A7512" s="21"/>
      <c r="B7512"/>
      <c r="F7512" s="87"/>
      <c r="H7512" s="87"/>
      <c r="I7512" s="89"/>
    </row>
    <row r="7513" spans="1:9">
      <c r="A7513" s="21"/>
      <c r="B7513"/>
      <c r="F7513" s="87"/>
      <c r="H7513" s="87"/>
      <c r="I7513" s="89"/>
    </row>
    <row r="7514" spans="1:9">
      <c r="A7514" s="21"/>
      <c r="B7514"/>
      <c r="F7514" s="87"/>
      <c r="H7514" s="87"/>
      <c r="I7514" s="89"/>
    </row>
    <row r="7515" spans="1:9">
      <c r="A7515" s="21"/>
      <c r="B7515"/>
      <c r="F7515" s="87"/>
      <c r="H7515" s="87"/>
      <c r="I7515" s="89"/>
    </row>
    <row r="7516" spans="1:9">
      <c r="A7516" s="21"/>
      <c r="B7516"/>
      <c r="F7516" s="87"/>
      <c r="H7516" s="87"/>
      <c r="I7516" s="89"/>
    </row>
    <row r="7517" spans="1:9">
      <c r="A7517" s="21"/>
      <c r="B7517"/>
      <c r="F7517" s="87"/>
      <c r="H7517" s="87"/>
      <c r="I7517" s="89"/>
    </row>
    <row r="7518" spans="1:9">
      <c r="A7518" s="21"/>
      <c r="B7518"/>
      <c r="F7518" s="87"/>
      <c r="H7518" s="87"/>
      <c r="I7518" s="89"/>
    </row>
    <row r="7519" spans="1:9">
      <c r="A7519" s="21"/>
      <c r="B7519"/>
      <c r="F7519" s="87"/>
      <c r="H7519" s="87"/>
      <c r="I7519" s="89"/>
    </row>
    <row r="7520" spans="1:9">
      <c r="A7520" s="21"/>
      <c r="B7520"/>
      <c r="F7520" s="87"/>
      <c r="H7520" s="87"/>
      <c r="I7520" s="89"/>
    </row>
    <row r="7521" spans="1:9">
      <c r="A7521" s="21"/>
      <c r="B7521"/>
      <c r="F7521" s="87"/>
      <c r="H7521" s="87"/>
      <c r="I7521" s="89"/>
    </row>
    <row r="7522" spans="1:9">
      <c r="A7522" s="21"/>
      <c r="B7522"/>
      <c r="F7522" s="87"/>
      <c r="H7522" s="87"/>
      <c r="I7522" s="89"/>
    </row>
    <row r="7523" spans="1:9">
      <c r="A7523" s="21"/>
      <c r="B7523"/>
      <c r="F7523" s="87"/>
      <c r="H7523" s="87"/>
      <c r="I7523" s="89"/>
    </row>
    <row r="7524" spans="1:9">
      <c r="A7524" s="21"/>
      <c r="B7524"/>
      <c r="F7524" s="87"/>
      <c r="H7524" s="87"/>
      <c r="I7524" s="89"/>
    </row>
    <row r="7525" spans="1:9">
      <c r="A7525" s="21"/>
      <c r="B7525"/>
      <c r="F7525" s="87"/>
      <c r="H7525" s="87"/>
      <c r="I7525" s="89"/>
    </row>
    <row r="7526" spans="1:9">
      <c r="A7526" s="21"/>
      <c r="B7526"/>
      <c r="F7526" s="87"/>
      <c r="H7526" s="87"/>
      <c r="I7526" s="89"/>
    </row>
    <row r="7527" spans="1:9">
      <c r="A7527" s="21"/>
      <c r="B7527"/>
      <c r="F7527" s="87"/>
      <c r="H7527" s="87"/>
      <c r="I7527" s="89"/>
    </row>
    <row r="7528" spans="1:9">
      <c r="A7528" s="21"/>
      <c r="B7528"/>
      <c r="F7528" s="87"/>
      <c r="H7528" s="87"/>
      <c r="I7528" s="89"/>
    </row>
    <row r="7529" spans="1:9">
      <c r="A7529" s="21"/>
      <c r="B7529"/>
      <c r="F7529" s="87"/>
      <c r="H7529" s="87"/>
      <c r="I7529" s="89"/>
    </row>
    <row r="7530" spans="1:9">
      <c r="A7530" s="21"/>
      <c r="B7530"/>
      <c r="F7530" s="87"/>
      <c r="H7530" s="87"/>
      <c r="I7530" s="89"/>
    </row>
    <row r="7531" spans="1:9">
      <c r="A7531" s="21"/>
      <c r="B7531"/>
      <c r="F7531" s="87"/>
      <c r="H7531" s="87"/>
      <c r="I7531" s="89"/>
    </row>
    <row r="7532" spans="1:9">
      <c r="A7532" s="21"/>
      <c r="B7532"/>
      <c r="F7532" s="87"/>
      <c r="H7532" s="87"/>
      <c r="I7532" s="89"/>
    </row>
    <row r="7533" spans="1:9">
      <c r="A7533" s="21"/>
      <c r="B7533"/>
      <c r="F7533" s="87"/>
      <c r="H7533" s="87"/>
      <c r="I7533" s="89"/>
    </row>
    <row r="7534" spans="1:9">
      <c r="A7534" s="21"/>
      <c r="B7534"/>
      <c r="F7534" s="87"/>
      <c r="H7534" s="87"/>
      <c r="I7534" s="89"/>
    </row>
    <row r="7535" spans="1:9">
      <c r="A7535" s="21"/>
      <c r="B7535"/>
      <c r="F7535" s="87"/>
      <c r="H7535" s="87"/>
      <c r="I7535" s="89"/>
    </row>
    <row r="7536" spans="1:9">
      <c r="A7536" s="21"/>
      <c r="B7536"/>
      <c r="F7536" s="87"/>
      <c r="H7536" s="87"/>
      <c r="I7536" s="89"/>
    </row>
    <row r="7537" spans="1:9">
      <c r="A7537" s="21"/>
      <c r="B7537"/>
      <c r="F7537" s="87"/>
      <c r="H7537" s="87"/>
      <c r="I7537" s="89"/>
    </row>
    <row r="7538" spans="1:9">
      <c r="A7538" s="21"/>
      <c r="B7538"/>
      <c r="F7538" s="87"/>
      <c r="H7538" s="87"/>
      <c r="I7538" s="89"/>
    </row>
    <row r="7539" spans="1:9">
      <c r="A7539" s="21"/>
      <c r="B7539"/>
      <c r="F7539" s="87"/>
      <c r="H7539" s="87"/>
      <c r="I7539" s="89"/>
    </row>
    <row r="7540" spans="1:9">
      <c r="A7540" s="21"/>
      <c r="B7540"/>
      <c r="F7540" s="87"/>
      <c r="H7540" s="87"/>
      <c r="I7540" s="89"/>
    </row>
    <row r="7541" spans="1:9">
      <c r="A7541" s="21"/>
      <c r="B7541"/>
      <c r="F7541" s="87"/>
      <c r="H7541" s="87"/>
      <c r="I7541" s="89"/>
    </row>
    <row r="7542" spans="1:9">
      <c r="A7542" s="21"/>
      <c r="B7542"/>
      <c r="F7542" s="87"/>
      <c r="H7542" s="87"/>
      <c r="I7542" s="89"/>
    </row>
    <row r="7543" spans="1:9">
      <c r="A7543" s="21"/>
      <c r="B7543"/>
      <c r="F7543" s="87"/>
      <c r="H7543" s="87"/>
      <c r="I7543" s="89"/>
    </row>
    <row r="7544" spans="1:9">
      <c r="A7544" s="21"/>
      <c r="B7544"/>
      <c r="F7544" s="87"/>
      <c r="H7544" s="87"/>
      <c r="I7544" s="89"/>
    </row>
    <row r="7545" spans="1:9">
      <c r="A7545" s="21"/>
      <c r="B7545"/>
      <c r="F7545" s="87"/>
      <c r="H7545" s="87"/>
      <c r="I7545" s="89"/>
    </row>
    <row r="7546" spans="1:9">
      <c r="A7546" s="21"/>
      <c r="B7546"/>
      <c r="F7546" s="87"/>
      <c r="H7546" s="87"/>
      <c r="I7546" s="89"/>
    </row>
    <row r="7547" spans="1:9">
      <c r="A7547" s="21"/>
      <c r="B7547"/>
      <c r="F7547" s="87"/>
      <c r="H7547" s="87"/>
      <c r="I7547" s="89"/>
    </row>
    <row r="7548" spans="1:9">
      <c r="A7548" s="21"/>
      <c r="B7548"/>
      <c r="F7548" s="87"/>
      <c r="H7548" s="87"/>
      <c r="I7548" s="89"/>
    </row>
    <row r="7549" spans="1:9">
      <c r="A7549" s="21"/>
      <c r="B7549"/>
      <c r="F7549" s="87"/>
      <c r="H7549" s="87"/>
      <c r="I7549" s="89"/>
    </row>
    <row r="7550" spans="1:9">
      <c r="A7550" s="21"/>
      <c r="B7550"/>
      <c r="F7550" s="87"/>
      <c r="H7550" s="87"/>
      <c r="I7550" s="89"/>
    </row>
    <row r="7551" spans="1:9">
      <c r="A7551" s="21"/>
      <c r="B7551"/>
      <c r="F7551" s="87"/>
      <c r="H7551" s="87"/>
      <c r="I7551" s="89"/>
    </row>
    <row r="7552" spans="1:9">
      <c r="A7552" s="21"/>
      <c r="B7552"/>
      <c r="F7552" s="87"/>
      <c r="H7552" s="87"/>
      <c r="I7552" s="89"/>
    </row>
    <row r="7553" spans="1:9">
      <c r="A7553" s="21"/>
      <c r="B7553"/>
      <c r="F7553" s="87"/>
      <c r="H7553" s="87"/>
      <c r="I7553" s="89"/>
    </row>
    <row r="7554" spans="1:9">
      <c r="A7554" s="21"/>
      <c r="B7554"/>
      <c r="F7554" s="87"/>
      <c r="H7554" s="87"/>
      <c r="I7554" s="89"/>
    </row>
    <row r="7555" spans="1:9">
      <c r="A7555" s="21"/>
      <c r="B7555"/>
      <c r="F7555" s="87"/>
      <c r="H7555" s="87"/>
      <c r="I7555" s="89"/>
    </row>
    <row r="7556" spans="1:9">
      <c r="A7556" s="21"/>
      <c r="B7556"/>
      <c r="F7556" s="87"/>
      <c r="H7556" s="87"/>
      <c r="I7556" s="89"/>
    </row>
    <row r="7557" spans="1:9">
      <c r="A7557" s="21"/>
      <c r="B7557"/>
      <c r="F7557" s="87"/>
      <c r="H7557" s="87"/>
      <c r="I7557" s="89"/>
    </row>
    <row r="7558" spans="1:9">
      <c r="A7558" s="21"/>
      <c r="B7558"/>
      <c r="F7558" s="87"/>
      <c r="H7558" s="87"/>
      <c r="I7558" s="89"/>
    </row>
    <row r="7559" spans="1:9">
      <c r="A7559" s="21"/>
      <c r="B7559"/>
      <c r="F7559" s="87"/>
      <c r="H7559" s="87"/>
      <c r="I7559" s="89"/>
    </row>
    <row r="7560" spans="1:9">
      <c r="A7560" s="21"/>
      <c r="B7560"/>
      <c r="F7560" s="87"/>
      <c r="H7560" s="87"/>
      <c r="I7560" s="89"/>
    </row>
    <row r="7561" spans="1:9">
      <c r="A7561" s="21"/>
      <c r="B7561"/>
      <c r="F7561" s="87"/>
      <c r="H7561" s="87"/>
      <c r="I7561" s="89"/>
    </row>
    <row r="7562" spans="1:9">
      <c r="A7562" s="21"/>
      <c r="B7562"/>
      <c r="F7562" s="87"/>
      <c r="H7562" s="87"/>
      <c r="I7562" s="89"/>
    </row>
    <row r="7563" spans="1:9">
      <c r="A7563" s="21"/>
      <c r="B7563"/>
      <c r="F7563" s="87"/>
      <c r="H7563" s="87"/>
      <c r="I7563" s="89"/>
    </row>
    <row r="7564" spans="1:9">
      <c r="A7564" s="21"/>
      <c r="B7564"/>
      <c r="F7564" s="87"/>
      <c r="H7564" s="87"/>
      <c r="I7564" s="89"/>
    </row>
    <row r="7565" spans="1:9">
      <c r="A7565" s="21"/>
      <c r="B7565"/>
      <c r="F7565" s="87"/>
      <c r="H7565" s="87"/>
      <c r="I7565" s="89"/>
    </row>
    <row r="7566" spans="1:9">
      <c r="A7566" s="21"/>
      <c r="B7566"/>
      <c r="F7566" s="87"/>
      <c r="H7566" s="87"/>
      <c r="I7566" s="89"/>
    </row>
    <row r="7567" spans="1:9">
      <c r="A7567" s="21"/>
      <c r="B7567"/>
      <c r="F7567" s="87"/>
      <c r="H7567" s="87"/>
      <c r="I7567" s="89"/>
    </row>
    <row r="7568" spans="1:9">
      <c r="A7568" s="21"/>
      <c r="B7568"/>
      <c r="F7568" s="87"/>
      <c r="H7568" s="87"/>
      <c r="I7568" s="89"/>
    </row>
    <row r="7569" spans="1:9">
      <c r="A7569" s="21"/>
      <c r="B7569"/>
      <c r="F7569" s="87"/>
      <c r="H7569" s="87"/>
      <c r="I7569" s="89"/>
    </row>
    <row r="7570" spans="1:9">
      <c r="A7570" s="21"/>
      <c r="B7570"/>
      <c r="F7570" s="87"/>
      <c r="H7570" s="87"/>
      <c r="I7570" s="89"/>
    </row>
    <row r="7571" spans="1:9">
      <c r="A7571" s="21"/>
      <c r="B7571"/>
      <c r="F7571" s="87"/>
      <c r="H7571" s="87"/>
      <c r="I7571" s="89"/>
    </row>
    <row r="7572" spans="1:9">
      <c r="A7572" s="21"/>
      <c r="B7572"/>
      <c r="F7572" s="87"/>
      <c r="H7572" s="87"/>
      <c r="I7572" s="89"/>
    </row>
    <row r="7573" spans="1:9">
      <c r="A7573" s="21"/>
      <c r="B7573"/>
      <c r="F7573" s="87"/>
      <c r="H7573" s="87"/>
      <c r="I7573" s="89"/>
    </row>
    <row r="7574" spans="1:9">
      <c r="A7574" s="21"/>
      <c r="B7574"/>
      <c r="F7574" s="87"/>
      <c r="H7574" s="87"/>
      <c r="I7574" s="89"/>
    </row>
    <row r="7575" spans="1:9">
      <c r="A7575" s="21"/>
      <c r="B7575"/>
      <c r="F7575" s="87"/>
      <c r="H7575" s="87"/>
      <c r="I7575" s="89"/>
    </row>
    <row r="7576" spans="1:9">
      <c r="A7576" s="21"/>
      <c r="B7576"/>
      <c r="F7576" s="87"/>
      <c r="H7576" s="87"/>
      <c r="I7576" s="89"/>
    </row>
    <row r="7577" spans="1:9">
      <c r="A7577" s="21"/>
      <c r="B7577"/>
      <c r="F7577" s="87"/>
      <c r="H7577" s="87"/>
      <c r="I7577" s="89"/>
    </row>
    <row r="7578" spans="1:9">
      <c r="A7578" s="21"/>
      <c r="B7578"/>
      <c r="F7578" s="87"/>
      <c r="H7578" s="87"/>
      <c r="I7578" s="89"/>
    </row>
    <row r="7579" spans="1:9">
      <c r="A7579" s="21"/>
      <c r="B7579"/>
      <c r="F7579" s="87"/>
      <c r="H7579" s="87"/>
      <c r="I7579" s="89"/>
    </row>
    <row r="7580" spans="1:9">
      <c r="A7580" s="21"/>
      <c r="B7580"/>
      <c r="F7580" s="87"/>
      <c r="H7580" s="87"/>
      <c r="I7580" s="89"/>
    </row>
    <row r="7581" spans="1:9">
      <c r="A7581" s="21"/>
      <c r="B7581"/>
      <c r="F7581" s="87"/>
      <c r="H7581" s="87"/>
      <c r="I7581" s="89"/>
    </row>
    <row r="7582" spans="1:9">
      <c r="A7582" s="21"/>
      <c r="B7582"/>
      <c r="F7582" s="87"/>
      <c r="H7582" s="87"/>
      <c r="I7582" s="89"/>
    </row>
    <row r="7583" spans="1:9">
      <c r="A7583" s="21"/>
      <c r="B7583"/>
      <c r="F7583" s="87"/>
      <c r="H7583" s="87"/>
      <c r="I7583" s="89"/>
    </row>
    <row r="7584" spans="1:9">
      <c r="A7584" s="21"/>
      <c r="B7584"/>
      <c r="F7584" s="87"/>
      <c r="H7584" s="87"/>
      <c r="I7584" s="89"/>
    </row>
    <row r="7585" spans="1:9">
      <c r="A7585" s="21"/>
      <c r="B7585"/>
      <c r="F7585" s="87"/>
      <c r="H7585" s="87"/>
      <c r="I7585" s="89"/>
    </row>
    <row r="7586" spans="1:9">
      <c r="A7586" s="21"/>
      <c r="B7586"/>
      <c r="F7586" s="87"/>
      <c r="H7586" s="87"/>
      <c r="I7586" s="89"/>
    </row>
    <row r="7587" spans="1:9">
      <c r="A7587" s="21"/>
      <c r="B7587"/>
      <c r="F7587" s="87"/>
      <c r="H7587" s="87"/>
      <c r="I7587" s="89"/>
    </row>
    <row r="7588" spans="1:9">
      <c r="A7588" s="21"/>
      <c r="B7588"/>
      <c r="F7588" s="87"/>
      <c r="H7588" s="87"/>
      <c r="I7588" s="89"/>
    </row>
    <row r="7589" spans="1:9">
      <c r="A7589" s="21"/>
      <c r="B7589"/>
      <c r="F7589" s="87"/>
      <c r="H7589" s="87"/>
      <c r="I7589" s="89"/>
    </row>
    <row r="7590" spans="1:9">
      <c r="A7590" s="21"/>
      <c r="B7590"/>
      <c r="F7590" s="87"/>
      <c r="H7590" s="87"/>
      <c r="I7590" s="89"/>
    </row>
    <row r="7591" spans="1:9">
      <c r="A7591" s="21"/>
      <c r="B7591"/>
      <c r="F7591" s="87"/>
      <c r="H7591" s="87"/>
      <c r="I7591" s="89"/>
    </row>
    <row r="7592" spans="1:9">
      <c r="A7592" s="21"/>
      <c r="B7592"/>
      <c r="F7592" s="87"/>
      <c r="H7592" s="87"/>
      <c r="I7592" s="89"/>
    </row>
    <row r="7593" spans="1:9">
      <c r="A7593" s="21"/>
      <c r="B7593"/>
      <c r="F7593" s="87"/>
      <c r="H7593" s="87"/>
      <c r="I7593" s="89"/>
    </row>
    <row r="7594" spans="1:9">
      <c r="A7594" s="21"/>
      <c r="B7594"/>
      <c r="F7594" s="87"/>
      <c r="H7594" s="87"/>
      <c r="I7594" s="89"/>
    </row>
    <row r="7595" spans="1:9">
      <c r="A7595" s="21"/>
      <c r="B7595"/>
      <c r="F7595" s="87"/>
      <c r="H7595" s="87"/>
      <c r="I7595" s="89"/>
    </row>
    <row r="7596" spans="1:9">
      <c r="A7596" s="21"/>
      <c r="B7596"/>
      <c r="F7596" s="87"/>
      <c r="H7596" s="87"/>
      <c r="I7596" s="89"/>
    </row>
    <row r="7597" spans="1:9">
      <c r="A7597" s="21"/>
      <c r="B7597"/>
      <c r="F7597" s="87"/>
      <c r="H7597" s="87"/>
      <c r="I7597" s="89"/>
    </row>
    <row r="7598" spans="1:9">
      <c r="A7598" s="21"/>
      <c r="B7598"/>
      <c r="F7598" s="87"/>
      <c r="H7598" s="87"/>
      <c r="I7598" s="89"/>
    </row>
    <row r="7599" spans="1:9">
      <c r="A7599" s="21"/>
      <c r="B7599"/>
      <c r="F7599" s="87"/>
      <c r="H7599" s="87"/>
      <c r="I7599" s="89"/>
    </row>
    <row r="7600" spans="1:9">
      <c r="A7600" s="21"/>
      <c r="B7600"/>
      <c r="F7600" s="87"/>
      <c r="H7600" s="87"/>
      <c r="I7600" s="89"/>
    </row>
    <row r="7601" spans="1:9">
      <c r="A7601" s="21"/>
      <c r="B7601"/>
      <c r="F7601" s="87"/>
      <c r="H7601" s="87"/>
      <c r="I7601" s="89"/>
    </row>
    <row r="7602" spans="1:9">
      <c r="A7602" s="21"/>
      <c r="B7602"/>
      <c r="F7602" s="87"/>
      <c r="H7602" s="87"/>
      <c r="I7602" s="89"/>
    </row>
    <row r="7603" spans="1:9">
      <c r="A7603" s="21"/>
      <c r="B7603"/>
      <c r="F7603" s="87"/>
      <c r="H7603" s="87"/>
      <c r="I7603" s="89"/>
    </row>
    <row r="7604" spans="1:9">
      <c r="A7604" s="21"/>
      <c r="B7604"/>
      <c r="F7604" s="87"/>
      <c r="H7604" s="87"/>
      <c r="I7604" s="89"/>
    </row>
    <row r="7605" spans="1:9">
      <c r="A7605" s="21"/>
      <c r="B7605"/>
      <c r="F7605" s="87"/>
      <c r="H7605" s="87"/>
      <c r="I7605" s="89"/>
    </row>
    <row r="7606" spans="1:9">
      <c r="A7606" s="21"/>
      <c r="B7606"/>
      <c r="F7606" s="87"/>
      <c r="H7606" s="87"/>
      <c r="I7606" s="89"/>
    </row>
    <row r="7607" spans="1:9">
      <c r="A7607" s="21"/>
      <c r="B7607"/>
      <c r="F7607" s="87"/>
      <c r="H7607" s="87"/>
      <c r="I7607" s="89"/>
    </row>
    <row r="7608" spans="1:9">
      <c r="A7608" s="21"/>
      <c r="B7608"/>
      <c r="F7608" s="87"/>
      <c r="H7608" s="87"/>
      <c r="I7608" s="89"/>
    </row>
    <row r="7609" spans="1:9">
      <c r="A7609" s="21"/>
      <c r="B7609"/>
      <c r="F7609" s="87"/>
      <c r="H7609" s="87"/>
      <c r="I7609" s="89"/>
    </row>
    <row r="7610" spans="1:9">
      <c r="A7610" s="21"/>
      <c r="B7610"/>
      <c r="F7610" s="87"/>
      <c r="H7610" s="87"/>
      <c r="I7610" s="89"/>
    </row>
    <row r="7611" spans="1:9">
      <c r="A7611" s="21"/>
      <c r="B7611"/>
      <c r="F7611" s="87"/>
      <c r="H7611" s="87"/>
      <c r="I7611" s="89"/>
    </row>
    <row r="7612" spans="1:9">
      <c r="A7612" s="21"/>
      <c r="B7612"/>
      <c r="F7612" s="87"/>
      <c r="H7612" s="87"/>
      <c r="I7612" s="89"/>
    </row>
    <row r="7613" spans="1:9">
      <c r="A7613" s="21"/>
      <c r="B7613"/>
      <c r="F7613" s="87"/>
      <c r="H7613" s="87"/>
      <c r="I7613" s="89"/>
    </row>
    <row r="7614" spans="1:9">
      <c r="A7614" s="21"/>
      <c r="B7614"/>
      <c r="F7614" s="87"/>
      <c r="H7614" s="87"/>
      <c r="I7614" s="89"/>
    </row>
    <row r="7615" spans="1:9">
      <c r="A7615" s="21"/>
      <c r="B7615"/>
      <c r="F7615" s="87"/>
      <c r="H7615" s="87"/>
      <c r="I7615" s="89"/>
    </row>
    <row r="7616" spans="1:9">
      <c r="A7616" s="21"/>
      <c r="B7616"/>
      <c r="F7616" s="87"/>
      <c r="H7616" s="87"/>
      <c r="I7616" s="89"/>
    </row>
    <row r="7617" spans="1:9">
      <c r="A7617" s="21"/>
      <c r="B7617"/>
      <c r="F7617" s="87"/>
      <c r="H7617" s="87"/>
      <c r="I7617" s="89"/>
    </row>
    <row r="7618" spans="1:9">
      <c r="A7618" s="21"/>
      <c r="B7618"/>
      <c r="F7618" s="87"/>
      <c r="H7618" s="87"/>
      <c r="I7618" s="89"/>
    </row>
    <row r="7619" spans="1:9">
      <c r="A7619" s="21"/>
      <c r="B7619"/>
      <c r="F7619" s="87"/>
      <c r="H7619" s="87"/>
      <c r="I7619" s="89"/>
    </row>
    <row r="7620" spans="1:9">
      <c r="A7620" s="21"/>
      <c r="B7620"/>
      <c r="F7620" s="87"/>
      <c r="H7620" s="87"/>
      <c r="I7620" s="89"/>
    </row>
    <row r="7621" spans="1:9">
      <c r="A7621" s="21"/>
      <c r="B7621"/>
      <c r="F7621" s="87"/>
      <c r="H7621" s="87"/>
      <c r="I7621" s="89"/>
    </row>
    <row r="7622" spans="1:9">
      <c r="A7622" s="21"/>
      <c r="B7622"/>
      <c r="F7622" s="87"/>
      <c r="H7622" s="87"/>
      <c r="I7622" s="89"/>
    </row>
    <row r="7623" spans="1:9">
      <c r="A7623" s="21"/>
      <c r="B7623"/>
      <c r="F7623" s="87"/>
      <c r="H7623" s="87"/>
      <c r="I7623" s="89"/>
    </row>
    <row r="7624" spans="1:9">
      <c r="A7624" s="21"/>
      <c r="B7624"/>
      <c r="F7624" s="87"/>
      <c r="H7624" s="87"/>
      <c r="I7624" s="89"/>
    </row>
    <row r="7625" spans="1:9">
      <c r="A7625" s="21"/>
      <c r="B7625"/>
      <c r="F7625" s="87"/>
      <c r="H7625" s="87"/>
      <c r="I7625" s="89"/>
    </row>
    <row r="7626" spans="1:9">
      <c r="A7626" s="21"/>
      <c r="B7626"/>
      <c r="F7626" s="87"/>
      <c r="H7626" s="87"/>
      <c r="I7626" s="89"/>
    </row>
    <row r="7627" spans="1:9">
      <c r="A7627" s="21"/>
      <c r="B7627"/>
      <c r="F7627" s="87"/>
      <c r="H7627" s="87"/>
      <c r="I7627" s="89"/>
    </row>
    <row r="7628" spans="1:9">
      <c r="A7628" s="21"/>
      <c r="B7628"/>
      <c r="F7628" s="87"/>
      <c r="H7628" s="87"/>
      <c r="I7628" s="89"/>
    </row>
    <row r="7629" spans="1:9">
      <c r="A7629" s="21"/>
      <c r="B7629"/>
      <c r="F7629" s="87"/>
      <c r="H7629" s="87"/>
      <c r="I7629" s="89"/>
    </row>
    <row r="7630" spans="1:9">
      <c r="A7630" s="21"/>
      <c r="B7630"/>
      <c r="F7630" s="87"/>
      <c r="H7630" s="87"/>
      <c r="I7630" s="89"/>
    </row>
    <row r="7631" spans="1:9">
      <c r="A7631" s="21"/>
      <c r="B7631"/>
      <c r="F7631" s="87"/>
      <c r="H7631" s="87"/>
      <c r="I7631" s="89"/>
    </row>
    <row r="7632" spans="1:9">
      <c r="A7632" s="21"/>
      <c r="B7632"/>
      <c r="F7632" s="87"/>
      <c r="H7632" s="87"/>
      <c r="I7632" s="89"/>
    </row>
    <row r="7633" spans="1:9">
      <c r="A7633" s="21"/>
      <c r="B7633"/>
      <c r="F7633" s="87"/>
      <c r="H7633" s="87"/>
      <c r="I7633" s="89"/>
    </row>
    <row r="7634" spans="1:9">
      <c r="A7634" s="21"/>
      <c r="B7634"/>
      <c r="F7634" s="87"/>
      <c r="H7634" s="87"/>
      <c r="I7634" s="89"/>
    </row>
    <row r="7635" spans="1:9">
      <c r="A7635" s="21"/>
      <c r="B7635"/>
      <c r="F7635" s="87"/>
      <c r="H7635" s="87"/>
      <c r="I7635" s="89"/>
    </row>
    <row r="7636" spans="1:9">
      <c r="A7636" s="21"/>
      <c r="B7636"/>
      <c r="F7636" s="87"/>
      <c r="H7636" s="87"/>
      <c r="I7636" s="89"/>
    </row>
    <row r="7637" spans="1:9">
      <c r="A7637" s="21"/>
      <c r="B7637"/>
      <c r="F7637" s="87"/>
      <c r="H7637" s="87"/>
      <c r="I7637" s="89"/>
    </row>
    <row r="7638" spans="1:9">
      <c r="A7638" s="21"/>
      <c r="B7638"/>
      <c r="F7638" s="87"/>
      <c r="H7638" s="87"/>
      <c r="I7638" s="89"/>
    </row>
    <row r="7639" spans="1:9">
      <c r="A7639" s="21"/>
      <c r="B7639"/>
      <c r="F7639" s="87"/>
      <c r="H7639" s="87"/>
      <c r="I7639" s="89"/>
    </row>
    <row r="7640" spans="1:9">
      <c r="A7640" s="21"/>
      <c r="B7640"/>
      <c r="F7640" s="87"/>
      <c r="H7640" s="87"/>
      <c r="I7640" s="89"/>
    </row>
    <row r="7641" spans="1:9">
      <c r="A7641" s="21"/>
      <c r="B7641"/>
      <c r="F7641" s="87"/>
      <c r="H7641" s="87"/>
      <c r="I7641" s="89"/>
    </row>
    <row r="7642" spans="1:9">
      <c r="A7642" s="21"/>
      <c r="B7642"/>
      <c r="F7642" s="87"/>
      <c r="H7642" s="87"/>
      <c r="I7642" s="89"/>
    </row>
    <row r="7643" spans="1:9">
      <c r="A7643" s="21"/>
      <c r="B7643"/>
      <c r="F7643" s="87"/>
      <c r="H7643" s="87"/>
      <c r="I7643" s="89"/>
    </row>
    <row r="7644" spans="1:9">
      <c r="A7644" s="21"/>
      <c r="B7644"/>
      <c r="F7644" s="87"/>
      <c r="H7644" s="87"/>
      <c r="I7644" s="89"/>
    </row>
    <row r="7645" spans="1:9">
      <c r="A7645" s="21"/>
      <c r="B7645"/>
      <c r="F7645" s="87"/>
      <c r="H7645" s="87"/>
      <c r="I7645" s="89"/>
    </row>
    <row r="7646" spans="1:9">
      <c r="A7646" s="21"/>
      <c r="B7646"/>
      <c r="F7646" s="87"/>
      <c r="H7646" s="87"/>
      <c r="I7646" s="89"/>
    </row>
    <row r="7647" spans="1:9">
      <c r="A7647" s="21"/>
      <c r="B7647"/>
      <c r="F7647" s="87"/>
      <c r="H7647" s="87"/>
      <c r="I7647" s="89"/>
    </row>
    <row r="7648" spans="1:9">
      <c r="A7648" s="21"/>
      <c r="B7648"/>
      <c r="F7648" s="87"/>
      <c r="H7648" s="87"/>
      <c r="I7648" s="89"/>
    </row>
    <row r="7649" spans="1:9">
      <c r="A7649" s="21"/>
      <c r="B7649"/>
      <c r="F7649" s="87"/>
      <c r="H7649" s="87"/>
      <c r="I7649" s="89"/>
    </row>
    <row r="7650" spans="1:9">
      <c r="A7650" s="21"/>
      <c r="B7650"/>
      <c r="F7650" s="87"/>
      <c r="H7650" s="87"/>
      <c r="I7650" s="89"/>
    </row>
    <row r="7651" spans="1:9">
      <c r="A7651" s="21"/>
      <c r="B7651"/>
      <c r="F7651" s="87"/>
      <c r="H7651" s="87"/>
      <c r="I7651" s="89"/>
    </row>
    <row r="7652" spans="1:9">
      <c r="A7652" s="21"/>
      <c r="B7652"/>
      <c r="F7652" s="87"/>
      <c r="H7652" s="87"/>
      <c r="I7652" s="89"/>
    </row>
    <row r="7653" spans="1:9">
      <c r="A7653" s="21"/>
      <c r="B7653"/>
      <c r="F7653" s="87"/>
      <c r="H7653" s="87"/>
      <c r="I7653" s="89"/>
    </row>
    <row r="7654" spans="1:9">
      <c r="A7654" s="21"/>
      <c r="B7654"/>
      <c r="F7654" s="87"/>
      <c r="H7654" s="87"/>
      <c r="I7654" s="89"/>
    </row>
    <row r="7655" spans="1:9">
      <c r="A7655" s="21"/>
      <c r="B7655"/>
      <c r="F7655" s="87"/>
      <c r="H7655" s="87"/>
      <c r="I7655" s="89"/>
    </row>
    <row r="7656" spans="1:9">
      <c r="A7656" s="21"/>
      <c r="B7656"/>
      <c r="F7656" s="87"/>
      <c r="H7656" s="87"/>
      <c r="I7656" s="89"/>
    </row>
    <row r="7657" spans="1:9">
      <c r="A7657" s="21"/>
      <c r="B7657"/>
      <c r="F7657" s="87"/>
      <c r="H7657" s="87"/>
      <c r="I7657" s="89"/>
    </row>
    <row r="7658" spans="1:9">
      <c r="A7658" s="21"/>
      <c r="B7658"/>
      <c r="F7658" s="87"/>
      <c r="H7658" s="87"/>
      <c r="I7658" s="89"/>
    </row>
    <row r="7659" spans="1:9">
      <c r="A7659" s="21"/>
      <c r="B7659"/>
      <c r="F7659" s="87"/>
      <c r="H7659" s="87"/>
      <c r="I7659" s="89"/>
    </row>
    <row r="7660" spans="1:9">
      <c r="A7660" s="21"/>
      <c r="B7660"/>
      <c r="F7660" s="87"/>
      <c r="H7660" s="87"/>
      <c r="I7660" s="89"/>
    </row>
    <row r="7661" spans="1:9">
      <c r="A7661" s="21"/>
      <c r="B7661"/>
      <c r="F7661" s="87"/>
      <c r="H7661" s="87"/>
      <c r="I7661" s="89"/>
    </row>
    <row r="7662" spans="1:9">
      <c r="A7662" s="21"/>
      <c r="B7662"/>
      <c r="F7662" s="87"/>
      <c r="H7662" s="87"/>
      <c r="I7662" s="89"/>
    </row>
    <row r="7663" spans="1:9">
      <c r="A7663" s="21"/>
      <c r="B7663"/>
      <c r="F7663" s="87"/>
      <c r="H7663" s="87"/>
      <c r="I7663" s="89"/>
    </row>
    <row r="7664" spans="1:9">
      <c r="A7664" s="21"/>
      <c r="B7664"/>
      <c r="F7664" s="87"/>
      <c r="H7664" s="87"/>
      <c r="I7664" s="89"/>
    </row>
    <row r="7665" spans="1:9">
      <c r="A7665" s="21"/>
      <c r="B7665"/>
      <c r="F7665" s="87"/>
      <c r="H7665" s="87"/>
      <c r="I7665" s="89"/>
    </row>
    <row r="7666" spans="1:9">
      <c r="A7666" s="21"/>
      <c r="B7666"/>
      <c r="F7666" s="87"/>
      <c r="H7666" s="87"/>
      <c r="I7666" s="89"/>
    </row>
    <row r="7667" spans="1:9">
      <c r="A7667" s="21"/>
      <c r="B7667"/>
      <c r="F7667" s="87"/>
      <c r="H7667" s="87"/>
      <c r="I7667" s="89"/>
    </row>
    <row r="7668" spans="1:9">
      <c r="A7668" s="21"/>
      <c r="B7668"/>
      <c r="F7668" s="87"/>
      <c r="H7668" s="87"/>
      <c r="I7668" s="89"/>
    </row>
    <row r="7669" spans="1:9">
      <c r="A7669" s="21"/>
      <c r="B7669"/>
      <c r="F7669" s="87"/>
      <c r="H7669" s="87"/>
      <c r="I7669" s="89"/>
    </row>
    <row r="7670" spans="1:9">
      <c r="A7670" s="21"/>
      <c r="B7670"/>
      <c r="F7670" s="87"/>
      <c r="H7670" s="87"/>
      <c r="I7670" s="89"/>
    </row>
    <row r="7671" spans="1:9">
      <c r="A7671" s="21"/>
      <c r="B7671"/>
      <c r="F7671" s="87"/>
      <c r="H7671" s="87"/>
      <c r="I7671" s="89"/>
    </row>
    <row r="7672" spans="1:9">
      <c r="A7672" s="21"/>
      <c r="B7672"/>
      <c r="F7672" s="87"/>
      <c r="H7672" s="87"/>
      <c r="I7672" s="89"/>
    </row>
    <row r="7673" spans="1:9">
      <c r="A7673" s="21"/>
      <c r="B7673"/>
      <c r="F7673" s="87"/>
      <c r="H7673" s="87"/>
      <c r="I7673" s="89"/>
    </row>
    <row r="7674" spans="1:9">
      <c r="A7674" s="21"/>
      <c r="B7674"/>
      <c r="F7674" s="87"/>
      <c r="H7674" s="87"/>
      <c r="I7674" s="89"/>
    </row>
    <row r="7675" spans="1:9">
      <c r="A7675" s="21"/>
      <c r="B7675"/>
      <c r="F7675" s="87"/>
      <c r="H7675" s="87"/>
      <c r="I7675" s="89"/>
    </row>
    <row r="7676" spans="1:9">
      <c r="A7676" s="21"/>
      <c r="B7676"/>
      <c r="F7676" s="87"/>
      <c r="H7676" s="87"/>
      <c r="I7676" s="89"/>
    </row>
    <row r="7677" spans="1:9">
      <c r="A7677" s="21"/>
      <c r="B7677"/>
      <c r="F7677" s="87"/>
      <c r="H7677" s="87"/>
      <c r="I7677" s="89"/>
    </row>
    <row r="7678" spans="1:9">
      <c r="A7678" s="21"/>
      <c r="B7678"/>
      <c r="F7678" s="87"/>
      <c r="H7678" s="87"/>
      <c r="I7678" s="89"/>
    </row>
    <row r="7679" spans="1:9">
      <c r="A7679" s="21"/>
      <c r="B7679"/>
      <c r="F7679" s="87"/>
      <c r="H7679" s="87"/>
      <c r="I7679" s="89"/>
    </row>
    <row r="7680" spans="1:9">
      <c r="A7680" s="21"/>
      <c r="B7680"/>
      <c r="F7680" s="87"/>
      <c r="H7680" s="87"/>
      <c r="I7680" s="89"/>
    </row>
    <row r="7681" spans="1:9">
      <c r="A7681" s="21"/>
      <c r="B7681"/>
      <c r="F7681" s="87"/>
      <c r="H7681" s="87"/>
      <c r="I7681" s="89"/>
    </row>
    <row r="7682" spans="1:9">
      <c r="A7682" s="21"/>
      <c r="B7682"/>
      <c r="F7682" s="87"/>
      <c r="H7682" s="87"/>
      <c r="I7682" s="89"/>
    </row>
    <row r="7683" spans="1:9">
      <c r="A7683" s="21"/>
      <c r="B7683"/>
      <c r="F7683" s="87"/>
      <c r="H7683" s="87"/>
      <c r="I7683" s="89"/>
    </row>
    <row r="7684" spans="1:9">
      <c r="A7684" s="21"/>
      <c r="B7684"/>
      <c r="F7684" s="87"/>
      <c r="H7684" s="87"/>
      <c r="I7684" s="89"/>
    </row>
    <row r="7685" spans="1:9">
      <c r="A7685" s="21"/>
      <c r="B7685"/>
      <c r="F7685" s="87"/>
      <c r="H7685" s="87"/>
      <c r="I7685" s="89"/>
    </row>
    <row r="7686" spans="1:9">
      <c r="A7686" s="21"/>
      <c r="B7686"/>
      <c r="F7686" s="87"/>
      <c r="H7686" s="87"/>
      <c r="I7686" s="89"/>
    </row>
    <row r="7687" spans="1:9">
      <c r="A7687" s="21"/>
      <c r="B7687"/>
      <c r="F7687" s="87"/>
      <c r="H7687" s="87"/>
      <c r="I7687" s="89"/>
    </row>
    <row r="7688" spans="1:9">
      <c r="A7688" s="21"/>
      <c r="B7688"/>
      <c r="F7688" s="87"/>
      <c r="H7688" s="87"/>
      <c r="I7688" s="89"/>
    </row>
    <row r="7689" spans="1:9">
      <c r="A7689" s="21"/>
      <c r="B7689"/>
      <c r="F7689" s="87"/>
      <c r="H7689" s="87"/>
      <c r="I7689" s="89"/>
    </row>
    <row r="7690" spans="1:9">
      <c r="A7690" s="21"/>
      <c r="B7690"/>
      <c r="F7690" s="87"/>
      <c r="H7690" s="87"/>
      <c r="I7690" s="89"/>
    </row>
    <row r="7691" spans="1:9">
      <c r="A7691" s="21"/>
      <c r="B7691"/>
      <c r="F7691" s="87"/>
      <c r="H7691" s="87"/>
      <c r="I7691" s="89"/>
    </row>
    <row r="7692" spans="1:9">
      <c r="A7692" s="21"/>
      <c r="B7692"/>
      <c r="F7692" s="87"/>
      <c r="H7692" s="87"/>
      <c r="I7692" s="89"/>
    </row>
    <row r="7693" spans="1:9">
      <c r="A7693" s="21"/>
      <c r="B7693"/>
      <c r="F7693" s="87"/>
      <c r="H7693" s="87"/>
      <c r="I7693" s="89"/>
    </row>
    <row r="7694" spans="1:9">
      <c r="A7694" s="21"/>
      <c r="B7694"/>
      <c r="F7694" s="87"/>
      <c r="H7694" s="87"/>
      <c r="I7694" s="89"/>
    </row>
    <row r="7695" spans="1:9">
      <c r="A7695" s="21"/>
      <c r="B7695"/>
      <c r="F7695" s="87"/>
      <c r="H7695" s="87"/>
      <c r="I7695" s="89"/>
    </row>
    <row r="7696" spans="1:9">
      <c r="A7696" s="21"/>
      <c r="B7696"/>
      <c r="F7696" s="87"/>
      <c r="H7696" s="87"/>
      <c r="I7696" s="89"/>
    </row>
    <row r="7697" spans="1:9">
      <c r="A7697" s="21"/>
      <c r="B7697"/>
      <c r="F7697" s="87"/>
      <c r="H7697" s="87"/>
      <c r="I7697" s="89"/>
    </row>
    <row r="7698" spans="1:9">
      <c r="A7698" s="21"/>
      <c r="B7698"/>
      <c r="F7698" s="87"/>
      <c r="H7698" s="87"/>
      <c r="I7698" s="89"/>
    </row>
    <row r="7699" spans="1:9">
      <c r="A7699" s="21"/>
      <c r="B7699"/>
      <c r="F7699" s="87"/>
      <c r="H7699" s="87"/>
      <c r="I7699" s="89"/>
    </row>
    <row r="7700" spans="1:9">
      <c r="A7700" s="21"/>
      <c r="B7700"/>
      <c r="F7700" s="87"/>
      <c r="H7700" s="87"/>
      <c r="I7700" s="89"/>
    </row>
    <row r="7701" spans="1:9">
      <c r="A7701" s="21"/>
      <c r="B7701"/>
      <c r="F7701" s="87"/>
      <c r="H7701" s="87"/>
      <c r="I7701" s="89"/>
    </row>
    <row r="7702" spans="1:9">
      <c r="A7702" s="21"/>
      <c r="B7702"/>
      <c r="F7702" s="87"/>
      <c r="H7702" s="87"/>
      <c r="I7702" s="89"/>
    </row>
    <row r="7703" spans="1:9">
      <c r="A7703" s="21"/>
      <c r="B7703"/>
      <c r="F7703" s="87"/>
      <c r="H7703" s="87"/>
      <c r="I7703" s="89"/>
    </row>
    <row r="7704" spans="1:9">
      <c r="A7704" s="21"/>
      <c r="B7704"/>
      <c r="F7704" s="87"/>
      <c r="H7704" s="87"/>
      <c r="I7704" s="89"/>
    </row>
    <row r="7705" spans="1:9">
      <c r="A7705" s="21"/>
      <c r="B7705"/>
      <c r="F7705" s="87"/>
      <c r="H7705" s="87"/>
      <c r="I7705" s="89"/>
    </row>
    <row r="7706" spans="1:9">
      <c r="A7706" s="21"/>
      <c r="B7706"/>
      <c r="F7706" s="87"/>
      <c r="H7706" s="87"/>
      <c r="I7706" s="89"/>
    </row>
    <row r="7707" spans="1:9">
      <c r="A7707" s="21"/>
      <c r="B7707"/>
      <c r="F7707" s="87"/>
      <c r="H7707" s="87"/>
      <c r="I7707" s="89"/>
    </row>
    <row r="7708" spans="1:9">
      <c r="A7708" s="21"/>
      <c r="B7708"/>
      <c r="F7708" s="87"/>
      <c r="H7708" s="87"/>
      <c r="I7708" s="89"/>
    </row>
    <row r="7709" spans="1:9">
      <c r="A7709" s="21"/>
      <c r="B7709"/>
      <c r="F7709" s="87"/>
      <c r="H7709" s="87"/>
      <c r="I7709" s="89"/>
    </row>
    <row r="7710" spans="1:9">
      <c r="A7710" s="21"/>
      <c r="B7710"/>
      <c r="F7710" s="87"/>
      <c r="H7710" s="87"/>
      <c r="I7710" s="89"/>
    </row>
    <row r="7711" spans="1:9">
      <c r="A7711" s="21"/>
      <c r="B7711"/>
      <c r="F7711" s="87"/>
      <c r="H7711" s="87"/>
      <c r="I7711" s="89"/>
    </row>
    <row r="7712" spans="1:9">
      <c r="A7712" s="21"/>
      <c r="B7712"/>
      <c r="F7712" s="87"/>
      <c r="H7712" s="87"/>
      <c r="I7712" s="89"/>
    </row>
    <row r="7713" spans="1:9">
      <c r="A7713" s="21"/>
      <c r="B7713"/>
      <c r="F7713" s="87"/>
      <c r="H7713" s="87"/>
      <c r="I7713" s="89"/>
    </row>
    <row r="7714" spans="1:9">
      <c r="A7714" s="21"/>
      <c r="B7714"/>
      <c r="F7714" s="87"/>
      <c r="H7714" s="87"/>
      <c r="I7714" s="89"/>
    </row>
    <row r="7715" spans="1:9">
      <c r="A7715" s="21"/>
      <c r="B7715"/>
      <c r="F7715" s="87"/>
      <c r="H7715" s="87"/>
      <c r="I7715" s="89"/>
    </row>
    <row r="7716" spans="1:9">
      <c r="A7716" s="21"/>
      <c r="B7716"/>
      <c r="F7716" s="87"/>
      <c r="H7716" s="87"/>
      <c r="I7716" s="89"/>
    </row>
    <row r="7717" spans="1:9">
      <c r="A7717" s="21"/>
      <c r="B7717"/>
      <c r="F7717" s="87"/>
      <c r="H7717" s="87"/>
      <c r="I7717" s="89"/>
    </row>
    <row r="7718" spans="1:9">
      <c r="A7718" s="21"/>
      <c r="B7718"/>
      <c r="F7718" s="87"/>
      <c r="H7718" s="87"/>
      <c r="I7718" s="89"/>
    </row>
    <row r="7719" spans="1:9">
      <c r="A7719" s="21"/>
      <c r="B7719"/>
      <c r="F7719" s="87"/>
      <c r="H7719" s="87"/>
      <c r="I7719" s="89"/>
    </row>
    <row r="7720" spans="1:9">
      <c r="A7720" s="21"/>
      <c r="B7720"/>
      <c r="F7720" s="87"/>
      <c r="H7720" s="87"/>
      <c r="I7720" s="89"/>
    </row>
    <row r="7721" spans="1:9">
      <c r="A7721" s="21"/>
      <c r="B7721"/>
      <c r="F7721" s="87"/>
      <c r="H7721" s="87"/>
      <c r="I7721" s="89"/>
    </row>
    <row r="7722" spans="1:9">
      <c r="A7722" s="21"/>
      <c r="B7722"/>
      <c r="F7722" s="87"/>
      <c r="H7722" s="87"/>
      <c r="I7722" s="89"/>
    </row>
    <row r="7723" spans="1:9">
      <c r="A7723" s="21"/>
      <c r="B7723"/>
      <c r="F7723" s="87"/>
      <c r="H7723" s="87"/>
      <c r="I7723" s="89"/>
    </row>
    <row r="7724" spans="1:9">
      <c r="A7724" s="21"/>
      <c r="B7724"/>
      <c r="F7724" s="87"/>
      <c r="H7724" s="87"/>
      <c r="I7724" s="89"/>
    </row>
    <row r="7725" spans="1:9">
      <c r="A7725" s="21"/>
      <c r="B7725"/>
      <c r="F7725" s="87"/>
      <c r="H7725" s="87"/>
      <c r="I7725" s="89"/>
    </row>
    <row r="7726" spans="1:9">
      <c r="A7726" s="21"/>
      <c r="B7726"/>
      <c r="F7726" s="87"/>
      <c r="H7726" s="87"/>
      <c r="I7726" s="89"/>
    </row>
    <row r="7727" spans="1:9">
      <c r="A7727" s="21"/>
      <c r="B7727"/>
      <c r="F7727" s="87"/>
      <c r="H7727" s="87"/>
      <c r="I7727" s="89"/>
    </row>
    <row r="7728" spans="1:9">
      <c r="A7728" s="21"/>
      <c r="B7728"/>
      <c r="F7728" s="87"/>
      <c r="H7728" s="87"/>
      <c r="I7728" s="89"/>
    </row>
    <row r="7729" spans="1:9">
      <c r="A7729" s="21"/>
      <c r="B7729"/>
      <c r="F7729" s="87"/>
      <c r="H7729" s="87"/>
      <c r="I7729" s="89"/>
    </row>
    <row r="7730" spans="1:9">
      <c r="A7730" s="21"/>
      <c r="B7730"/>
      <c r="F7730" s="87"/>
      <c r="H7730" s="87"/>
      <c r="I7730" s="89"/>
    </row>
    <row r="7731" spans="1:9">
      <c r="A7731" s="21"/>
      <c r="B7731"/>
      <c r="F7731" s="87"/>
      <c r="H7731" s="87"/>
      <c r="I7731" s="89"/>
    </row>
    <row r="7732" spans="1:9">
      <c r="A7732" s="21"/>
      <c r="B7732"/>
      <c r="F7732" s="87"/>
      <c r="H7732" s="87"/>
      <c r="I7732" s="89"/>
    </row>
    <row r="7733" spans="1:9">
      <c r="A7733" s="21"/>
      <c r="B7733"/>
      <c r="F7733" s="87"/>
      <c r="H7733" s="87"/>
      <c r="I7733" s="89"/>
    </row>
    <row r="7734" spans="1:9">
      <c r="A7734" s="21"/>
      <c r="B7734"/>
      <c r="F7734" s="87"/>
      <c r="H7734" s="87"/>
      <c r="I7734" s="89"/>
    </row>
    <row r="7735" spans="1:9">
      <c r="A7735" s="21"/>
      <c r="B7735"/>
      <c r="F7735" s="87"/>
      <c r="H7735" s="87"/>
      <c r="I7735" s="89"/>
    </row>
    <row r="7736" spans="1:9">
      <c r="A7736" s="21"/>
      <c r="B7736"/>
      <c r="F7736" s="87"/>
      <c r="H7736" s="87"/>
      <c r="I7736" s="89"/>
    </row>
    <row r="7737" spans="1:9">
      <c r="A7737" s="21"/>
      <c r="B7737"/>
      <c r="F7737" s="87"/>
      <c r="H7737" s="87"/>
      <c r="I7737" s="89"/>
    </row>
    <row r="7738" spans="1:9">
      <c r="A7738" s="21"/>
      <c r="B7738"/>
      <c r="F7738" s="87"/>
      <c r="H7738" s="87"/>
      <c r="I7738" s="89"/>
    </row>
    <row r="7739" spans="1:9">
      <c r="A7739" s="21"/>
      <c r="B7739"/>
      <c r="F7739" s="87"/>
      <c r="H7739" s="87"/>
      <c r="I7739" s="89"/>
    </row>
    <row r="7740" spans="1:9">
      <c r="A7740" s="21"/>
      <c r="B7740"/>
      <c r="F7740" s="87"/>
      <c r="H7740" s="87"/>
      <c r="I7740" s="89"/>
    </row>
    <row r="7741" spans="1:9">
      <c r="A7741" s="21"/>
      <c r="B7741"/>
      <c r="F7741" s="87"/>
      <c r="H7741" s="87"/>
      <c r="I7741" s="89"/>
    </row>
    <row r="7742" spans="1:9">
      <c r="A7742" s="21"/>
      <c r="B7742"/>
      <c r="F7742" s="87"/>
      <c r="H7742" s="87"/>
      <c r="I7742" s="89"/>
    </row>
    <row r="7743" spans="1:9">
      <c r="A7743" s="21"/>
      <c r="B7743"/>
      <c r="F7743" s="87"/>
      <c r="H7743" s="87"/>
      <c r="I7743" s="89"/>
    </row>
    <row r="7744" spans="1:9">
      <c r="A7744" s="21"/>
      <c r="B7744"/>
      <c r="F7744" s="87"/>
      <c r="H7744" s="87"/>
      <c r="I7744" s="89"/>
    </row>
    <row r="7745" spans="1:9">
      <c r="A7745" s="21"/>
      <c r="B7745"/>
      <c r="F7745" s="87"/>
      <c r="H7745" s="87"/>
      <c r="I7745" s="89"/>
    </row>
    <row r="7746" spans="1:9">
      <c r="A7746" s="21"/>
      <c r="B7746"/>
      <c r="F7746" s="87"/>
      <c r="H7746" s="87"/>
      <c r="I7746" s="89"/>
    </row>
    <row r="7747" spans="1:9">
      <c r="A7747" s="21"/>
      <c r="B7747"/>
      <c r="F7747" s="87"/>
      <c r="H7747" s="87"/>
      <c r="I7747" s="89"/>
    </row>
    <row r="7748" spans="1:9">
      <c r="A7748" s="21"/>
      <c r="B7748"/>
      <c r="F7748" s="87"/>
      <c r="H7748" s="87"/>
      <c r="I7748" s="89"/>
    </row>
    <row r="7749" spans="1:9">
      <c r="A7749" s="21"/>
      <c r="B7749"/>
      <c r="F7749" s="87"/>
      <c r="H7749" s="87"/>
      <c r="I7749" s="89"/>
    </row>
    <row r="7750" spans="1:9">
      <c r="A7750" s="21"/>
      <c r="B7750"/>
      <c r="F7750" s="87"/>
      <c r="H7750" s="87"/>
      <c r="I7750" s="89"/>
    </row>
    <row r="7751" spans="1:9">
      <c r="A7751" s="21"/>
      <c r="B7751"/>
      <c r="F7751" s="87"/>
      <c r="H7751" s="87"/>
      <c r="I7751" s="89"/>
    </row>
    <row r="7752" spans="1:9">
      <c r="A7752" s="21"/>
      <c r="B7752"/>
      <c r="F7752" s="87"/>
      <c r="H7752" s="87"/>
      <c r="I7752" s="89"/>
    </row>
    <row r="7753" spans="1:9">
      <c r="A7753" s="21"/>
      <c r="B7753"/>
      <c r="F7753" s="87"/>
      <c r="H7753" s="87"/>
      <c r="I7753" s="89"/>
    </row>
    <row r="7754" spans="1:9">
      <c r="A7754" s="21"/>
      <c r="B7754"/>
      <c r="F7754" s="87"/>
      <c r="H7754" s="87"/>
      <c r="I7754" s="89"/>
    </row>
    <row r="7755" spans="1:9">
      <c r="A7755" s="21"/>
      <c r="B7755"/>
      <c r="F7755" s="87"/>
      <c r="H7755" s="87"/>
      <c r="I7755" s="89"/>
    </row>
    <row r="7756" spans="1:9">
      <c r="A7756" s="21"/>
      <c r="B7756"/>
      <c r="F7756" s="87"/>
      <c r="H7756" s="87"/>
      <c r="I7756" s="89"/>
    </row>
    <row r="7757" spans="1:9">
      <c r="A7757" s="21"/>
      <c r="B7757"/>
      <c r="F7757" s="87"/>
      <c r="H7757" s="87"/>
      <c r="I7757" s="89"/>
    </row>
    <row r="7758" spans="1:9">
      <c r="A7758" s="21"/>
      <c r="B7758"/>
      <c r="F7758" s="87"/>
      <c r="H7758" s="87"/>
      <c r="I7758" s="89"/>
    </row>
    <row r="7759" spans="1:9">
      <c r="A7759" s="21"/>
      <c r="B7759"/>
      <c r="F7759" s="87"/>
      <c r="H7759" s="87"/>
      <c r="I7759" s="89"/>
    </row>
    <row r="7760" spans="1:9">
      <c r="A7760" s="21"/>
      <c r="B7760"/>
      <c r="F7760" s="87"/>
      <c r="H7760" s="87"/>
      <c r="I7760" s="89"/>
    </row>
    <row r="7761" spans="1:9">
      <c r="A7761" s="21"/>
      <c r="B7761"/>
      <c r="F7761" s="87"/>
      <c r="H7761" s="87"/>
      <c r="I7761" s="89"/>
    </row>
    <row r="7762" spans="1:9">
      <c r="A7762" s="21"/>
      <c r="B7762"/>
      <c r="F7762" s="87"/>
      <c r="H7762" s="87"/>
      <c r="I7762" s="89"/>
    </row>
    <row r="7763" spans="1:9">
      <c r="A7763" s="21"/>
      <c r="B7763"/>
      <c r="F7763" s="87"/>
      <c r="H7763" s="87"/>
      <c r="I7763" s="89"/>
    </row>
    <row r="7764" spans="1:9">
      <c r="A7764" s="21"/>
      <c r="B7764"/>
      <c r="F7764" s="87"/>
      <c r="H7764" s="87"/>
      <c r="I7764" s="89"/>
    </row>
    <row r="7765" spans="1:9">
      <c r="A7765" s="21"/>
      <c r="B7765"/>
      <c r="F7765" s="87"/>
      <c r="H7765" s="87"/>
      <c r="I7765" s="89"/>
    </row>
    <row r="7766" spans="1:9">
      <c r="A7766" s="21"/>
      <c r="B7766"/>
      <c r="F7766" s="87"/>
      <c r="H7766" s="87"/>
      <c r="I7766" s="89"/>
    </row>
    <row r="7767" spans="1:9">
      <c r="A7767" s="21"/>
      <c r="B7767"/>
      <c r="F7767" s="87"/>
      <c r="H7767" s="87"/>
      <c r="I7767" s="89"/>
    </row>
    <row r="7768" spans="1:9">
      <c r="A7768" s="21"/>
      <c r="B7768"/>
      <c r="F7768" s="87"/>
      <c r="H7768" s="87"/>
      <c r="I7768" s="89"/>
    </row>
    <row r="7769" spans="1:9">
      <c r="A7769" s="21"/>
      <c r="B7769"/>
      <c r="F7769" s="87"/>
      <c r="H7769" s="87"/>
      <c r="I7769" s="89"/>
    </row>
    <row r="7770" spans="1:9">
      <c r="A7770" s="21"/>
      <c r="B7770"/>
      <c r="F7770" s="87"/>
      <c r="H7770" s="87"/>
      <c r="I7770" s="89"/>
    </row>
    <row r="7771" spans="1:9">
      <c r="A7771" s="21"/>
      <c r="B7771"/>
      <c r="F7771" s="87"/>
      <c r="H7771" s="87"/>
      <c r="I7771" s="89"/>
    </row>
    <row r="7772" spans="1:9">
      <c r="A7772" s="21"/>
      <c r="B7772"/>
      <c r="F7772" s="87"/>
      <c r="H7772" s="87"/>
      <c r="I7772" s="89"/>
    </row>
    <row r="7773" spans="1:9">
      <c r="A7773" s="21"/>
      <c r="B7773"/>
      <c r="F7773" s="87"/>
      <c r="H7773" s="87"/>
      <c r="I7773" s="89"/>
    </row>
    <row r="7774" spans="1:9">
      <c r="A7774" s="21"/>
      <c r="B7774"/>
      <c r="F7774" s="87"/>
      <c r="H7774" s="87"/>
      <c r="I7774" s="89"/>
    </row>
    <row r="7775" spans="1:9">
      <c r="A7775" s="21"/>
      <c r="B7775"/>
      <c r="F7775" s="87"/>
      <c r="H7775" s="87"/>
      <c r="I7775" s="89"/>
    </row>
    <row r="7776" spans="1:9">
      <c r="A7776" s="21"/>
      <c r="B7776"/>
      <c r="F7776" s="87"/>
      <c r="H7776" s="87"/>
      <c r="I7776" s="89"/>
    </row>
    <row r="7777" spans="1:9">
      <c r="A7777" s="21"/>
      <c r="B7777"/>
      <c r="F7777" s="87"/>
      <c r="H7777" s="87"/>
      <c r="I7777" s="89"/>
    </row>
    <row r="7778" spans="1:9">
      <c r="A7778" s="21"/>
      <c r="B7778"/>
      <c r="F7778" s="87"/>
      <c r="H7778" s="87"/>
      <c r="I7778" s="89"/>
    </row>
    <row r="7779" spans="1:9">
      <c r="A7779" s="21"/>
      <c r="B7779"/>
      <c r="F7779" s="87"/>
      <c r="H7779" s="87"/>
      <c r="I7779" s="89"/>
    </row>
    <row r="7780" spans="1:9">
      <c r="A7780" s="21"/>
      <c r="B7780"/>
      <c r="F7780" s="87"/>
      <c r="H7780" s="87"/>
      <c r="I7780" s="89"/>
    </row>
    <row r="7781" spans="1:9">
      <c r="A7781" s="21"/>
      <c r="B7781"/>
      <c r="F7781" s="87"/>
      <c r="H7781" s="87"/>
      <c r="I7781" s="89"/>
    </row>
    <row r="7782" spans="1:9">
      <c r="A7782" s="21"/>
      <c r="B7782"/>
      <c r="F7782" s="87"/>
      <c r="H7782" s="87"/>
      <c r="I7782" s="89"/>
    </row>
    <row r="7783" spans="1:9">
      <c r="A7783" s="21"/>
      <c r="B7783"/>
      <c r="F7783" s="87"/>
      <c r="H7783" s="87"/>
      <c r="I7783" s="89"/>
    </row>
    <row r="7784" spans="1:9">
      <c r="A7784" s="21"/>
      <c r="B7784"/>
      <c r="F7784" s="87"/>
      <c r="H7784" s="87"/>
      <c r="I7784" s="89"/>
    </row>
    <row r="7785" spans="1:9">
      <c r="A7785" s="21"/>
      <c r="B7785"/>
      <c r="F7785" s="87"/>
      <c r="H7785" s="87"/>
      <c r="I7785" s="89"/>
    </row>
    <row r="7786" spans="1:9">
      <c r="A7786" s="21"/>
      <c r="B7786"/>
      <c r="F7786" s="87"/>
      <c r="H7786" s="87"/>
      <c r="I7786" s="89"/>
    </row>
    <row r="7787" spans="1:9">
      <c r="A7787" s="21"/>
      <c r="B7787"/>
      <c r="F7787" s="87"/>
      <c r="H7787" s="87"/>
      <c r="I7787" s="89"/>
    </row>
    <row r="7788" spans="1:9">
      <c r="A7788" s="21"/>
      <c r="B7788"/>
      <c r="F7788" s="87"/>
      <c r="H7788" s="87"/>
      <c r="I7788" s="89"/>
    </row>
    <row r="7789" spans="1:9">
      <c r="A7789" s="21"/>
      <c r="B7789"/>
      <c r="F7789" s="87"/>
      <c r="H7789" s="87"/>
      <c r="I7789" s="89"/>
    </row>
    <row r="7790" spans="1:9">
      <c r="A7790" s="21"/>
      <c r="B7790"/>
      <c r="F7790" s="87"/>
      <c r="H7790" s="87"/>
      <c r="I7790" s="89"/>
    </row>
    <row r="7791" spans="1:9">
      <c r="A7791" s="21"/>
      <c r="B7791"/>
      <c r="F7791" s="87"/>
      <c r="H7791" s="87"/>
      <c r="I7791" s="89"/>
    </row>
    <row r="7792" spans="1:9">
      <c r="A7792" s="21"/>
      <c r="B7792"/>
      <c r="F7792" s="87"/>
      <c r="H7792" s="87"/>
      <c r="I7792" s="89"/>
    </row>
    <row r="7793" spans="1:9">
      <c r="A7793" s="21"/>
      <c r="B7793"/>
      <c r="F7793" s="87"/>
      <c r="H7793" s="87"/>
      <c r="I7793" s="89"/>
    </row>
    <row r="7794" spans="1:9">
      <c r="A7794" s="21"/>
      <c r="B7794"/>
      <c r="F7794" s="87"/>
      <c r="H7794" s="87"/>
      <c r="I7794" s="89"/>
    </row>
    <row r="7795" spans="1:9">
      <c r="A7795" s="21"/>
      <c r="B7795"/>
      <c r="F7795" s="87"/>
      <c r="H7795" s="87"/>
      <c r="I7795" s="89"/>
    </row>
    <row r="7796" spans="1:9">
      <c r="A7796" s="21"/>
      <c r="B7796"/>
      <c r="F7796" s="87"/>
      <c r="H7796" s="87"/>
      <c r="I7796" s="89"/>
    </row>
    <row r="7797" spans="1:9">
      <c r="A7797" s="21"/>
      <c r="B7797"/>
      <c r="F7797" s="87"/>
      <c r="H7797" s="87"/>
      <c r="I7797" s="89"/>
    </row>
    <row r="7798" spans="1:9">
      <c r="A7798" s="21"/>
      <c r="B7798"/>
      <c r="F7798" s="87"/>
      <c r="H7798" s="87"/>
      <c r="I7798" s="89"/>
    </row>
    <row r="7799" spans="1:9">
      <c r="A7799" s="21"/>
      <c r="B7799"/>
      <c r="F7799" s="87"/>
      <c r="H7799" s="87"/>
      <c r="I7799" s="89"/>
    </row>
    <row r="7800" spans="1:9">
      <c r="A7800" s="21"/>
      <c r="B7800"/>
      <c r="F7800" s="87"/>
      <c r="H7800" s="87"/>
      <c r="I7800" s="89"/>
    </row>
    <row r="7801" spans="1:9">
      <c r="A7801" s="21"/>
      <c r="B7801"/>
      <c r="F7801" s="87"/>
      <c r="H7801" s="87"/>
      <c r="I7801" s="89"/>
    </row>
    <row r="7802" spans="1:9">
      <c r="A7802" s="21"/>
      <c r="B7802"/>
      <c r="F7802" s="87"/>
      <c r="H7802" s="87"/>
      <c r="I7802" s="89"/>
    </row>
    <row r="7803" spans="1:9">
      <c r="A7803" s="21"/>
      <c r="B7803"/>
      <c r="F7803" s="87"/>
      <c r="H7803" s="87"/>
      <c r="I7803" s="89"/>
    </row>
    <row r="7804" spans="1:9">
      <c r="A7804" s="21"/>
      <c r="B7804"/>
      <c r="F7804" s="87"/>
      <c r="H7804" s="87"/>
      <c r="I7804" s="89"/>
    </row>
    <row r="7805" spans="1:9">
      <c r="A7805" s="21"/>
      <c r="B7805"/>
      <c r="F7805" s="87"/>
      <c r="H7805" s="87"/>
      <c r="I7805" s="89"/>
    </row>
    <row r="7806" spans="1:9">
      <c r="A7806" s="21"/>
      <c r="B7806"/>
      <c r="F7806" s="87"/>
      <c r="H7806" s="87"/>
      <c r="I7806" s="89"/>
    </row>
    <row r="7807" spans="1:9">
      <c r="A7807" s="21"/>
      <c r="B7807"/>
      <c r="F7807" s="87"/>
      <c r="H7807" s="87"/>
      <c r="I7807" s="89"/>
    </row>
    <row r="7808" spans="1:9">
      <c r="A7808" s="21"/>
      <c r="B7808"/>
      <c r="F7808" s="87"/>
      <c r="H7808" s="87"/>
      <c r="I7808" s="89"/>
    </row>
    <row r="7809" spans="1:9">
      <c r="A7809" s="21"/>
      <c r="B7809"/>
      <c r="F7809" s="87"/>
      <c r="H7809" s="87"/>
      <c r="I7809" s="89"/>
    </row>
    <row r="7810" spans="1:9">
      <c r="A7810" s="21"/>
      <c r="B7810"/>
      <c r="F7810" s="87"/>
      <c r="H7810" s="87"/>
      <c r="I7810" s="89"/>
    </row>
    <row r="7811" spans="1:9">
      <c r="A7811" s="21"/>
      <c r="B7811"/>
      <c r="F7811" s="87"/>
      <c r="H7811" s="87"/>
      <c r="I7811" s="89"/>
    </row>
    <row r="7812" spans="1:9">
      <c r="A7812" s="21"/>
      <c r="B7812"/>
      <c r="F7812" s="87"/>
      <c r="H7812" s="87"/>
      <c r="I7812" s="89"/>
    </row>
    <row r="7813" spans="1:9">
      <c r="A7813" s="21"/>
      <c r="B7813"/>
      <c r="F7813" s="87"/>
      <c r="H7813" s="87"/>
      <c r="I7813" s="89"/>
    </row>
    <row r="7814" spans="1:9">
      <c r="A7814" s="21"/>
      <c r="B7814"/>
      <c r="F7814" s="87"/>
      <c r="H7814" s="87"/>
      <c r="I7814" s="89"/>
    </row>
    <row r="7815" spans="1:9">
      <c r="A7815" s="21"/>
      <c r="B7815"/>
      <c r="F7815" s="87"/>
      <c r="H7815" s="87"/>
      <c r="I7815" s="89"/>
    </row>
    <row r="7816" spans="1:9">
      <c r="A7816" s="21"/>
      <c r="B7816"/>
      <c r="F7816" s="87"/>
      <c r="H7816" s="87"/>
      <c r="I7816" s="89"/>
    </row>
    <row r="7817" spans="1:9">
      <c r="A7817" s="21"/>
      <c r="B7817"/>
      <c r="F7817" s="87"/>
      <c r="H7817" s="87"/>
      <c r="I7817" s="89"/>
    </row>
    <row r="7818" spans="1:9">
      <c r="A7818" s="21"/>
      <c r="B7818"/>
      <c r="F7818" s="87"/>
      <c r="H7818" s="87"/>
      <c r="I7818" s="89"/>
    </row>
    <row r="7819" spans="1:9">
      <c r="A7819" s="21"/>
      <c r="B7819"/>
      <c r="F7819" s="87"/>
      <c r="H7819" s="87"/>
      <c r="I7819" s="89"/>
    </row>
    <row r="7820" spans="1:9">
      <c r="A7820" s="21"/>
      <c r="B7820"/>
      <c r="F7820" s="87"/>
      <c r="H7820" s="87"/>
      <c r="I7820" s="89"/>
    </row>
    <row r="7821" spans="1:9">
      <c r="A7821" s="21"/>
      <c r="B7821"/>
      <c r="F7821" s="87"/>
      <c r="H7821" s="87"/>
      <c r="I7821" s="89"/>
    </row>
    <row r="7822" spans="1:9">
      <c r="A7822" s="21"/>
      <c r="B7822"/>
      <c r="F7822" s="87"/>
      <c r="H7822" s="87"/>
      <c r="I7822" s="89"/>
    </row>
    <row r="7823" spans="1:9">
      <c r="A7823" s="21"/>
      <c r="B7823"/>
      <c r="F7823" s="87"/>
      <c r="H7823" s="87"/>
      <c r="I7823" s="89"/>
    </row>
    <row r="7824" spans="1:9">
      <c r="A7824" s="21"/>
      <c r="B7824"/>
      <c r="F7824" s="87"/>
      <c r="H7824" s="87"/>
      <c r="I7824" s="89"/>
    </row>
    <row r="7825" spans="1:9">
      <c r="A7825" s="21"/>
      <c r="B7825"/>
      <c r="F7825" s="87"/>
      <c r="H7825" s="87"/>
      <c r="I7825" s="89"/>
    </row>
    <row r="7826" spans="1:9">
      <c r="A7826" s="21"/>
      <c r="B7826"/>
      <c r="F7826" s="87"/>
      <c r="H7826" s="87"/>
      <c r="I7826" s="89"/>
    </row>
    <row r="7827" spans="1:9">
      <c r="A7827" s="21"/>
      <c r="B7827"/>
      <c r="F7827" s="87"/>
      <c r="H7827" s="87"/>
      <c r="I7827" s="89"/>
    </row>
    <row r="7828" spans="1:9">
      <c r="A7828" s="21"/>
      <c r="B7828"/>
      <c r="F7828" s="87"/>
      <c r="H7828" s="87"/>
      <c r="I7828" s="89"/>
    </row>
    <row r="7829" spans="1:9">
      <c r="A7829" s="21"/>
      <c r="B7829"/>
      <c r="F7829" s="87"/>
      <c r="H7829" s="87"/>
      <c r="I7829" s="89"/>
    </row>
    <row r="7830" spans="1:9">
      <c r="A7830" s="21"/>
      <c r="B7830"/>
      <c r="F7830" s="87"/>
      <c r="H7830" s="87"/>
      <c r="I7830" s="89"/>
    </row>
    <row r="7831" spans="1:9">
      <c r="A7831" s="21"/>
      <c r="B7831"/>
      <c r="F7831" s="87"/>
      <c r="H7831" s="87"/>
      <c r="I7831" s="89"/>
    </row>
    <row r="7832" spans="1:9">
      <c r="A7832" s="21"/>
      <c r="B7832"/>
      <c r="F7832" s="87"/>
      <c r="H7832" s="87"/>
      <c r="I7832" s="89"/>
    </row>
    <row r="7833" spans="1:9">
      <c r="A7833" s="21"/>
      <c r="B7833"/>
      <c r="F7833" s="87"/>
      <c r="H7833" s="87"/>
      <c r="I7833" s="89"/>
    </row>
    <row r="7834" spans="1:9">
      <c r="A7834" s="21"/>
      <c r="B7834"/>
      <c r="F7834" s="87"/>
      <c r="H7834" s="87"/>
      <c r="I7834" s="89"/>
    </row>
    <row r="7835" spans="1:9">
      <c r="A7835" s="21"/>
      <c r="B7835"/>
      <c r="F7835" s="87"/>
      <c r="H7835" s="87"/>
      <c r="I7835" s="89"/>
    </row>
    <row r="7836" spans="1:9">
      <c r="A7836" s="21"/>
      <c r="B7836"/>
      <c r="F7836" s="87"/>
      <c r="H7836" s="87"/>
      <c r="I7836" s="89"/>
    </row>
    <row r="7837" spans="1:9">
      <c r="A7837" s="21"/>
      <c r="B7837"/>
      <c r="F7837" s="87"/>
      <c r="H7837" s="87"/>
      <c r="I7837" s="89"/>
    </row>
    <row r="7838" spans="1:9">
      <c r="A7838" s="21"/>
      <c r="B7838"/>
      <c r="F7838" s="87"/>
      <c r="H7838" s="87"/>
      <c r="I7838" s="89"/>
    </row>
    <row r="7839" spans="1:9">
      <c r="A7839" s="21"/>
      <c r="B7839"/>
      <c r="F7839" s="87"/>
      <c r="H7839" s="87"/>
      <c r="I7839" s="89"/>
    </row>
    <row r="7840" spans="1:9">
      <c r="A7840" s="21"/>
      <c r="B7840"/>
      <c r="F7840" s="87"/>
      <c r="H7840" s="87"/>
      <c r="I7840" s="89"/>
    </row>
    <row r="7841" spans="1:9">
      <c r="A7841" s="21"/>
      <c r="B7841"/>
      <c r="F7841" s="87"/>
      <c r="H7841" s="87"/>
      <c r="I7841" s="89"/>
    </row>
    <row r="7842" spans="1:9">
      <c r="A7842" s="21"/>
      <c r="B7842"/>
      <c r="F7842" s="87"/>
      <c r="H7842" s="87"/>
      <c r="I7842" s="89"/>
    </row>
    <row r="7843" spans="1:9">
      <c r="A7843" s="21"/>
      <c r="B7843"/>
      <c r="F7843" s="87"/>
      <c r="H7843" s="87"/>
      <c r="I7843" s="89"/>
    </row>
    <row r="7844" spans="1:9">
      <c r="A7844" s="21"/>
      <c r="B7844"/>
      <c r="F7844" s="87"/>
      <c r="H7844" s="87"/>
      <c r="I7844" s="89"/>
    </row>
    <row r="7845" spans="1:9">
      <c r="A7845" s="21"/>
      <c r="B7845"/>
      <c r="F7845" s="87"/>
      <c r="H7845" s="87"/>
      <c r="I7845" s="89"/>
    </row>
    <row r="7846" spans="1:9">
      <c r="A7846" s="21"/>
      <c r="B7846"/>
      <c r="F7846" s="87"/>
      <c r="H7846" s="87"/>
      <c r="I7846" s="89"/>
    </row>
    <row r="7847" spans="1:9">
      <c r="A7847" s="21"/>
      <c r="B7847"/>
      <c r="F7847" s="87"/>
      <c r="H7847" s="87"/>
      <c r="I7847" s="89"/>
    </row>
    <row r="7848" spans="1:9">
      <c r="A7848" s="21"/>
      <c r="B7848"/>
      <c r="F7848" s="87"/>
      <c r="H7848" s="87"/>
      <c r="I7848" s="89"/>
    </row>
    <row r="7849" spans="1:9">
      <c r="A7849" s="21"/>
      <c r="B7849"/>
      <c r="F7849" s="87"/>
      <c r="H7849" s="87"/>
      <c r="I7849" s="89"/>
    </row>
    <row r="7850" spans="1:9">
      <c r="A7850" s="21"/>
      <c r="B7850"/>
      <c r="F7850" s="87"/>
      <c r="H7850" s="87"/>
      <c r="I7850" s="89"/>
    </row>
    <row r="7851" spans="1:9">
      <c r="A7851" s="21"/>
      <c r="B7851"/>
      <c r="F7851" s="87"/>
      <c r="H7851" s="87"/>
      <c r="I7851" s="89"/>
    </row>
    <row r="7852" spans="1:9">
      <c r="A7852" s="21"/>
      <c r="B7852"/>
      <c r="F7852" s="87"/>
      <c r="H7852" s="87"/>
      <c r="I7852" s="89"/>
    </row>
    <row r="7853" spans="1:9">
      <c r="A7853" s="21"/>
      <c r="B7853"/>
      <c r="F7853" s="87"/>
      <c r="H7853" s="87"/>
      <c r="I7853" s="89"/>
    </row>
    <row r="7854" spans="1:9">
      <c r="A7854" s="21"/>
      <c r="B7854"/>
      <c r="F7854" s="87"/>
      <c r="H7854" s="87"/>
      <c r="I7854" s="89"/>
    </row>
    <row r="7855" spans="1:9">
      <c r="A7855" s="21"/>
      <c r="B7855"/>
      <c r="F7855" s="87"/>
      <c r="H7855" s="87"/>
      <c r="I7855" s="89"/>
    </row>
    <row r="7856" spans="1:9">
      <c r="A7856" s="21"/>
      <c r="B7856"/>
      <c r="F7856" s="87"/>
      <c r="H7856" s="87"/>
      <c r="I7856" s="89"/>
    </row>
    <row r="7857" spans="1:9">
      <c r="A7857" s="21"/>
      <c r="B7857"/>
      <c r="F7857" s="87"/>
      <c r="H7857" s="87"/>
      <c r="I7857" s="89"/>
    </row>
    <row r="7858" spans="1:9">
      <c r="A7858" s="21"/>
      <c r="B7858"/>
      <c r="F7858" s="87"/>
      <c r="H7858" s="87"/>
      <c r="I7858" s="89"/>
    </row>
    <row r="7859" spans="1:9">
      <c r="A7859" s="21"/>
      <c r="B7859"/>
      <c r="F7859" s="87"/>
      <c r="H7859" s="87"/>
      <c r="I7859" s="89"/>
    </row>
    <row r="7860" spans="1:9">
      <c r="A7860" s="21"/>
      <c r="B7860"/>
      <c r="F7860" s="87"/>
      <c r="H7860" s="87"/>
      <c r="I7860" s="89"/>
    </row>
    <row r="7861" spans="1:9">
      <c r="A7861" s="21"/>
      <c r="B7861"/>
      <c r="F7861" s="87"/>
      <c r="H7861" s="87"/>
      <c r="I7861" s="89"/>
    </row>
    <row r="7862" spans="1:9">
      <c r="A7862" s="21"/>
      <c r="B7862"/>
      <c r="F7862" s="87"/>
      <c r="H7862" s="87"/>
      <c r="I7862" s="89"/>
    </row>
    <row r="7863" spans="1:9">
      <c r="A7863" s="21"/>
      <c r="B7863"/>
      <c r="F7863" s="87"/>
      <c r="H7863" s="87"/>
      <c r="I7863" s="89"/>
    </row>
    <row r="7864" spans="1:9">
      <c r="A7864" s="21"/>
      <c r="B7864"/>
      <c r="F7864" s="87"/>
      <c r="H7864" s="87"/>
      <c r="I7864" s="89"/>
    </row>
    <row r="7865" spans="1:9">
      <c r="A7865" s="21"/>
      <c r="B7865"/>
      <c r="F7865" s="87"/>
      <c r="H7865" s="87"/>
      <c r="I7865" s="89"/>
    </row>
    <row r="7866" spans="1:9">
      <c r="A7866" s="21"/>
      <c r="B7866"/>
      <c r="F7866" s="87"/>
      <c r="H7866" s="87"/>
      <c r="I7866" s="89"/>
    </row>
    <row r="7867" spans="1:9">
      <c r="A7867" s="21"/>
      <c r="B7867"/>
      <c r="F7867" s="87"/>
      <c r="H7867" s="87"/>
      <c r="I7867" s="89"/>
    </row>
    <row r="7868" spans="1:9">
      <c r="A7868" s="21"/>
      <c r="B7868"/>
      <c r="F7868" s="87"/>
      <c r="H7868" s="87"/>
      <c r="I7868" s="89"/>
    </row>
    <row r="7869" spans="1:9">
      <c r="A7869" s="21"/>
      <c r="B7869"/>
      <c r="F7869" s="87"/>
      <c r="H7869" s="87"/>
      <c r="I7869" s="89"/>
    </row>
    <row r="7870" spans="1:9">
      <c r="A7870" s="21"/>
      <c r="B7870"/>
      <c r="F7870" s="87"/>
      <c r="H7870" s="87"/>
      <c r="I7870" s="89"/>
    </row>
    <row r="7871" spans="1:9">
      <c r="A7871" s="21"/>
      <c r="B7871"/>
      <c r="F7871" s="87"/>
      <c r="H7871" s="87"/>
      <c r="I7871" s="89"/>
    </row>
    <row r="7872" spans="1:9">
      <c r="A7872" s="21"/>
      <c r="B7872"/>
      <c r="F7872" s="87"/>
      <c r="H7872" s="87"/>
      <c r="I7872" s="89"/>
    </row>
    <row r="7873" spans="1:9">
      <c r="A7873" s="21"/>
      <c r="B7873"/>
      <c r="F7873" s="87"/>
      <c r="H7873" s="87"/>
      <c r="I7873" s="89"/>
    </row>
    <row r="7874" spans="1:9">
      <c r="A7874" s="21"/>
      <c r="B7874"/>
      <c r="F7874" s="87"/>
      <c r="H7874" s="87"/>
      <c r="I7874" s="89"/>
    </row>
    <row r="7875" spans="1:9">
      <c r="A7875" s="21"/>
      <c r="B7875"/>
      <c r="F7875" s="87"/>
      <c r="H7875" s="87"/>
      <c r="I7875" s="89"/>
    </row>
    <row r="7876" spans="1:9">
      <c r="A7876" s="21"/>
      <c r="B7876"/>
      <c r="F7876" s="87"/>
      <c r="H7876" s="87"/>
      <c r="I7876" s="89"/>
    </row>
    <row r="7877" spans="1:9">
      <c r="A7877" s="21"/>
      <c r="B7877"/>
      <c r="F7877" s="87"/>
      <c r="H7877" s="87"/>
      <c r="I7877" s="89"/>
    </row>
    <row r="7878" spans="1:9">
      <c r="A7878" s="21"/>
      <c r="B7878"/>
      <c r="F7878" s="87"/>
      <c r="H7878" s="87"/>
      <c r="I7878" s="89"/>
    </row>
    <row r="7879" spans="1:9">
      <c r="A7879" s="21"/>
      <c r="B7879"/>
      <c r="F7879" s="87"/>
      <c r="H7879" s="87"/>
      <c r="I7879" s="89"/>
    </row>
    <row r="7880" spans="1:9">
      <c r="A7880" s="21"/>
      <c r="B7880"/>
      <c r="F7880" s="87"/>
      <c r="H7880" s="87"/>
      <c r="I7880" s="89"/>
    </row>
    <row r="7881" spans="1:9">
      <c r="A7881" s="21"/>
      <c r="B7881"/>
      <c r="F7881" s="87"/>
      <c r="H7881" s="87"/>
      <c r="I7881" s="89"/>
    </row>
    <row r="7882" spans="1:9">
      <c r="A7882" s="21"/>
      <c r="B7882"/>
      <c r="F7882" s="87"/>
      <c r="H7882" s="87"/>
      <c r="I7882" s="89"/>
    </row>
    <row r="7883" spans="1:9">
      <c r="A7883" s="21"/>
      <c r="B7883"/>
      <c r="F7883" s="87"/>
      <c r="H7883" s="87"/>
      <c r="I7883" s="89"/>
    </row>
    <row r="7884" spans="1:9">
      <c r="A7884" s="21"/>
      <c r="B7884"/>
      <c r="F7884" s="87"/>
      <c r="H7884" s="87"/>
      <c r="I7884" s="89"/>
    </row>
    <row r="7885" spans="1:9">
      <c r="A7885" s="21"/>
      <c r="B7885"/>
      <c r="F7885" s="87"/>
      <c r="H7885" s="87"/>
      <c r="I7885" s="89"/>
    </row>
    <row r="7886" spans="1:9">
      <c r="A7886" s="21"/>
      <c r="B7886"/>
      <c r="F7886" s="87"/>
      <c r="H7886" s="87"/>
      <c r="I7886" s="89"/>
    </row>
    <row r="7887" spans="1:9">
      <c r="A7887" s="21"/>
      <c r="B7887"/>
      <c r="F7887" s="87"/>
      <c r="H7887" s="87"/>
      <c r="I7887" s="89"/>
    </row>
    <row r="7888" spans="1:9">
      <c r="A7888" s="21"/>
      <c r="B7888"/>
      <c r="F7888" s="87"/>
      <c r="H7888" s="87"/>
      <c r="I7888" s="89"/>
    </row>
    <row r="7889" spans="1:9">
      <c r="A7889" s="21"/>
      <c r="B7889"/>
      <c r="F7889" s="87"/>
      <c r="H7889" s="87"/>
      <c r="I7889" s="89"/>
    </row>
    <row r="7890" spans="1:9">
      <c r="A7890" s="21"/>
      <c r="B7890"/>
      <c r="F7890" s="87"/>
      <c r="H7890" s="87"/>
      <c r="I7890" s="89"/>
    </row>
    <row r="7891" spans="1:9">
      <c r="A7891" s="21"/>
      <c r="B7891"/>
      <c r="F7891" s="87"/>
      <c r="H7891" s="87"/>
      <c r="I7891" s="89"/>
    </row>
    <row r="7892" spans="1:9">
      <c r="A7892" s="21"/>
      <c r="B7892"/>
      <c r="F7892" s="87"/>
      <c r="H7892" s="87"/>
      <c r="I7892" s="89"/>
    </row>
    <row r="7893" spans="1:9">
      <c r="A7893" s="21"/>
      <c r="B7893"/>
      <c r="F7893" s="87"/>
      <c r="H7893" s="87"/>
      <c r="I7893" s="89"/>
    </row>
    <row r="7894" spans="1:9">
      <c r="A7894" s="21"/>
      <c r="B7894"/>
      <c r="F7894" s="87"/>
      <c r="H7894" s="87"/>
      <c r="I7894" s="89"/>
    </row>
    <row r="7895" spans="1:9">
      <c r="A7895" s="21"/>
      <c r="B7895"/>
      <c r="F7895" s="87"/>
      <c r="H7895" s="87"/>
      <c r="I7895" s="89"/>
    </row>
    <row r="7896" spans="1:9">
      <c r="A7896" s="21"/>
      <c r="B7896"/>
      <c r="F7896" s="87"/>
      <c r="H7896" s="87"/>
      <c r="I7896" s="89"/>
    </row>
    <row r="7897" spans="1:9">
      <c r="A7897" s="21"/>
      <c r="B7897"/>
      <c r="F7897" s="87"/>
      <c r="H7897" s="87"/>
      <c r="I7897" s="89"/>
    </row>
    <row r="7898" spans="1:9">
      <c r="A7898" s="21"/>
      <c r="B7898"/>
      <c r="F7898" s="87"/>
      <c r="H7898" s="87"/>
      <c r="I7898" s="89"/>
    </row>
    <row r="7899" spans="1:9">
      <c r="A7899" s="21"/>
      <c r="B7899"/>
      <c r="F7899" s="87"/>
      <c r="H7899" s="87"/>
      <c r="I7899" s="89"/>
    </row>
    <row r="7900" spans="1:9">
      <c r="A7900" s="21"/>
      <c r="B7900"/>
      <c r="F7900" s="87"/>
      <c r="H7900" s="87"/>
      <c r="I7900" s="89"/>
    </row>
    <row r="7901" spans="1:9">
      <c r="A7901" s="21"/>
      <c r="B7901"/>
      <c r="F7901" s="87"/>
      <c r="H7901" s="87"/>
      <c r="I7901" s="89"/>
    </row>
    <row r="7902" spans="1:9">
      <c r="A7902" s="21"/>
      <c r="B7902"/>
      <c r="F7902" s="87"/>
      <c r="H7902" s="87"/>
      <c r="I7902" s="89"/>
    </row>
    <row r="7903" spans="1:9">
      <c r="A7903" s="21"/>
      <c r="B7903"/>
      <c r="F7903" s="87"/>
      <c r="H7903" s="87"/>
      <c r="I7903" s="89"/>
    </row>
    <row r="7904" spans="1:9">
      <c r="A7904" s="21"/>
      <c r="B7904"/>
      <c r="F7904" s="87"/>
      <c r="H7904" s="87"/>
      <c r="I7904" s="89"/>
    </row>
    <row r="7905" spans="1:9">
      <c r="A7905" s="21"/>
      <c r="B7905"/>
      <c r="F7905" s="87"/>
      <c r="H7905" s="87"/>
      <c r="I7905" s="89"/>
    </row>
    <row r="7906" spans="1:9">
      <c r="A7906" s="21"/>
      <c r="B7906"/>
      <c r="F7906" s="87"/>
      <c r="H7906" s="87"/>
      <c r="I7906" s="89"/>
    </row>
    <row r="7907" spans="1:9">
      <c r="A7907" s="21"/>
      <c r="B7907"/>
      <c r="F7907" s="87"/>
      <c r="H7907" s="87"/>
      <c r="I7907" s="89"/>
    </row>
    <row r="7908" spans="1:9">
      <c r="A7908" s="21"/>
      <c r="B7908"/>
      <c r="F7908" s="87"/>
      <c r="H7908" s="87"/>
      <c r="I7908" s="89"/>
    </row>
    <row r="7909" spans="1:9">
      <c r="A7909" s="21"/>
      <c r="B7909"/>
      <c r="F7909" s="87"/>
      <c r="H7909" s="87"/>
      <c r="I7909" s="89"/>
    </row>
    <row r="7910" spans="1:9">
      <c r="A7910" s="21"/>
      <c r="B7910"/>
      <c r="F7910" s="87"/>
      <c r="H7910" s="87"/>
      <c r="I7910" s="89"/>
    </row>
    <row r="7911" spans="1:9">
      <c r="A7911" s="21"/>
      <c r="B7911"/>
      <c r="F7911" s="87"/>
      <c r="H7911" s="87"/>
      <c r="I7911" s="89"/>
    </row>
    <row r="7912" spans="1:9">
      <c r="A7912" s="21"/>
      <c r="B7912"/>
      <c r="F7912" s="87"/>
      <c r="H7912" s="87"/>
      <c r="I7912" s="89"/>
    </row>
    <row r="7913" spans="1:9">
      <c r="A7913" s="21"/>
      <c r="B7913"/>
      <c r="F7913" s="87"/>
      <c r="H7913" s="87"/>
      <c r="I7913" s="89"/>
    </row>
    <row r="7914" spans="1:9">
      <c r="A7914" s="21"/>
      <c r="B7914"/>
      <c r="F7914" s="87"/>
      <c r="H7914" s="87"/>
      <c r="I7914" s="89"/>
    </row>
    <row r="7915" spans="1:9">
      <c r="A7915" s="21"/>
      <c r="B7915"/>
      <c r="F7915" s="87"/>
      <c r="H7915" s="87"/>
      <c r="I7915" s="89"/>
    </row>
    <row r="7916" spans="1:9">
      <c r="A7916" s="21"/>
      <c r="B7916"/>
      <c r="F7916" s="87"/>
      <c r="H7916" s="87"/>
      <c r="I7916" s="89"/>
    </row>
    <row r="7917" spans="1:9">
      <c r="A7917" s="21"/>
      <c r="B7917"/>
      <c r="F7917" s="87"/>
      <c r="H7917" s="87"/>
      <c r="I7917" s="89"/>
    </row>
    <row r="7918" spans="1:9">
      <c r="A7918" s="21"/>
      <c r="B7918"/>
      <c r="F7918" s="87"/>
      <c r="H7918" s="87"/>
      <c r="I7918" s="89"/>
    </row>
    <row r="7919" spans="1:9">
      <c r="A7919" s="21"/>
      <c r="B7919"/>
      <c r="F7919" s="87"/>
      <c r="H7919" s="87"/>
      <c r="I7919" s="89"/>
    </row>
    <row r="7920" spans="1:9">
      <c r="A7920" s="21"/>
      <c r="B7920"/>
      <c r="F7920" s="87"/>
      <c r="H7920" s="87"/>
      <c r="I7920" s="89"/>
    </row>
    <row r="7921" spans="1:9">
      <c r="A7921" s="21"/>
      <c r="B7921"/>
      <c r="F7921" s="87"/>
      <c r="H7921" s="87"/>
      <c r="I7921" s="89"/>
    </row>
    <row r="7922" spans="1:9">
      <c r="A7922" s="21"/>
      <c r="B7922"/>
      <c r="F7922" s="87"/>
      <c r="H7922" s="87"/>
      <c r="I7922" s="89"/>
    </row>
    <row r="7923" spans="1:9">
      <c r="A7923" s="21"/>
      <c r="B7923"/>
      <c r="F7923" s="87"/>
      <c r="H7923" s="87"/>
      <c r="I7923" s="89"/>
    </row>
    <row r="7924" spans="1:9">
      <c r="A7924" s="21"/>
      <c r="B7924"/>
      <c r="F7924" s="87"/>
      <c r="H7924" s="87"/>
      <c r="I7924" s="89"/>
    </row>
    <row r="7925" spans="1:9">
      <c r="A7925" s="21"/>
      <c r="B7925"/>
      <c r="F7925" s="87"/>
      <c r="H7925" s="87"/>
      <c r="I7925" s="89"/>
    </row>
    <row r="7926" spans="1:9">
      <c r="A7926" s="21"/>
      <c r="B7926"/>
      <c r="F7926" s="87"/>
      <c r="H7926" s="87"/>
      <c r="I7926" s="89"/>
    </row>
    <row r="7927" spans="1:9">
      <c r="A7927" s="21"/>
      <c r="B7927"/>
      <c r="F7927" s="87"/>
      <c r="H7927" s="87"/>
      <c r="I7927" s="89"/>
    </row>
    <row r="7928" spans="1:9">
      <c r="A7928" s="21"/>
      <c r="B7928"/>
      <c r="F7928" s="87"/>
      <c r="H7928" s="87"/>
      <c r="I7928" s="89"/>
    </row>
    <row r="7929" spans="1:9">
      <c r="A7929" s="21"/>
      <c r="B7929"/>
      <c r="F7929" s="87"/>
      <c r="H7929" s="87"/>
      <c r="I7929" s="89"/>
    </row>
    <row r="7930" spans="1:9">
      <c r="A7930" s="21"/>
      <c r="B7930"/>
      <c r="F7930" s="87"/>
      <c r="H7930" s="87"/>
      <c r="I7930" s="89"/>
    </row>
    <row r="7931" spans="1:9">
      <c r="A7931" s="21"/>
      <c r="B7931"/>
      <c r="F7931" s="87"/>
      <c r="H7931" s="87"/>
      <c r="I7931" s="89"/>
    </row>
    <row r="7932" spans="1:9">
      <c r="A7932" s="21"/>
      <c r="B7932"/>
      <c r="F7932" s="87"/>
      <c r="H7932" s="87"/>
      <c r="I7932" s="89"/>
    </row>
    <row r="7933" spans="1:9">
      <c r="A7933" s="21"/>
      <c r="B7933"/>
      <c r="F7933" s="87"/>
      <c r="H7933" s="87"/>
      <c r="I7933" s="89"/>
    </row>
    <row r="7934" spans="1:9">
      <c r="A7934" s="21"/>
      <c r="B7934"/>
      <c r="F7934" s="87"/>
      <c r="H7934" s="87"/>
      <c r="I7934" s="89"/>
    </row>
    <row r="7935" spans="1:9">
      <c r="A7935" s="21"/>
      <c r="B7935"/>
      <c r="F7935" s="87"/>
      <c r="H7935" s="87"/>
      <c r="I7935" s="89"/>
    </row>
    <row r="7936" spans="1:9">
      <c r="A7936" s="21"/>
      <c r="B7936"/>
      <c r="F7936" s="87"/>
      <c r="H7936" s="87"/>
      <c r="I7936" s="89"/>
    </row>
    <row r="7937" spans="1:9">
      <c r="A7937" s="21"/>
      <c r="B7937"/>
      <c r="F7937" s="87"/>
      <c r="H7937" s="87"/>
      <c r="I7937" s="89"/>
    </row>
    <row r="7938" spans="1:9">
      <c r="A7938" s="21"/>
      <c r="B7938"/>
      <c r="F7938" s="87"/>
      <c r="H7938" s="87"/>
      <c r="I7938" s="89"/>
    </row>
    <row r="7939" spans="1:9">
      <c r="A7939" s="21"/>
      <c r="B7939"/>
      <c r="F7939" s="87"/>
      <c r="H7939" s="87"/>
      <c r="I7939" s="89"/>
    </row>
    <row r="7940" spans="1:9">
      <c r="A7940" s="21"/>
      <c r="B7940"/>
      <c r="F7940" s="87"/>
      <c r="H7940" s="87"/>
      <c r="I7940" s="89"/>
    </row>
    <row r="7941" spans="1:9">
      <c r="A7941" s="21"/>
      <c r="B7941"/>
      <c r="F7941" s="87"/>
      <c r="H7941" s="87"/>
      <c r="I7941" s="89"/>
    </row>
    <row r="7942" spans="1:9">
      <c r="A7942" s="21"/>
      <c r="B7942"/>
      <c r="F7942" s="87"/>
      <c r="H7942" s="87"/>
      <c r="I7942" s="89"/>
    </row>
    <row r="7943" spans="1:9">
      <c r="A7943" s="21"/>
      <c r="B7943"/>
      <c r="F7943" s="87"/>
      <c r="H7943" s="87"/>
      <c r="I7943" s="89"/>
    </row>
    <row r="7944" spans="1:9">
      <c r="A7944" s="21"/>
      <c r="B7944"/>
      <c r="F7944" s="87"/>
      <c r="H7944" s="87"/>
      <c r="I7944" s="89"/>
    </row>
    <row r="7945" spans="1:9">
      <c r="A7945" s="21"/>
      <c r="B7945"/>
      <c r="F7945" s="87"/>
      <c r="H7945" s="87"/>
      <c r="I7945" s="89"/>
    </row>
    <row r="7946" spans="1:9">
      <c r="A7946" s="21"/>
      <c r="B7946"/>
      <c r="F7946" s="87"/>
      <c r="H7946" s="87"/>
      <c r="I7946" s="89"/>
    </row>
    <row r="7947" spans="1:9">
      <c r="A7947" s="21"/>
      <c r="B7947"/>
      <c r="F7947" s="87"/>
      <c r="H7947" s="87"/>
      <c r="I7947" s="89"/>
    </row>
    <row r="7948" spans="1:9">
      <c r="A7948" s="21"/>
      <c r="B7948"/>
      <c r="F7948" s="87"/>
      <c r="H7948" s="87"/>
      <c r="I7948" s="89"/>
    </row>
    <row r="7949" spans="1:9">
      <c r="A7949" s="21"/>
      <c r="B7949"/>
      <c r="F7949" s="87"/>
      <c r="H7949" s="87"/>
      <c r="I7949" s="89"/>
    </row>
    <row r="7950" spans="1:9">
      <c r="A7950" s="21"/>
      <c r="B7950"/>
      <c r="F7950" s="87"/>
      <c r="H7950" s="87"/>
      <c r="I7950" s="89"/>
    </row>
    <row r="7951" spans="1:9">
      <c r="A7951" s="21"/>
      <c r="B7951"/>
      <c r="F7951" s="87"/>
      <c r="H7951" s="87"/>
      <c r="I7951" s="89"/>
    </row>
    <row r="7952" spans="1:9">
      <c r="A7952" s="21"/>
      <c r="B7952"/>
      <c r="F7952" s="87"/>
      <c r="H7952" s="87"/>
      <c r="I7952" s="89"/>
    </row>
    <row r="7953" spans="1:9">
      <c r="A7953" s="21"/>
      <c r="B7953"/>
      <c r="F7953" s="87"/>
      <c r="H7953" s="87"/>
      <c r="I7953" s="89"/>
    </row>
    <row r="7954" spans="1:9">
      <c r="A7954" s="21"/>
      <c r="B7954"/>
      <c r="F7954" s="87"/>
      <c r="H7954" s="87"/>
      <c r="I7954" s="89"/>
    </row>
    <row r="7955" spans="1:9">
      <c r="A7955" s="21"/>
      <c r="B7955"/>
      <c r="F7955" s="87"/>
      <c r="H7955" s="87"/>
      <c r="I7955" s="89"/>
    </row>
    <row r="7956" spans="1:9">
      <c r="A7956" s="21"/>
      <c r="B7956"/>
      <c r="F7956" s="87"/>
      <c r="H7956" s="87"/>
      <c r="I7956" s="89"/>
    </row>
    <row r="7957" spans="1:9">
      <c r="A7957" s="21"/>
      <c r="B7957"/>
      <c r="F7957" s="87"/>
      <c r="H7957" s="87"/>
      <c r="I7957" s="89"/>
    </row>
    <row r="7958" spans="1:9">
      <c r="A7958" s="21"/>
      <c r="B7958"/>
      <c r="F7958" s="87"/>
      <c r="H7958" s="87"/>
      <c r="I7958" s="89"/>
    </row>
    <row r="7959" spans="1:9">
      <c r="A7959" s="21"/>
      <c r="B7959"/>
      <c r="F7959" s="87"/>
      <c r="H7959" s="87"/>
      <c r="I7959" s="89"/>
    </row>
    <row r="7960" spans="1:9">
      <c r="A7960" s="21"/>
      <c r="B7960"/>
      <c r="F7960" s="87"/>
      <c r="H7960" s="87"/>
      <c r="I7960" s="89"/>
    </row>
    <row r="7961" spans="1:9">
      <c r="A7961" s="21"/>
      <c r="B7961"/>
      <c r="F7961" s="87"/>
      <c r="H7961" s="87"/>
      <c r="I7961" s="89"/>
    </row>
    <row r="7962" spans="1:9">
      <c r="A7962" s="21"/>
      <c r="B7962"/>
      <c r="F7962" s="87"/>
      <c r="H7962" s="87"/>
      <c r="I7962" s="89"/>
    </row>
    <row r="7963" spans="1:9">
      <c r="A7963" s="21"/>
      <c r="B7963"/>
      <c r="F7963" s="87"/>
      <c r="H7963" s="87"/>
      <c r="I7963" s="89"/>
    </row>
    <row r="7964" spans="1:9">
      <c r="A7964" s="21"/>
      <c r="B7964"/>
      <c r="F7964" s="87"/>
      <c r="H7964" s="87"/>
      <c r="I7964" s="89"/>
    </row>
    <row r="7965" spans="1:9">
      <c r="A7965" s="21"/>
      <c r="B7965"/>
      <c r="F7965" s="87"/>
      <c r="H7965" s="87"/>
      <c r="I7965" s="89"/>
    </row>
    <row r="7966" spans="1:9">
      <c r="A7966" s="21"/>
      <c r="B7966"/>
      <c r="F7966" s="87"/>
      <c r="H7966" s="87"/>
      <c r="I7966" s="89"/>
    </row>
    <row r="7967" spans="1:9">
      <c r="A7967" s="21"/>
      <c r="B7967"/>
      <c r="F7967" s="87"/>
      <c r="H7967" s="87"/>
      <c r="I7967" s="89"/>
    </row>
    <row r="7968" spans="1:9">
      <c r="A7968" s="21"/>
      <c r="B7968"/>
      <c r="F7968" s="87"/>
      <c r="H7968" s="87"/>
      <c r="I7968" s="89"/>
    </row>
    <row r="7969" spans="1:9">
      <c r="A7969" s="21"/>
      <c r="B7969"/>
      <c r="F7969" s="87"/>
      <c r="H7969" s="87"/>
      <c r="I7969" s="89"/>
    </row>
    <row r="7970" spans="1:9">
      <c r="A7970" s="21"/>
      <c r="B7970"/>
      <c r="F7970" s="87"/>
      <c r="H7970" s="87"/>
      <c r="I7970" s="89"/>
    </row>
    <row r="7971" spans="1:9">
      <c r="A7971" s="21"/>
      <c r="B7971"/>
      <c r="F7971" s="87"/>
      <c r="H7971" s="87"/>
      <c r="I7971" s="89"/>
    </row>
    <row r="7972" spans="1:9">
      <c r="A7972" s="21"/>
      <c r="B7972"/>
      <c r="F7972" s="87"/>
      <c r="H7972" s="87"/>
      <c r="I7972" s="89"/>
    </row>
    <row r="7973" spans="1:9">
      <c r="A7973" s="21"/>
      <c r="B7973"/>
      <c r="F7973" s="87"/>
      <c r="H7973" s="87"/>
      <c r="I7973" s="89"/>
    </row>
    <row r="7974" spans="1:9">
      <c r="A7974" s="21"/>
      <c r="B7974"/>
      <c r="F7974" s="87"/>
      <c r="H7974" s="87"/>
      <c r="I7974" s="89"/>
    </row>
    <row r="7975" spans="1:9">
      <c r="A7975" s="21"/>
      <c r="B7975"/>
      <c r="F7975" s="87"/>
      <c r="H7975" s="87"/>
      <c r="I7975" s="89"/>
    </row>
    <row r="7976" spans="1:9">
      <c r="A7976" s="21"/>
      <c r="B7976"/>
      <c r="F7976" s="87"/>
      <c r="H7976" s="87"/>
      <c r="I7976" s="89"/>
    </row>
    <row r="7977" spans="1:9">
      <c r="A7977" s="21"/>
      <c r="B7977"/>
      <c r="F7977" s="87"/>
      <c r="H7977" s="87"/>
      <c r="I7977" s="89"/>
    </row>
    <row r="7978" spans="1:9">
      <c r="A7978" s="21"/>
      <c r="B7978"/>
      <c r="F7978" s="87"/>
      <c r="H7978" s="87"/>
      <c r="I7978" s="89"/>
    </row>
    <row r="7979" spans="1:9">
      <c r="A7979" s="21"/>
      <c r="B7979"/>
      <c r="F7979" s="87"/>
      <c r="H7979" s="87"/>
      <c r="I7979" s="89"/>
    </row>
    <row r="7980" spans="1:9">
      <c r="A7980" s="21"/>
      <c r="B7980"/>
      <c r="F7980" s="87"/>
      <c r="H7980" s="87"/>
      <c r="I7980" s="89"/>
    </row>
    <row r="7981" spans="1:9">
      <c r="A7981" s="21"/>
      <c r="B7981"/>
      <c r="F7981" s="87"/>
      <c r="H7981" s="87"/>
      <c r="I7981" s="89"/>
    </row>
    <row r="7982" spans="1:9">
      <c r="A7982" s="21"/>
      <c r="B7982"/>
      <c r="F7982" s="87"/>
      <c r="H7982" s="87"/>
      <c r="I7982" s="89"/>
    </row>
    <row r="7983" spans="1:9">
      <c r="A7983" s="21"/>
      <c r="B7983"/>
      <c r="F7983" s="87"/>
      <c r="H7983" s="87"/>
      <c r="I7983" s="89"/>
    </row>
    <row r="7984" spans="1:9">
      <c r="A7984" s="21"/>
      <c r="B7984"/>
      <c r="F7984" s="87"/>
      <c r="H7984" s="87"/>
      <c r="I7984" s="89"/>
    </row>
    <row r="7985" spans="1:9">
      <c r="A7985" s="21"/>
      <c r="B7985"/>
      <c r="F7985" s="87"/>
      <c r="H7985" s="87"/>
      <c r="I7985" s="89"/>
    </row>
    <row r="7986" spans="1:9">
      <c r="A7986" s="21"/>
      <c r="B7986"/>
      <c r="F7986" s="87"/>
      <c r="H7986" s="87"/>
      <c r="I7986" s="89"/>
    </row>
    <row r="7987" spans="1:9">
      <c r="A7987" s="21"/>
      <c r="B7987"/>
      <c r="F7987" s="87"/>
      <c r="H7987" s="87"/>
      <c r="I7987" s="89"/>
    </row>
    <row r="7988" spans="1:9">
      <c r="A7988" s="21"/>
      <c r="B7988"/>
      <c r="F7988" s="87"/>
      <c r="H7988" s="87"/>
      <c r="I7988" s="89"/>
    </row>
    <row r="7989" spans="1:9">
      <c r="A7989" s="21"/>
      <c r="B7989"/>
      <c r="F7989" s="87"/>
      <c r="H7989" s="87"/>
      <c r="I7989" s="89"/>
    </row>
    <row r="7990" spans="1:9">
      <c r="A7990" s="21"/>
      <c r="B7990"/>
      <c r="F7990" s="87"/>
      <c r="H7990" s="87"/>
      <c r="I7990" s="89"/>
    </row>
    <row r="7991" spans="1:9">
      <c r="A7991" s="21"/>
      <c r="B7991"/>
      <c r="F7991" s="87"/>
      <c r="H7991" s="87"/>
      <c r="I7991" s="89"/>
    </row>
    <row r="7992" spans="1:9">
      <c r="A7992" s="21"/>
      <c r="B7992"/>
      <c r="F7992" s="87"/>
      <c r="H7992" s="87"/>
      <c r="I7992" s="89"/>
    </row>
    <row r="7993" spans="1:9">
      <c r="A7993" s="21"/>
      <c r="B7993"/>
      <c r="F7993" s="87"/>
      <c r="H7993" s="87"/>
      <c r="I7993" s="89"/>
    </row>
    <row r="7994" spans="1:9">
      <c r="A7994" s="21"/>
      <c r="B7994"/>
      <c r="F7994" s="87"/>
      <c r="H7994" s="87"/>
      <c r="I7994" s="89"/>
    </row>
    <row r="7995" spans="1:9">
      <c r="A7995" s="21"/>
      <c r="B7995"/>
      <c r="F7995" s="87"/>
      <c r="H7995" s="87"/>
      <c r="I7995" s="89"/>
    </row>
    <row r="7996" spans="1:9">
      <c r="A7996" s="21"/>
      <c r="B7996"/>
      <c r="F7996" s="87"/>
      <c r="H7996" s="87"/>
      <c r="I7996" s="89"/>
    </row>
    <row r="7997" spans="1:9">
      <c r="A7997" s="21"/>
      <c r="B7997"/>
      <c r="F7997" s="87"/>
      <c r="H7997" s="87"/>
      <c r="I7997" s="89"/>
    </row>
    <row r="7998" spans="1:9">
      <c r="A7998" s="21"/>
      <c r="B7998"/>
      <c r="F7998" s="87"/>
      <c r="H7998" s="87"/>
      <c r="I7998" s="89"/>
    </row>
    <row r="7999" spans="1:9">
      <c r="A7999" s="21"/>
      <c r="B7999"/>
      <c r="F7999" s="87"/>
      <c r="H7999" s="87"/>
      <c r="I7999" s="89"/>
    </row>
    <row r="8000" spans="1:9">
      <c r="A8000" s="21"/>
      <c r="B8000"/>
      <c r="F8000" s="87"/>
      <c r="H8000" s="87"/>
      <c r="I8000" s="89"/>
    </row>
    <row r="8001" spans="1:9">
      <c r="A8001" s="21"/>
      <c r="B8001"/>
      <c r="F8001" s="87"/>
      <c r="H8001" s="87"/>
      <c r="I8001" s="89"/>
    </row>
    <row r="8002" spans="1:9">
      <c r="A8002" s="21"/>
      <c r="B8002"/>
      <c r="F8002" s="87"/>
      <c r="H8002" s="87"/>
      <c r="I8002" s="89"/>
    </row>
    <row r="8003" spans="1:9">
      <c r="A8003" s="21"/>
      <c r="B8003"/>
      <c r="F8003" s="87"/>
      <c r="H8003" s="87"/>
      <c r="I8003" s="89"/>
    </row>
    <row r="8004" spans="1:9">
      <c r="A8004" s="21"/>
      <c r="B8004"/>
      <c r="F8004" s="87"/>
      <c r="H8004" s="87"/>
      <c r="I8004" s="89"/>
    </row>
    <row r="8005" spans="1:9">
      <c r="A8005" s="21"/>
      <c r="B8005"/>
      <c r="F8005" s="87"/>
      <c r="H8005" s="87"/>
      <c r="I8005" s="89"/>
    </row>
    <row r="8006" spans="1:9">
      <c r="A8006" s="21"/>
      <c r="B8006"/>
      <c r="F8006" s="87"/>
      <c r="H8006" s="87"/>
      <c r="I8006" s="89"/>
    </row>
    <row r="8007" spans="1:9">
      <c r="A8007" s="21"/>
      <c r="B8007"/>
      <c r="F8007" s="87"/>
      <c r="H8007" s="87"/>
      <c r="I8007" s="89"/>
    </row>
    <row r="8008" spans="1:9">
      <c r="A8008" s="21"/>
      <c r="B8008"/>
      <c r="F8008" s="87"/>
      <c r="H8008" s="87"/>
      <c r="I8008" s="89"/>
    </row>
    <row r="8009" spans="1:9">
      <c r="A8009" s="21"/>
      <c r="B8009"/>
      <c r="F8009" s="87"/>
      <c r="H8009" s="87"/>
      <c r="I8009" s="89"/>
    </row>
    <row r="8010" spans="1:9">
      <c r="A8010" s="21"/>
      <c r="B8010"/>
      <c r="F8010" s="87"/>
      <c r="H8010" s="87"/>
      <c r="I8010" s="89"/>
    </row>
    <row r="8011" spans="1:9">
      <c r="A8011" s="21"/>
      <c r="B8011"/>
      <c r="F8011" s="87"/>
      <c r="H8011" s="87"/>
      <c r="I8011" s="89"/>
    </row>
    <row r="8012" spans="1:9">
      <c r="A8012" s="21"/>
      <c r="B8012"/>
      <c r="F8012" s="87"/>
      <c r="H8012" s="87"/>
      <c r="I8012" s="89"/>
    </row>
    <row r="8013" spans="1:9">
      <c r="A8013" s="21"/>
      <c r="B8013"/>
      <c r="F8013" s="87"/>
      <c r="H8013" s="87"/>
      <c r="I8013" s="89"/>
    </row>
    <row r="8014" spans="1:9">
      <c r="A8014" s="21"/>
      <c r="B8014"/>
      <c r="F8014" s="87"/>
      <c r="H8014" s="87"/>
      <c r="I8014" s="89"/>
    </row>
    <row r="8015" spans="1:9">
      <c r="A8015" s="21"/>
      <c r="B8015"/>
      <c r="F8015" s="87"/>
      <c r="H8015" s="87"/>
      <c r="I8015" s="89"/>
    </row>
    <row r="8016" spans="1:9">
      <c r="A8016" s="21"/>
      <c r="B8016"/>
      <c r="F8016" s="87"/>
      <c r="H8016" s="87"/>
      <c r="I8016" s="89"/>
    </row>
    <row r="8017" spans="1:9">
      <c r="A8017" s="21"/>
      <c r="B8017"/>
      <c r="F8017" s="87"/>
      <c r="H8017" s="87"/>
      <c r="I8017" s="89"/>
    </row>
    <row r="8018" spans="1:9">
      <c r="A8018" s="21"/>
      <c r="B8018"/>
      <c r="F8018" s="87"/>
      <c r="H8018" s="87"/>
      <c r="I8018" s="89"/>
    </row>
    <row r="8019" spans="1:9">
      <c r="A8019" s="21"/>
      <c r="B8019"/>
      <c r="F8019" s="87"/>
      <c r="H8019" s="87"/>
      <c r="I8019" s="89"/>
    </row>
    <row r="8020" spans="1:9">
      <c r="A8020" s="21"/>
      <c r="B8020"/>
      <c r="F8020" s="87"/>
      <c r="H8020" s="87"/>
      <c r="I8020" s="89"/>
    </row>
    <row r="8021" spans="1:9">
      <c r="A8021" s="21"/>
      <c r="B8021"/>
      <c r="F8021" s="87"/>
      <c r="H8021" s="87"/>
      <c r="I8021" s="89"/>
    </row>
    <row r="8022" spans="1:9">
      <c r="A8022" s="21"/>
      <c r="B8022"/>
      <c r="F8022" s="87"/>
      <c r="H8022" s="87"/>
      <c r="I8022" s="89"/>
    </row>
    <row r="8023" spans="1:9">
      <c r="A8023" s="21"/>
      <c r="B8023"/>
      <c r="F8023" s="87"/>
      <c r="H8023" s="87"/>
      <c r="I8023" s="89"/>
    </row>
    <row r="8024" spans="1:9">
      <c r="A8024" s="21"/>
      <c r="B8024"/>
      <c r="F8024" s="87"/>
      <c r="H8024" s="87"/>
      <c r="I8024" s="89"/>
    </row>
    <row r="8025" spans="1:9">
      <c r="A8025" s="21"/>
      <c r="B8025"/>
      <c r="F8025" s="87"/>
      <c r="H8025" s="87"/>
      <c r="I8025" s="89"/>
    </row>
    <row r="8026" spans="1:9">
      <c r="A8026" s="21"/>
      <c r="B8026"/>
      <c r="F8026" s="87"/>
      <c r="H8026" s="87"/>
      <c r="I8026" s="89"/>
    </row>
    <row r="8027" spans="1:9">
      <c r="A8027" s="21"/>
      <c r="B8027"/>
      <c r="F8027" s="87"/>
      <c r="H8027" s="87"/>
      <c r="I8027" s="89"/>
    </row>
    <row r="8028" spans="1:9">
      <c r="A8028" s="21"/>
      <c r="B8028"/>
      <c r="F8028" s="87"/>
      <c r="H8028" s="87"/>
      <c r="I8028" s="89"/>
    </row>
    <row r="8029" spans="1:9">
      <c r="A8029" s="21"/>
      <c r="B8029"/>
      <c r="F8029" s="87"/>
      <c r="H8029" s="87"/>
      <c r="I8029" s="89"/>
    </row>
    <row r="8030" spans="1:9">
      <c r="A8030" s="21"/>
      <c r="B8030"/>
      <c r="F8030" s="87"/>
      <c r="H8030" s="87"/>
      <c r="I8030" s="89"/>
    </row>
    <row r="8031" spans="1:9">
      <c r="A8031" s="21"/>
      <c r="B8031"/>
      <c r="F8031" s="87"/>
      <c r="H8031" s="87"/>
      <c r="I8031" s="89"/>
    </row>
    <row r="8032" spans="1:9">
      <c r="A8032" s="21"/>
      <c r="B8032"/>
      <c r="F8032" s="87"/>
      <c r="H8032" s="87"/>
      <c r="I8032" s="89"/>
    </row>
    <row r="8033" spans="1:9">
      <c r="A8033" s="21"/>
      <c r="B8033"/>
      <c r="F8033" s="87"/>
      <c r="H8033" s="87"/>
      <c r="I8033" s="89"/>
    </row>
    <row r="8034" spans="1:9">
      <c r="A8034" s="21"/>
      <c r="B8034"/>
      <c r="F8034" s="87"/>
      <c r="H8034" s="87"/>
      <c r="I8034" s="89"/>
    </row>
    <row r="8035" spans="1:9">
      <c r="A8035" s="21"/>
      <c r="B8035"/>
      <c r="F8035" s="87"/>
      <c r="H8035" s="87"/>
      <c r="I8035" s="89"/>
    </row>
    <row r="8036" spans="1:9">
      <c r="A8036" s="21"/>
      <c r="B8036"/>
      <c r="F8036" s="87"/>
      <c r="H8036" s="87"/>
      <c r="I8036" s="89"/>
    </row>
    <row r="8037" spans="1:9">
      <c r="A8037" s="21"/>
      <c r="B8037"/>
      <c r="F8037" s="87"/>
      <c r="H8037" s="87"/>
      <c r="I8037" s="89"/>
    </row>
    <row r="8038" spans="1:9">
      <c r="A8038" s="21"/>
      <c r="B8038"/>
      <c r="F8038" s="87"/>
      <c r="H8038" s="87"/>
      <c r="I8038" s="89"/>
    </row>
    <row r="8039" spans="1:9">
      <c r="A8039" s="21"/>
      <c r="B8039"/>
      <c r="F8039" s="87"/>
      <c r="H8039" s="87"/>
      <c r="I8039" s="89"/>
    </row>
    <row r="8040" spans="1:9">
      <c r="A8040" s="21"/>
      <c r="B8040"/>
      <c r="F8040" s="87"/>
      <c r="H8040" s="87"/>
      <c r="I8040" s="89"/>
    </row>
    <row r="8041" spans="1:9">
      <c r="A8041" s="21"/>
      <c r="B8041"/>
      <c r="F8041" s="87"/>
      <c r="H8041" s="87"/>
      <c r="I8041" s="89"/>
    </row>
    <row r="8042" spans="1:9">
      <c r="A8042" s="21"/>
      <c r="B8042"/>
      <c r="F8042" s="87"/>
      <c r="H8042" s="87"/>
      <c r="I8042" s="89"/>
    </row>
    <row r="8043" spans="1:9">
      <c r="A8043" s="21"/>
      <c r="B8043"/>
      <c r="F8043" s="87"/>
      <c r="H8043" s="87"/>
      <c r="I8043" s="89"/>
    </row>
    <row r="8044" spans="1:9">
      <c r="A8044" s="21"/>
      <c r="B8044"/>
      <c r="F8044" s="87"/>
      <c r="H8044" s="87"/>
      <c r="I8044" s="89"/>
    </row>
    <row r="8045" spans="1:9">
      <c r="A8045" s="21"/>
      <c r="B8045"/>
      <c r="F8045" s="87"/>
      <c r="H8045" s="87"/>
      <c r="I8045" s="89"/>
    </row>
    <row r="8046" spans="1:9">
      <c r="A8046" s="21"/>
      <c r="B8046"/>
      <c r="F8046" s="87"/>
      <c r="H8046" s="87"/>
      <c r="I8046" s="89"/>
    </row>
    <row r="8047" spans="1:9">
      <c r="A8047" s="21"/>
      <c r="B8047"/>
      <c r="F8047" s="87"/>
      <c r="H8047" s="87"/>
      <c r="I8047" s="89"/>
    </row>
    <row r="8048" spans="1:9">
      <c r="A8048" s="21"/>
      <c r="B8048"/>
      <c r="F8048" s="87"/>
      <c r="H8048" s="87"/>
      <c r="I8048" s="89"/>
    </row>
    <row r="8049" spans="1:9">
      <c r="A8049" s="21"/>
      <c r="B8049"/>
      <c r="F8049" s="87"/>
      <c r="H8049" s="87"/>
      <c r="I8049" s="89"/>
    </row>
    <row r="8050" spans="1:9">
      <c r="A8050" s="21"/>
      <c r="B8050"/>
      <c r="F8050" s="87"/>
      <c r="H8050" s="87"/>
      <c r="I8050" s="89"/>
    </row>
    <row r="8051" spans="1:9">
      <c r="A8051" s="21"/>
      <c r="B8051"/>
      <c r="F8051" s="87"/>
      <c r="H8051" s="87"/>
      <c r="I8051" s="89"/>
    </row>
    <row r="8052" spans="1:9">
      <c r="A8052" s="21"/>
      <c r="B8052"/>
      <c r="F8052" s="87"/>
      <c r="H8052" s="87"/>
      <c r="I8052" s="89"/>
    </row>
    <row r="8053" spans="1:9">
      <c r="A8053" s="21"/>
      <c r="B8053"/>
      <c r="F8053" s="87"/>
      <c r="H8053" s="87"/>
      <c r="I8053" s="89"/>
    </row>
    <row r="8054" spans="1:9">
      <c r="A8054" s="21"/>
      <c r="B8054"/>
      <c r="F8054" s="87"/>
      <c r="H8054" s="87"/>
      <c r="I8054" s="89"/>
    </row>
    <row r="8055" spans="1:9">
      <c r="A8055" s="21"/>
      <c r="B8055"/>
      <c r="F8055" s="87"/>
      <c r="H8055" s="87"/>
      <c r="I8055" s="89"/>
    </row>
    <row r="8056" spans="1:9">
      <c r="A8056" s="21"/>
      <c r="B8056"/>
      <c r="F8056" s="87"/>
      <c r="H8056" s="87"/>
      <c r="I8056" s="89"/>
    </row>
    <row r="8057" spans="1:9">
      <c r="A8057" s="21"/>
      <c r="B8057"/>
      <c r="F8057" s="87"/>
      <c r="H8057" s="87"/>
      <c r="I8057" s="89"/>
    </row>
    <row r="8058" spans="1:9">
      <c r="A8058" s="21"/>
      <c r="B8058"/>
      <c r="F8058" s="87"/>
      <c r="H8058" s="87"/>
      <c r="I8058" s="89"/>
    </row>
    <row r="8059" spans="1:9">
      <c r="A8059" s="21"/>
      <c r="B8059"/>
      <c r="F8059" s="87"/>
      <c r="H8059" s="87"/>
      <c r="I8059" s="89"/>
    </row>
    <row r="8060" spans="1:9">
      <c r="A8060" s="21"/>
      <c r="B8060"/>
      <c r="F8060" s="87"/>
      <c r="H8060" s="87"/>
      <c r="I8060" s="89"/>
    </row>
    <row r="8061" spans="1:9">
      <c r="A8061" s="21"/>
      <c r="B8061"/>
      <c r="F8061" s="87"/>
      <c r="H8061" s="87"/>
      <c r="I8061" s="89"/>
    </row>
    <row r="8062" spans="1:9">
      <c r="A8062" s="21"/>
      <c r="B8062"/>
      <c r="F8062" s="87"/>
      <c r="H8062" s="87"/>
      <c r="I8062" s="89"/>
    </row>
    <row r="8063" spans="1:9">
      <c r="A8063" s="21"/>
      <c r="B8063"/>
      <c r="F8063" s="87"/>
      <c r="H8063" s="87"/>
      <c r="I8063" s="89"/>
    </row>
    <row r="8064" spans="1:9">
      <c r="A8064" s="21"/>
      <c r="B8064"/>
      <c r="F8064" s="87"/>
      <c r="H8064" s="87"/>
      <c r="I8064" s="89"/>
    </row>
    <row r="8065" spans="1:9">
      <c r="A8065" s="21"/>
      <c r="B8065"/>
      <c r="F8065" s="87"/>
      <c r="H8065" s="87"/>
      <c r="I8065" s="89"/>
    </row>
    <row r="8066" spans="1:9">
      <c r="A8066" s="21"/>
      <c r="B8066"/>
      <c r="F8066" s="87"/>
      <c r="H8066" s="87"/>
      <c r="I8066" s="89"/>
    </row>
    <row r="8067" spans="1:9">
      <c r="A8067" s="21"/>
      <c r="B8067"/>
      <c r="F8067" s="87"/>
      <c r="H8067" s="87"/>
      <c r="I8067" s="89"/>
    </row>
    <row r="8068" spans="1:9">
      <c r="A8068" s="21"/>
      <c r="B8068"/>
      <c r="F8068" s="87"/>
      <c r="H8068" s="87"/>
      <c r="I8068" s="89"/>
    </row>
    <row r="8069" spans="1:9">
      <c r="A8069" s="21"/>
      <c r="B8069"/>
      <c r="F8069" s="87"/>
      <c r="H8069" s="87"/>
      <c r="I8069" s="89"/>
    </row>
    <row r="8070" spans="1:9">
      <c r="A8070" s="21"/>
      <c r="B8070"/>
      <c r="F8070" s="87"/>
      <c r="H8070" s="87"/>
      <c r="I8070" s="89"/>
    </row>
    <row r="8071" spans="1:9">
      <c r="A8071" s="21"/>
      <c r="B8071"/>
      <c r="F8071" s="87"/>
      <c r="H8071" s="87"/>
      <c r="I8071" s="89"/>
    </row>
    <row r="8072" spans="1:9">
      <c r="A8072" s="21"/>
      <c r="B8072"/>
      <c r="F8072" s="87"/>
      <c r="H8072" s="87"/>
      <c r="I8072" s="89"/>
    </row>
    <row r="8073" spans="1:9">
      <c r="A8073" s="21"/>
      <c r="B8073"/>
      <c r="F8073" s="87"/>
      <c r="H8073" s="87"/>
      <c r="I8073" s="89"/>
    </row>
    <row r="8074" spans="1:9">
      <c r="A8074" s="21"/>
      <c r="B8074"/>
      <c r="F8074" s="87"/>
      <c r="H8074" s="87"/>
      <c r="I8074" s="89"/>
    </row>
    <row r="8075" spans="1:9">
      <c r="A8075" s="21"/>
      <c r="B8075"/>
      <c r="F8075" s="87"/>
      <c r="H8075" s="87"/>
      <c r="I8075" s="89"/>
    </row>
    <row r="8076" spans="1:9">
      <c r="A8076" s="21"/>
      <c r="B8076"/>
      <c r="F8076" s="87"/>
      <c r="H8076" s="87"/>
      <c r="I8076" s="89"/>
    </row>
    <row r="8077" spans="1:9">
      <c r="A8077" s="21"/>
      <c r="B8077"/>
      <c r="F8077" s="87"/>
      <c r="H8077" s="87"/>
      <c r="I8077" s="89"/>
    </row>
    <row r="8078" spans="1:9">
      <c r="A8078" s="21"/>
      <c r="B8078"/>
      <c r="F8078" s="87"/>
      <c r="H8078" s="87"/>
      <c r="I8078" s="89"/>
    </row>
    <row r="8079" spans="1:9">
      <c r="A8079" s="21"/>
      <c r="B8079"/>
      <c r="F8079" s="87"/>
      <c r="H8079" s="87"/>
      <c r="I8079" s="89"/>
    </row>
    <row r="8080" spans="1:9">
      <c r="A8080" s="21"/>
      <c r="B8080"/>
      <c r="F8080" s="87"/>
      <c r="H8080" s="87"/>
      <c r="I8080" s="89"/>
    </row>
    <row r="8081" spans="1:9">
      <c r="A8081" s="21"/>
      <c r="B8081"/>
      <c r="F8081" s="87"/>
      <c r="H8081" s="87"/>
      <c r="I8081" s="89"/>
    </row>
    <row r="8082" spans="1:9">
      <c r="A8082" s="21"/>
      <c r="B8082"/>
      <c r="F8082" s="87"/>
      <c r="H8082" s="87"/>
      <c r="I8082" s="89"/>
    </row>
    <row r="8083" spans="1:9">
      <c r="A8083" s="21"/>
      <c r="B8083"/>
      <c r="F8083" s="87"/>
      <c r="H8083" s="87"/>
      <c r="I8083" s="89"/>
    </row>
    <row r="8084" spans="1:9">
      <c r="A8084" s="21"/>
      <c r="B8084"/>
      <c r="F8084" s="87"/>
      <c r="H8084" s="87"/>
      <c r="I8084" s="89"/>
    </row>
    <row r="8085" spans="1:9">
      <c r="A8085" s="21"/>
      <c r="B8085"/>
      <c r="F8085" s="87"/>
      <c r="H8085" s="87"/>
      <c r="I8085" s="89"/>
    </row>
    <row r="8086" spans="1:9">
      <c r="A8086" s="21"/>
      <c r="B8086"/>
      <c r="F8086" s="87"/>
      <c r="H8086" s="87"/>
      <c r="I8086" s="89"/>
    </row>
    <row r="8087" spans="1:9">
      <c r="A8087" s="21"/>
      <c r="B8087"/>
      <c r="F8087" s="87"/>
      <c r="H8087" s="87"/>
      <c r="I8087" s="89"/>
    </row>
    <row r="8088" spans="1:9">
      <c r="A8088" s="21"/>
      <c r="B8088"/>
      <c r="F8088" s="87"/>
      <c r="H8088" s="87"/>
      <c r="I8088" s="89"/>
    </row>
    <row r="8089" spans="1:9">
      <c r="A8089" s="21"/>
      <c r="B8089"/>
      <c r="F8089" s="87"/>
      <c r="H8089" s="87"/>
      <c r="I8089" s="89"/>
    </row>
    <row r="8090" spans="1:9">
      <c r="A8090" s="21"/>
      <c r="B8090"/>
      <c r="F8090" s="87"/>
      <c r="H8090" s="87"/>
      <c r="I8090" s="89"/>
    </row>
    <row r="8091" spans="1:9">
      <c r="A8091" s="21"/>
      <c r="B8091"/>
      <c r="F8091" s="87"/>
      <c r="H8091" s="87"/>
      <c r="I8091" s="89"/>
    </row>
    <row r="8092" spans="1:9">
      <c r="A8092" s="21"/>
      <c r="B8092"/>
      <c r="F8092" s="87"/>
      <c r="H8092" s="87"/>
      <c r="I8092" s="89"/>
    </row>
    <row r="8093" spans="1:9">
      <c r="A8093" s="21"/>
      <c r="B8093"/>
      <c r="F8093" s="87"/>
      <c r="H8093" s="87"/>
      <c r="I8093" s="89"/>
    </row>
    <row r="8094" spans="1:9">
      <c r="A8094" s="21"/>
      <c r="B8094"/>
      <c r="F8094" s="87"/>
      <c r="H8094" s="87"/>
      <c r="I8094" s="89"/>
    </row>
    <row r="8095" spans="1:9">
      <c r="A8095" s="21"/>
      <c r="B8095"/>
      <c r="F8095" s="87"/>
      <c r="H8095" s="87"/>
      <c r="I8095" s="89"/>
    </row>
    <row r="8096" spans="1:9">
      <c r="A8096" s="21"/>
      <c r="B8096"/>
      <c r="F8096" s="87"/>
      <c r="H8096" s="87"/>
      <c r="I8096" s="89"/>
    </row>
    <row r="8097" spans="1:9">
      <c r="A8097" s="21"/>
      <c r="B8097"/>
      <c r="F8097" s="87"/>
      <c r="H8097" s="87"/>
      <c r="I8097" s="89"/>
    </row>
    <row r="8098" spans="1:9">
      <c r="A8098" s="21"/>
      <c r="B8098"/>
      <c r="F8098" s="87"/>
      <c r="H8098" s="87"/>
      <c r="I8098" s="89"/>
    </row>
    <row r="8099" spans="1:9">
      <c r="A8099" s="21"/>
      <c r="B8099"/>
      <c r="F8099" s="87"/>
      <c r="H8099" s="87"/>
      <c r="I8099" s="89"/>
    </row>
    <row r="8100" spans="1:9">
      <c r="A8100" s="21"/>
      <c r="B8100"/>
      <c r="F8100" s="87"/>
      <c r="H8100" s="87"/>
      <c r="I8100" s="89"/>
    </row>
    <row r="8101" spans="1:9">
      <c r="A8101" s="21"/>
      <c r="B8101"/>
      <c r="F8101" s="87"/>
      <c r="H8101" s="87"/>
      <c r="I8101" s="89"/>
    </row>
    <row r="8102" spans="1:9">
      <c r="A8102" s="21"/>
      <c r="B8102"/>
      <c r="F8102" s="87"/>
      <c r="H8102" s="87"/>
      <c r="I8102" s="89"/>
    </row>
    <row r="8103" spans="1:9">
      <c r="A8103" s="21"/>
      <c r="B8103"/>
      <c r="F8103" s="87"/>
      <c r="H8103" s="87"/>
      <c r="I8103" s="89"/>
    </row>
    <row r="8104" spans="1:9">
      <c r="A8104" s="21"/>
      <c r="B8104"/>
      <c r="F8104" s="87"/>
      <c r="H8104" s="87"/>
      <c r="I8104" s="89"/>
    </row>
    <row r="8105" spans="1:9">
      <c r="A8105" s="21"/>
      <c r="B8105"/>
      <c r="F8105" s="87"/>
      <c r="H8105" s="87"/>
      <c r="I8105" s="89"/>
    </row>
    <row r="8106" spans="1:9">
      <c r="A8106" s="21"/>
      <c r="B8106"/>
      <c r="F8106" s="87"/>
      <c r="H8106" s="87"/>
      <c r="I8106" s="89"/>
    </row>
    <row r="8107" spans="1:9">
      <c r="A8107" s="21"/>
      <c r="B8107"/>
      <c r="F8107" s="87"/>
      <c r="H8107" s="87"/>
      <c r="I8107" s="89"/>
    </row>
    <row r="8108" spans="1:9">
      <c r="A8108" s="21"/>
      <c r="B8108"/>
      <c r="F8108" s="87"/>
      <c r="H8108" s="87"/>
      <c r="I8108" s="89"/>
    </row>
    <row r="8109" spans="1:9">
      <c r="A8109" s="21"/>
      <c r="B8109"/>
      <c r="F8109" s="87"/>
      <c r="H8109" s="87"/>
      <c r="I8109" s="89"/>
    </row>
    <row r="8110" spans="1:9">
      <c r="A8110" s="21"/>
      <c r="B8110"/>
      <c r="F8110" s="87"/>
      <c r="H8110" s="87"/>
      <c r="I8110" s="89"/>
    </row>
    <row r="8111" spans="1:9">
      <c r="A8111" s="21"/>
      <c r="B8111"/>
      <c r="F8111" s="87"/>
      <c r="H8111" s="87"/>
      <c r="I8111" s="89"/>
    </row>
    <row r="8112" spans="1:9">
      <c r="A8112" s="21"/>
      <c r="B8112"/>
      <c r="F8112" s="87"/>
      <c r="H8112" s="87"/>
      <c r="I8112" s="89"/>
    </row>
    <row r="8113" spans="1:9">
      <c r="A8113" s="21"/>
      <c r="B8113"/>
      <c r="F8113" s="87"/>
      <c r="H8113" s="87"/>
      <c r="I8113" s="89"/>
    </row>
    <row r="8114" spans="1:9">
      <c r="A8114" s="21"/>
      <c r="B8114"/>
      <c r="F8114" s="87"/>
      <c r="H8114" s="87"/>
      <c r="I8114" s="89"/>
    </row>
    <row r="8115" spans="1:9">
      <c r="A8115" s="21"/>
      <c r="B8115"/>
      <c r="F8115" s="87"/>
      <c r="H8115" s="87"/>
      <c r="I8115" s="89"/>
    </row>
    <row r="8116" spans="1:9">
      <c r="A8116" s="21"/>
      <c r="B8116"/>
      <c r="F8116" s="87"/>
      <c r="H8116" s="87"/>
      <c r="I8116" s="89"/>
    </row>
    <row r="8117" spans="1:9">
      <c r="A8117" s="21"/>
      <c r="B8117"/>
      <c r="F8117" s="87"/>
      <c r="H8117" s="87"/>
      <c r="I8117" s="89"/>
    </row>
    <row r="8118" spans="1:9">
      <c r="A8118" s="21"/>
      <c r="B8118"/>
      <c r="F8118" s="87"/>
      <c r="H8118" s="87"/>
      <c r="I8118" s="89"/>
    </row>
    <row r="8119" spans="1:9">
      <c r="A8119" s="21"/>
      <c r="B8119"/>
      <c r="F8119" s="87"/>
      <c r="H8119" s="87"/>
      <c r="I8119" s="89"/>
    </row>
    <row r="8120" spans="1:9">
      <c r="A8120" s="21"/>
      <c r="B8120"/>
      <c r="F8120" s="87"/>
      <c r="H8120" s="87"/>
      <c r="I8120" s="89"/>
    </row>
    <row r="8121" spans="1:9">
      <c r="A8121" s="21"/>
      <c r="B8121"/>
      <c r="F8121" s="87"/>
      <c r="H8121" s="87"/>
      <c r="I8121" s="89"/>
    </row>
    <row r="8122" spans="1:9">
      <c r="A8122" s="21"/>
      <c r="B8122"/>
      <c r="F8122" s="87"/>
      <c r="H8122" s="87"/>
      <c r="I8122" s="89"/>
    </row>
    <row r="8123" spans="1:9">
      <c r="A8123" s="21"/>
      <c r="B8123"/>
      <c r="F8123" s="87"/>
      <c r="H8123" s="87"/>
      <c r="I8123" s="89"/>
    </row>
    <row r="8124" spans="1:9">
      <c r="A8124" s="21"/>
      <c r="B8124"/>
      <c r="F8124" s="87"/>
      <c r="H8124" s="87"/>
      <c r="I8124" s="89"/>
    </row>
    <row r="8125" spans="1:9">
      <c r="A8125" s="21"/>
      <c r="B8125"/>
      <c r="F8125" s="87"/>
      <c r="H8125" s="87"/>
      <c r="I8125" s="89"/>
    </row>
    <row r="8126" spans="1:9">
      <c r="A8126" s="21"/>
      <c r="B8126"/>
      <c r="F8126" s="87"/>
      <c r="H8126" s="87"/>
      <c r="I8126" s="89"/>
    </row>
    <row r="8127" spans="1:9">
      <c r="A8127" s="21"/>
      <c r="B8127"/>
      <c r="F8127" s="87"/>
      <c r="H8127" s="87"/>
      <c r="I8127" s="89"/>
    </row>
    <row r="8128" spans="1:9">
      <c r="A8128" s="21"/>
      <c r="B8128"/>
      <c r="F8128" s="87"/>
      <c r="H8128" s="87"/>
      <c r="I8128" s="89"/>
    </row>
    <row r="8129" spans="1:9">
      <c r="A8129" s="21"/>
      <c r="B8129"/>
      <c r="F8129" s="87"/>
      <c r="H8129" s="87"/>
      <c r="I8129" s="89"/>
    </row>
    <row r="8130" spans="1:9">
      <c r="A8130" s="21"/>
      <c r="B8130"/>
      <c r="F8130" s="87"/>
      <c r="H8130" s="87"/>
      <c r="I8130" s="89"/>
    </row>
    <row r="8131" spans="1:9">
      <c r="A8131" s="21"/>
      <c r="B8131"/>
      <c r="F8131" s="87"/>
      <c r="H8131" s="87"/>
      <c r="I8131" s="89"/>
    </row>
    <row r="8132" spans="1:9">
      <c r="A8132" s="21"/>
      <c r="B8132"/>
      <c r="F8132" s="87"/>
      <c r="H8132" s="87"/>
      <c r="I8132" s="89"/>
    </row>
    <row r="8133" spans="1:9">
      <c r="A8133" s="21"/>
      <c r="B8133"/>
      <c r="F8133" s="87"/>
      <c r="H8133" s="87"/>
      <c r="I8133" s="89"/>
    </row>
    <row r="8134" spans="1:9">
      <c r="A8134" s="21"/>
      <c r="B8134"/>
      <c r="F8134" s="87"/>
      <c r="H8134" s="87"/>
      <c r="I8134" s="89"/>
    </row>
    <row r="8135" spans="1:9">
      <c r="A8135" s="21"/>
      <c r="B8135"/>
      <c r="F8135" s="87"/>
      <c r="H8135" s="87"/>
      <c r="I8135" s="89"/>
    </row>
    <row r="8136" spans="1:9">
      <c r="A8136" s="21"/>
      <c r="B8136"/>
      <c r="F8136" s="87"/>
      <c r="H8136" s="87"/>
      <c r="I8136" s="89"/>
    </row>
    <row r="8137" spans="1:9">
      <c r="A8137" s="21"/>
      <c r="B8137"/>
      <c r="F8137" s="87"/>
      <c r="H8137" s="87"/>
      <c r="I8137" s="89"/>
    </row>
    <row r="8138" spans="1:9">
      <c r="A8138" s="21"/>
      <c r="B8138"/>
      <c r="F8138" s="87"/>
      <c r="H8138" s="87"/>
      <c r="I8138" s="89"/>
    </row>
    <row r="8139" spans="1:9">
      <c r="A8139" s="21"/>
      <c r="B8139"/>
      <c r="F8139" s="87"/>
      <c r="H8139" s="87"/>
      <c r="I8139" s="89"/>
    </row>
    <row r="8140" spans="1:9">
      <c r="A8140" s="21"/>
      <c r="B8140"/>
      <c r="F8140" s="87"/>
      <c r="H8140" s="87"/>
      <c r="I8140" s="89"/>
    </row>
    <row r="8141" spans="1:9">
      <c r="A8141" s="21"/>
      <c r="B8141"/>
      <c r="F8141" s="87"/>
      <c r="H8141" s="87"/>
      <c r="I8141" s="89"/>
    </row>
    <row r="8142" spans="1:9">
      <c r="A8142" s="21"/>
      <c r="B8142"/>
      <c r="F8142" s="87"/>
      <c r="H8142" s="87"/>
      <c r="I8142" s="89"/>
    </row>
    <row r="8143" spans="1:9">
      <c r="A8143" s="21"/>
      <c r="B8143"/>
      <c r="F8143" s="87"/>
      <c r="H8143" s="87"/>
      <c r="I8143" s="89"/>
    </row>
    <row r="8144" spans="1:9">
      <c r="A8144" s="21"/>
      <c r="B8144"/>
      <c r="F8144" s="87"/>
      <c r="H8144" s="87"/>
      <c r="I8144" s="89"/>
    </row>
    <row r="8145" spans="1:9">
      <c r="A8145" s="21"/>
      <c r="B8145"/>
      <c r="F8145" s="87"/>
      <c r="H8145" s="87"/>
      <c r="I8145" s="89"/>
    </row>
    <row r="8146" spans="1:9">
      <c r="A8146" s="21"/>
      <c r="B8146"/>
      <c r="F8146" s="87"/>
      <c r="H8146" s="87"/>
      <c r="I8146" s="89"/>
    </row>
    <row r="8147" spans="1:9">
      <c r="A8147" s="21"/>
      <c r="B8147"/>
      <c r="F8147" s="87"/>
      <c r="H8147" s="87"/>
      <c r="I8147" s="89"/>
    </row>
    <row r="8148" spans="1:9">
      <c r="A8148" s="21"/>
      <c r="B8148"/>
      <c r="F8148" s="87"/>
      <c r="H8148" s="87"/>
      <c r="I8148" s="89"/>
    </row>
    <row r="8149" spans="1:9">
      <c r="A8149" s="21"/>
      <c r="B8149"/>
      <c r="F8149" s="87"/>
      <c r="H8149" s="87"/>
      <c r="I8149" s="89"/>
    </row>
    <row r="8150" spans="1:9">
      <c r="A8150" s="21"/>
      <c r="B8150"/>
      <c r="F8150" s="87"/>
      <c r="H8150" s="87"/>
      <c r="I8150" s="89"/>
    </row>
    <row r="8151" spans="1:9">
      <c r="A8151" s="21"/>
      <c r="B8151"/>
      <c r="F8151" s="87"/>
      <c r="H8151" s="87"/>
      <c r="I8151" s="89"/>
    </row>
    <row r="8152" spans="1:9">
      <c r="A8152" s="21"/>
      <c r="B8152"/>
      <c r="F8152" s="87"/>
      <c r="H8152" s="87"/>
      <c r="I8152" s="89"/>
    </row>
    <row r="8153" spans="1:9">
      <c r="A8153" s="21"/>
      <c r="B8153"/>
      <c r="F8153" s="87"/>
      <c r="H8153" s="87"/>
      <c r="I8153" s="89"/>
    </row>
    <row r="8154" spans="1:9">
      <c r="A8154" s="21"/>
      <c r="B8154"/>
      <c r="F8154" s="87"/>
      <c r="H8154" s="87"/>
      <c r="I8154" s="89"/>
    </row>
    <row r="8155" spans="1:9">
      <c r="A8155" s="21"/>
      <c r="B8155"/>
      <c r="F8155" s="87"/>
      <c r="H8155" s="87"/>
      <c r="I8155" s="89"/>
    </row>
    <row r="8156" spans="1:9">
      <c r="A8156" s="21"/>
      <c r="B8156"/>
      <c r="F8156" s="87"/>
      <c r="H8156" s="87"/>
      <c r="I8156" s="89"/>
    </row>
    <row r="8157" spans="1:9">
      <c r="A8157" s="21"/>
      <c r="B8157"/>
      <c r="F8157" s="87"/>
      <c r="H8157" s="87"/>
      <c r="I8157" s="89"/>
    </row>
    <row r="8158" spans="1:9">
      <c r="A8158" s="21"/>
      <c r="B8158"/>
      <c r="F8158" s="87"/>
      <c r="H8158" s="87"/>
      <c r="I8158" s="89"/>
    </row>
    <row r="8159" spans="1:9">
      <c r="A8159" s="21"/>
      <c r="B8159"/>
      <c r="F8159" s="87"/>
      <c r="H8159" s="87"/>
      <c r="I8159" s="89"/>
    </row>
    <row r="8160" spans="1:9">
      <c r="A8160" s="21"/>
      <c r="B8160"/>
      <c r="F8160" s="87"/>
      <c r="H8160" s="87"/>
      <c r="I8160" s="89"/>
    </row>
    <row r="8161" spans="1:9">
      <c r="A8161" s="21"/>
      <c r="B8161"/>
      <c r="F8161" s="87"/>
      <c r="H8161" s="87"/>
      <c r="I8161" s="89"/>
    </row>
    <row r="8162" spans="1:9">
      <c r="A8162" s="21"/>
      <c r="B8162"/>
      <c r="F8162" s="87"/>
      <c r="H8162" s="87"/>
      <c r="I8162" s="89"/>
    </row>
    <row r="8163" spans="1:9">
      <c r="A8163" s="21"/>
      <c r="B8163"/>
      <c r="F8163" s="87"/>
      <c r="H8163" s="87"/>
      <c r="I8163" s="89"/>
    </row>
    <row r="8164" spans="1:9">
      <c r="A8164" s="21"/>
      <c r="B8164"/>
      <c r="F8164" s="87"/>
      <c r="H8164" s="87"/>
      <c r="I8164" s="89"/>
    </row>
    <row r="8165" spans="1:9">
      <c r="A8165" s="21"/>
      <c r="B8165"/>
      <c r="F8165" s="87"/>
      <c r="H8165" s="87"/>
      <c r="I8165" s="89"/>
    </row>
    <row r="8166" spans="1:9">
      <c r="A8166" s="21"/>
      <c r="B8166"/>
      <c r="F8166" s="87"/>
      <c r="H8166" s="87"/>
      <c r="I8166" s="89"/>
    </row>
    <row r="8167" spans="1:9">
      <c r="A8167" s="21"/>
      <c r="B8167"/>
      <c r="F8167" s="87"/>
      <c r="H8167" s="87"/>
      <c r="I8167" s="89"/>
    </row>
    <row r="8168" spans="1:9">
      <c r="A8168" s="21"/>
      <c r="B8168"/>
      <c r="F8168" s="87"/>
      <c r="H8168" s="87"/>
      <c r="I8168" s="89"/>
    </row>
    <row r="8169" spans="1:9">
      <c r="A8169" s="21"/>
      <c r="B8169"/>
      <c r="F8169" s="87"/>
      <c r="H8169" s="87"/>
      <c r="I8169" s="89"/>
    </row>
    <row r="8170" spans="1:9">
      <c r="A8170" s="21"/>
      <c r="B8170"/>
      <c r="F8170" s="87"/>
      <c r="H8170" s="87"/>
      <c r="I8170" s="89"/>
    </row>
    <row r="8171" spans="1:9">
      <c r="A8171" s="21"/>
      <c r="B8171"/>
      <c r="F8171" s="87"/>
      <c r="H8171" s="87"/>
      <c r="I8171" s="89"/>
    </row>
    <row r="8172" spans="1:9">
      <c r="A8172" s="21"/>
      <c r="B8172"/>
      <c r="F8172" s="87"/>
      <c r="H8172" s="87"/>
      <c r="I8172" s="89"/>
    </row>
    <row r="8173" spans="1:9">
      <c r="A8173" s="21"/>
      <c r="B8173"/>
      <c r="F8173" s="87"/>
      <c r="H8173" s="87"/>
      <c r="I8173" s="89"/>
    </row>
    <row r="8174" spans="1:9">
      <c r="A8174" s="21"/>
      <c r="B8174"/>
      <c r="F8174" s="87"/>
      <c r="H8174" s="87"/>
      <c r="I8174" s="89"/>
    </row>
    <row r="8175" spans="1:9">
      <c r="A8175" s="21"/>
      <c r="B8175"/>
      <c r="F8175" s="87"/>
      <c r="H8175" s="87"/>
      <c r="I8175" s="89"/>
    </row>
    <row r="8176" spans="1:9">
      <c r="A8176" s="21"/>
      <c r="B8176"/>
      <c r="F8176" s="87"/>
      <c r="H8176" s="87"/>
      <c r="I8176" s="89"/>
    </row>
    <row r="8177" spans="1:9">
      <c r="A8177" s="21"/>
      <c r="B8177"/>
      <c r="F8177" s="87"/>
      <c r="H8177" s="87"/>
      <c r="I8177" s="89"/>
    </row>
    <row r="8178" spans="1:9">
      <c r="A8178" s="21"/>
      <c r="B8178"/>
      <c r="F8178" s="87"/>
      <c r="H8178" s="87"/>
      <c r="I8178" s="89"/>
    </row>
    <row r="8179" spans="1:9">
      <c r="A8179" s="21"/>
      <c r="B8179"/>
      <c r="F8179" s="87"/>
      <c r="H8179" s="87"/>
      <c r="I8179" s="89"/>
    </row>
    <row r="8180" spans="1:9">
      <c r="A8180" s="21"/>
      <c r="B8180"/>
      <c r="F8180" s="87"/>
      <c r="H8180" s="87"/>
      <c r="I8180" s="89"/>
    </row>
    <row r="8181" spans="1:9">
      <c r="A8181" s="21"/>
      <c r="B8181"/>
      <c r="F8181" s="87"/>
      <c r="H8181" s="87"/>
      <c r="I8181" s="89"/>
    </row>
    <row r="8182" spans="1:9">
      <c r="A8182" s="21"/>
      <c r="B8182"/>
      <c r="F8182" s="87"/>
      <c r="H8182" s="87"/>
      <c r="I8182" s="89"/>
    </row>
    <row r="8183" spans="1:9">
      <c r="A8183" s="21"/>
      <c r="B8183"/>
      <c r="F8183" s="87"/>
      <c r="H8183" s="87"/>
      <c r="I8183" s="89"/>
    </row>
    <row r="8184" spans="1:9">
      <c r="A8184" s="21"/>
      <c r="B8184"/>
      <c r="F8184" s="87"/>
      <c r="H8184" s="87"/>
      <c r="I8184" s="89"/>
    </row>
    <row r="8185" spans="1:9">
      <c r="A8185" s="21"/>
      <c r="B8185"/>
      <c r="F8185" s="87"/>
      <c r="H8185" s="87"/>
      <c r="I8185" s="89"/>
    </row>
    <row r="8186" spans="1:9">
      <c r="A8186" s="21"/>
      <c r="B8186"/>
      <c r="F8186" s="87"/>
      <c r="H8186" s="87"/>
      <c r="I8186" s="89"/>
    </row>
    <row r="8187" spans="1:9">
      <c r="A8187" s="21"/>
      <c r="B8187"/>
      <c r="F8187" s="87"/>
      <c r="H8187" s="87"/>
      <c r="I8187" s="89"/>
    </row>
    <row r="8188" spans="1:9">
      <c r="A8188" s="21"/>
      <c r="B8188"/>
      <c r="F8188" s="87"/>
      <c r="H8188" s="87"/>
      <c r="I8188" s="89"/>
    </row>
    <row r="8189" spans="1:9">
      <c r="A8189" s="21"/>
      <c r="B8189"/>
      <c r="F8189" s="87"/>
      <c r="H8189" s="87"/>
      <c r="I8189" s="89"/>
    </row>
    <row r="8190" spans="1:9">
      <c r="A8190" s="21"/>
      <c r="B8190"/>
      <c r="F8190" s="87"/>
      <c r="H8190" s="87"/>
      <c r="I8190" s="89"/>
    </row>
    <row r="8191" spans="1:9">
      <c r="A8191" s="21"/>
      <c r="B8191"/>
      <c r="F8191" s="87"/>
      <c r="H8191" s="87"/>
      <c r="I8191" s="89"/>
    </row>
    <row r="8192" spans="1:9">
      <c r="A8192" s="21"/>
      <c r="B8192"/>
      <c r="F8192" s="87"/>
      <c r="H8192" s="87"/>
      <c r="I8192" s="89"/>
    </row>
    <row r="8193" spans="1:9">
      <c r="A8193" s="21"/>
      <c r="B8193"/>
      <c r="F8193" s="87"/>
      <c r="H8193" s="87"/>
      <c r="I8193" s="89"/>
    </row>
    <row r="8194" spans="1:9">
      <c r="A8194" s="21"/>
      <c r="B8194"/>
      <c r="F8194" s="87"/>
      <c r="H8194" s="87"/>
      <c r="I8194" s="89"/>
    </row>
    <row r="8195" spans="1:9">
      <c r="A8195" s="21"/>
      <c r="B8195"/>
      <c r="F8195" s="87"/>
      <c r="H8195" s="87"/>
      <c r="I8195" s="89"/>
    </row>
    <row r="8196" spans="1:9">
      <c r="A8196" s="21"/>
      <c r="B8196"/>
      <c r="F8196" s="87"/>
      <c r="H8196" s="87"/>
      <c r="I8196" s="89"/>
    </row>
    <row r="8197" spans="1:9">
      <c r="A8197" s="21"/>
      <c r="B8197"/>
      <c r="F8197" s="87"/>
      <c r="H8197" s="87"/>
      <c r="I8197" s="89"/>
    </row>
    <row r="8198" spans="1:9">
      <c r="A8198" s="21"/>
      <c r="B8198"/>
      <c r="F8198" s="87"/>
      <c r="H8198" s="87"/>
      <c r="I8198" s="89"/>
    </row>
    <row r="8199" spans="1:9">
      <c r="A8199" s="21"/>
      <c r="B8199"/>
      <c r="F8199" s="87"/>
      <c r="H8199" s="87"/>
      <c r="I8199" s="89"/>
    </row>
    <row r="8200" spans="1:9">
      <c r="A8200" s="21"/>
      <c r="B8200"/>
      <c r="F8200" s="87"/>
      <c r="H8200" s="87"/>
      <c r="I8200" s="89"/>
    </row>
    <row r="8201" spans="1:9">
      <c r="A8201" s="21"/>
      <c r="B8201"/>
      <c r="F8201" s="87"/>
      <c r="H8201" s="87"/>
      <c r="I8201" s="89"/>
    </row>
    <row r="8202" spans="1:9">
      <c r="A8202" s="21"/>
      <c r="B8202"/>
      <c r="F8202" s="87"/>
      <c r="H8202" s="87"/>
      <c r="I8202" s="89"/>
    </row>
    <row r="8203" spans="1:9">
      <c r="A8203" s="21"/>
      <c r="B8203"/>
      <c r="F8203" s="87"/>
      <c r="H8203" s="87"/>
      <c r="I8203" s="89"/>
    </row>
    <row r="8204" spans="1:9">
      <c r="A8204" s="21"/>
      <c r="B8204"/>
      <c r="F8204" s="87"/>
      <c r="H8204" s="87"/>
      <c r="I8204" s="89"/>
    </row>
    <row r="8205" spans="1:9">
      <c r="A8205" s="21"/>
      <c r="B8205"/>
      <c r="F8205" s="87"/>
      <c r="H8205" s="87"/>
      <c r="I8205" s="89"/>
    </row>
    <row r="8206" spans="1:9">
      <c r="A8206" s="21"/>
      <c r="B8206"/>
      <c r="F8206" s="87"/>
      <c r="H8206" s="87"/>
      <c r="I8206" s="89"/>
    </row>
    <row r="8207" spans="1:9">
      <c r="A8207" s="21"/>
      <c r="B8207"/>
      <c r="F8207" s="87"/>
      <c r="H8207" s="87"/>
      <c r="I8207" s="89"/>
    </row>
    <row r="8208" spans="1:9">
      <c r="A8208" s="21"/>
      <c r="B8208"/>
      <c r="F8208" s="87"/>
      <c r="H8208" s="87"/>
      <c r="I8208" s="89"/>
    </row>
    <row r="8209" spans="1:9">
      <c r="A8209" s="21"/>
      <c r="B8209"/>
      <c r="F8209" s="87"/>
      <c r="H8209" s="87"/>
      <c r="I8209" s="89"/>
    </row>
    <row r="8210" spans="1:9">
      <c r="A8210" s="21"/>
      <c r="B8210"/>
      <c r="F8210" s="87"/>
      <c r="H8210" s="87"/>
      <c r="I8210" s="89"/>
    </row>
    <row r="8211" spans="1:9">
      <c r="A8211" s="21"/>
      <c r="B8211"/>
      <c r="F8211" s="87"/>
      <c r="H8211" s="87"/>
      <c r="I8211" s="89"/>
    </row>
    <row r="8212" spans="1:9">
      <c r="A8212" s="21"/>
      <c r="B8212"/>
      <c r="F8212" s="87"/>
      <c r="H8212" s="87"/>
      <c r="I8212" s="89"/>
    </row>
    <row r="8213" spans="1:9">
      <c r="A8213" s="21"/>
      <c r="B8213"/>
      <c r="F8213" s="87"/>
      <c r="H8213" s="87"/>
      <c r="I8213" s="89"/>
    </row>
    <row r="8214" spans="1:9">
      <c r="A8214" s="21"/>
      <c r="B8214"/>
      <c r="F8214" s="87"/>
      <c r="H8214" s="87"/>
      <c r="I8214" s="89"/>
    </row>
    <row r="8215" spans="1:9">
      <c r="A8215" s="21"/>
      <c r="B8215"/>
      <c r="F8215" s="87"/>
      <c r="H8215" s="87"/>
      <c r="I8215" s="89"/>
    </row>
    <row r="8216" spans="1:9">
      <c r="A8216" s="21"/>
      <c r="B8216"/>
      <c r="F8216" s="87"/>
      <c r="H8216" s="87"/>
      <c r="I8216" s="89"/>
    </row>
    <row r="8217" spans="1:9">
      <c r="A8217" s="21"/>
      <c r="B8217"/>
      <c r="F8217" s="87"/>
      <c r="H8217" s="87"/>
      <c r="I8217" s="89"/>
    </row>
    <row r="8218" spans="1:9">
      <c r="A8218" s="21"/>
      <c r="B8218"/>
      <c r="F8218" s="87"/>
      <c r="H8218" s="87"/>
      <c r="I8218" s="89"/>
    </row>
    <row r="8219" spans="1:9">
      <c r="A8219" s="21"/>
      <c r="B8219"/>
      <c r="F8219" s="87"/>
      <c r="H8219" s="87"/>
      <c r="I8219" s="89"/>
    </row>
    <row r="8220" spans="1:9">
      <c r="A8220" s="21"/>
      <c r="B8220"/>
      <c r="F8220" s="87"/>
      <c r="H8220" s="87"/>
      <c r="I8220" s="89"/>
    </row>
    <row r="8221" spans="1:9">
      <c r="A8221" s="21"/>
      <c r="B8221"/>
      <c r="F8221" s="87"/>
      <c r="H8221" s="87"/>
      <c r="I8221" s="89"/>
    </row>
    <row r="8222" spans="1:9">
      <c r="A8222" s="21"/>
      <c r="B8222"/>
      <c r="F8222" s="87"/>
      <c r="H8222" s="87"/>
      <c r="I8222" s="89"/>
    </row>
    <row r="8223" spans="1:9">
      <c r="A8223" s="21"/>
      <c r="B8223"/>
      <c r="F8223" s="87"/>
      <c r="H8223" s="87"/>
      <c r="I8223" s="89"/>
    </row>
    <row r="8224" spans="1:9">
      <c r="A8224" s="21"/>
      <c r="B8224"/>
      <c r="F8224" s="87"/>
      <c r="H8224" s="87"/>
      <c r="I8224" s="89"/>
    </row>
    <row r="8225" spans="1:9">
      <c r="A8225" s="21"/>
      <c r="B8225"/>
      <c r="F8225" s="87"/>
      <c r="H8225" s="87"/>
      <c r="I8225" s="89"/>
    </row>
    <row r="8226" spans="1:9">
      <c r="A8226" s="21"/>
      <c r="B8226"/>
      <c r="F8226" s="87"/>
      <c r="H8226" s="87"/>
      <c r="I8226" s="89"/>
    </row>
    <row r="8227" spans="1:9">
      <c r="A8227" s="21"/>
      <c r="B8227"/>
      <c r="F8227" s="87"/>
      <c r="H8227" s="87"/>
      <c r="I8227" s="89"/>
    </row>
    <row r="8228" spans="1:9">
      <c r="A8228" s="21"/>
      <c r="B8228"/>
      <c r="F8228" s="87"/>
      <c r="H8228" s="87"/>
      <c r="I8228" s="89"/>
    </row>
    <row r="8229" spans="1:9">
      <c r="A8229" s="21"/>
      <c r="B8229"/>
      <c r="F8229" s="87"/>
      <c r="H8229" s="87"/>
      <c r="I8229" s="89"/>
    </row>
    <row r="8230" spans="1:9">
      <c r="A8230" s="21"/>
      <c r="B8230"/>
      <c r="F8230" s="87"/>
      <c r="H8230" s="87"/>
      <c r="I8230" s="89"/>
    </row>
    <row r="8231" spans="1:9">
      <c r="A8231" s="21"/>
      <c r="B8231"/>
      <c r="F8231" s="87"/>
      <c r="H8231" s="87"/>
      <c r="I8231" s="89"/>
    </row>
    <row r="8232" spans="1:9">
      <c r="A8232" s="21"/>
      <c r="B8232"/>
      <c r="F8232" s="87"/>
      <c r="H8232" s="87"/>
      <c r="I8232" s="89"/>
    </row>
    <row r="8233" spans="1:9">
      <c r="A8233" s="21"/>
      <c r="B8233"/>
      <c r="F8233" s="87"/>
      <c r="H8233" s="87"/>
      <c r="I8233" s="89"/>
    </row>
    <row r="8234" spans="1:9">
      <c r="A8234" s="21"/>
      <c r="B8234"/>
      <c r="F8234" s="87"/>
      <c r="H8234" s="87"/>
      <c r="I8234" s="89"/>
    </row>
    <row r="8235" spans="1:9">
      <c r="A8235" s="21"/>
      <c r="B8235"/>
      <c r="F8235" s="87"/>
      <c r="H8235" s="87"/>
      <c r="I8235" s="89"/>
    </row>
    <row r="8236" spans="1:9">
      <c r="A8236" s="21"/>
      <c r="B8236"/>
      <c r="F8236" s="87"/>
      <c r="H8236" s="87"/>
      <c r="I8236" s="89"/>
    </row>
    <row r="8237" spans="1:9">
      <c r="A8237" s="21"/>
      <c r="B8237"/>
      <c r="F8237" s="87"/>
      <c r="H8237" s="87"/>
      <c r="I8237" s="89"/>
    </row>
    <row r="8238" spans="1:9">
      <c r="A8238" s="21"/>
      <c r="B8238"/>
      <c r="F8238" s="87"/>
      <c r="H8238" s="87"/>
      <c r="I8238" s="89"/>
    </row>
    <row r="8239" spans="1:9">
      <c r="A8239" s="21"/>
      <c r="B8239"/>
      <c r="F8239" s="87"/>
      <c r="H8239" s="87"/>
      <c r="I8239" s="89"/>
    </row>
    <row r="8240" spans="1:9">
      <c r="A8240" s="21"/>
      <c r="B8240"/>
      <c r="F8240" s="87"/>
      <c r="H8240" s="87"/>
      <c r="I8240" s="89"/>
    </row>
    <row r="8241" spans="1:9">
      <c r="A8241" s="21"/>
      <c r="B8241"/>
      <c r="F8241" s="87"/>
      <c r="H8241" s="87"/>
      <c r="I8241" s="89"/>
    </row>
    <row r="8242" spans="1:9">
      <c r="A8242" s="21"/>
      <c r="B8242"/>
      <c r="F8242" s="87"/>
      <c r="H8242" s="87"/>
      <c r="I8242" s="89"/>
    </row>
    <row r="8243" spans="1:9">
      <c r="A8243" s="21"/>
      <c r="B8243"/>
      <c r="F8243" s="87"/>
      <c r="H8243" s="87"/>
      <c r="I8243" s="89"/>
    </row>
    <row r="8244" spans="1:9">
      <c r="A8244" s="21"/>
      <c r="B8244"/>
      <c r="F8244" s="87"/>
      <c r="H8244" s="87"/>
      <c r="I8244" s="89"/>
    </row>
    <row r="8245" spans="1:9">
      <c r="A8245" s="21"/>
      <c r="B8245"/>
      <c r="F8245" s="87"/>
      <c r="H8245" s="87"/>
      <c r="I8245" s="89"/>
    </row>
    <row r="8246" spans="1:9">
      <c r="A8246" s="21"/>
      <c r="B8246"/>
      <c r="F8246" s="87"/>
      <c r="H8246" s="87"/>
      <c r="I8246" s="89"/>
    </row>
    <row r="8247" spans="1:9">
      <c r="A8247" s="21"/>
      <c r="B8247"/>
      <c r="F8247" s="87"/>
      <c r="H8247" s="87"/>
      <c r="I8247" s="89"/>
    </row>
    <row r="8248" spans="1:9">
      <c r="A8248" s="21"/>
      <c r="B8248"/>
      <c r="F8248" s="87"/>
      <c r="H8248" s="87"/>
      <c r="I8248" s="89"/>
    </row>
    <row r="8249" spans="1:9">
      <c r="A8249" s="21"/>
      <c r="B8249"/>
      <c r="F8249" s="87"/>
      <c r="H8249" s="87"/>
      <c r="I8249" s="89"/>
    </row>
    <row r="8250" spans="1:9">
      <c r="A8250" s="21"/>
      <c r="B8250"/>
      <c r="F8250" s="87"/>
      <c r="H8250" s="87"/>
      <c r="I8250" s="89"/>
    </row>
    <row r="8251" spans="1:9">
      <c r="A8251" s="21"/>
      <c r="B8251"/>
      <c r="F8251" s="87"/>
      <c r="H8251" s="87"/>
      <c r="I8251" s="89"/>
    </row>
    <row r="8252" spans="1:9">
      <c r="A8252" s="21"/>
      <c r="B8252"/>
      <c r="F8252" s="87"/>
      <c r="H8252" s="87"/>
      <c r="I8252" s="89"/>
    </row>
    <row r="8253" spans="1:9">
      <c r="A8253" s="21"/>
      <c r="B8253"/>
      <c r="F8253" s="87"/>
      <c r="H8253" s="87"/>
      <c r="I8253" s="89"/>
    </row>
    <row r="8254" spans="1:9">
      <c r="A8254" s="21"/>
      <c r="B8254"/>
      <c r="F8254" s="87"/>
      <c r="H8254" s="87"/>
      <c r="I8254" s="89"/>
    </row>
    <row r="8255" spans="1:9">
      <c r="A8255" s="21"/>
      <c r="B8255"/>
      <c r="F8255" s="87"/>
      <c r="H8255" s="87"/>
      <c r="I8255" s="89"/>
    </row>
    <row r="8256" spans="1:9">
      <c r="A8256" s="21"/>
      <c r="B8256"/>
      <c r="F8256" s="87"/>
      <c r="H8256" s="87"/>
      <c r="I8256" s="89"/>
    </row>
    <row r="8257" spans="1:9">
      <c r="A8257" s="21"/>
      <c r="B8257"/>
      <c r="F8257" s="87"/>
      <c r="H8257" s="87"/>
      <c r="I8257" s="89"/>
    </row>
    <row r="8258" spans="1:9">
      <c r="A8258" s="21"/>
      <c r="B8258"/>
      <c r="F8258" s="87"/>
      <c r="H8258" s="87"/>
      <c r="I8258" s="89"/>
    </row>
    <row r="8259" spans="1:9">
      <c r="A8259" s="21"/>
      <c r="B8259"/>
      <c r="F8259" s="87"/>
      <c r="H8259" s="87"/>
      <c r="I8259" s="89"/>
    </row>
    <row r="8260" spans="1:9">
      <c r="A8260" s="21"/>
      <c r="B8260"/>
      <c r="F8260" s="87"/>
      <c r="H8260" s="87"/>
      <c r="I8260" s="89"/>
    </row>
    <row r="8261" spans="1:9">
      <c r="A8261" s="21"/>
      <c r="B8261"/>
      <c r="F8261" s="87"/>
      <c r="H8261" s="87"/>
      <c r="I8261" s="89"/>
    </row>
    <row r="8262" spans="1:9">
      <c r="A8262" s="21"/>
      <c r="B8262"/>
      <c r="F8262" s="87"/>
      <c r="H8262" s="87"/>
      <c r="I8262" s="89"/>
    </row>
    <row r="8263" spans="1:9">
      <c r="A8263" s="21"/>
      <c r="B8263"/>
      <c r="F8263" s="87"/>
      <c r="H8263" s="87"/>
      <c r="I8263" s="89"/>
    </row>
    <row r="8264" spans="1:9">
      <c r="A8264" s="21"/>
      <c r="B8264"/>
      <c r="F8264" s="87"/>
      <c r="H8264" s="87"/>
      <c r="I8264" s="89"/>
    </row>
    <row r="8265" spans="1:9">
      <c r="A8265" s="21"/>
      <c r="B8265"/>
      <c r="F8265" s="87"/>
      <c r="H8265" s="87"/>
      <c r="I8265" s="89"/>
    </row>
    <row r="8266" spans="1:9">
      <c r="A8266" s="21"/>
      <c r="B8266"/>
      <c r="F8266" s="87"/>
      <c r="H8266" s="87"/>
      <c r="I8266" s="89"/>
    </row>
    <row r="8267" spans="1:9">
      <c r="A8267" s="21"/>
      <c r="B8267"/>
      <c r="F8267" s="87"/>
      <c r="H8267" s="87"/>
      <c r="I8267" s="89"/>
    </row>
    <row r="8268" spans="1:9">
      <c r="A8268" s="21"/>
      <c r="B8268"/>
      <c r="F8268" s="87"/>
      <c r="H8268" s="87"/>
      <c r="I8268" s="89"/>
    </row>
    <row r="8269" spans="1:9">
      <c r="A8269" s="21"/>
      <c r="B8269"/>
      <c r="F8269" s="87"/>
      <c r="H8269" s="87"/>
      <c r="I8269" s="89"/>
    </row>
    <row r="8270" spans="1:9">
      <c r="A8270" s="21"/>
      <c r="B8270"/>
      <c r="F8270" s="87"/>
      <c r="H8270" s="87"/>
      <c r="I8270" s="89"/>
    </row>
    <row r="8271" spans="1:9">
      <c r="A8271" s="21"/>
      <c r="B8271"/>
      <c r="F8271" s="87"/>
      <c r="H8271" s="87"/>
      <c r="I8271" s="89"/>
    </row>
    <row r="8272" spans="1:9">
      <c r="A8272" s="21"/>
      <c r="B8272"/>
      <c r="F8272" s="87"/>
      <c r="H8272" s="87"/>
      <c r="I8272" s="89"/>
    </row>
    <row r="8273" spans="1:9">
      <c r="A8273" s="21"/>
      <c r="B8273"/>
      <c r="F8273" s="87"/>
      <c r="H8273" s="87"/>
      <c r="I8273" s="89"/>
    </row>
    <row r="8274" spans="1:9">
      <c r="A8274" s="21"/>
      <c r="B8274"/>
      <c r="F8274" s="87"/>
      <c r="H8274" s="87"/>
      <c r="I8274" s="89"/>
    </row>
    <row r="8275" spans="1:9">
      <c r="A8275" s="21"/>
      <c r="B8275"/>
      <c r="F8275" s="87"/>
      <c r="H8275" s="87"/>
      <c r="I8275" s="89"/>
    </row>
    <row r="8276" spans="1:9">
      <c r="A8276" s="21"/>
      <c r="B8276"/>
      <c r="F8276" s="87"/>
      <c r="H8276" s="87"/>
      <c r="I8276" s="89"/>
    </row>
    <row r="8277" spans="1:9">
      <c r="A8277" s="21"/>
      <c r="B8277"/>
      <c r="F8277" s="87"/>
      <c r="H8277" s="87"/>
      <c r="I8277" s="89"/>
    </row>
    <row r="8278" spans="1:9">
      <c r="A8278" s="21"/>
      <c r="B8278"/>
      <c r="F8278" s="87"/>
      <c r="H8278" s="87"/>
      <c r="I8278" s="89"/>
    </row>
    <row r="8279" spans="1:9">
      <c r="A8279" s="21"/>
      <c r="B8279"/>
      <c r="F8279" s="87"/>
      <c r="H8279" s="87"/>
      <c r="I8279" s="89"/>
    </row>
    <row r="8280" spans="1:9">
      <c r="A8280" s="21"/>
      <c r="B8280"/>
      <c r="F8280" s="87"/>
      <c r="H8280" s="87"/>
      <c r="I8280" s="89"/>
    </row>
    <row r="8281" spans="1:9">
      <c r="A8281" s="21"/>
      <c r="B8281"/>
      <c r="F8281" s="87"/>
      <c r="H8281" s="87"/>
      <c r="I8281" s="89"/>
    </row>
    <row r="8282" spans="1:9">
      <c r="A8282" s="21"/>
      <c r="B8282"/>
      <c r="F8282" s="87"/>
      <c r="H8282" s="87"/>
      <c r="I8282" s="89"/>
    </row>
    <row r="8283" spans="1:9">
      <c r="A8283" s="21"/>
      <c r="B8283"/>
      <c r="F8283" s="87"/>
      <c r="H8283" s="87"/>
      <c r="I8283" s="89"/>
    </row>
    <row r="8284" spans="1:9">
      <c r="A8284" s="21"/>
      <c r="B8284"/>
      <c r="F8284" s="87"/>
      <c r="H8284" s="87"/>
      <c r="I8284" s="89"/>
    </row>
    <row r="8285" spans="1:9">
      <c r="A8285" s="21"/>
      <c r="B8285"/>
      <c r="F8285" s="87"/>
      <c r="H8285" s="87"/>
      <c r="I8285" s="89"/>
    </row>
    <row r="8286" spans="1:9">
      <c r="A8286" s="21"/>
      <c r="B8286"/>
      <c r="F8286" s="87"/>
      <c r="H8286" s="87"/>
      <c r="I8286" s="89"/>
    </row>
    <row r="8287" spans="1:9">
      <c r="A8287" s="21"/>
      <c r="B8287"/>
      <c r="F8287" s="87"/>
      <c r="H8287" s="87"/>
      <c r="I8287" s="89"/>
    </row>
    <row r="8288" spans="1:9">
      <c r="A8288" s="21"/>
      <c r="B8288"/>
      <c r="F8288" s="87"/>
      <c r="H8288" s="87"/>
      <c r="I8288" s="89"/>
    </row>
    <row r="8289" spans="1:9">
      <c r="A8289" s="21"/>
      <c r="B8289"/>
      <c r="F8289" s="87"/>
      <c r="H8289" s="87"/>
      <c r="I8289" s="89"/>
    </row>
    <row r="8290" spans="1:9">
      <c r="A8290" s="21"/>
      <c r="B8290"/>
      <c r="F8290" s="87"/>
      <c r="H8290" s="87"/>
      <c r="I8290" s="89"/>
    </row>
    <row r="8291" spans="1:9">
      <c r="A8291" s="21"/>
      <c r="B8291"/>
      <c r="F8291" s="87"/>
      <c r="H8291" s="87"/>
      <c r="I8291" s="89"/>
    </row>
    <row r="8292" spans="1:9">
      <c r="A8292" s="21"/>
      <c r="B8292"/>
      <c r="F8292" s="87"/>
      <c r="H8292" s="87"/>
      <c r="I8292" s="89"/>
    </row>
    <row r="8293" spans="1:9">
      <c r="A8293" s="21"/>
      <c r="B8293"/>
      <c r="F8293" s="87"/>
      <c r="H8293" s="87"/>
      <c r="I8293" s="89"/>
    </row>
    <row r="8294" spans="1:9">
      <c r="A8294" s="21"/>
      <c r="B8294"/>
      <c r="F8294" s="87"/>
      <c r="H8294" s="87"/>
      <c r="I8294" s="89"/>
    </row>
    <row r="8295" spans="1:9">
      <c r="A8295" s="21"/>
      <c r="B8295"/>
      <c r="F8295" s="87"/>
      <c r="H8295" s="87"/>
      <c r="I8295" s="89"/>
    </row>
    <row r="8296" spans="1:9">
      <c r="A8296" s="21"/>
      <c r="B8296"/>
      <c r="F8296" s="87"/>
      <c r="H8296" s="87"/>
      <c r="I8296" s="89"/>
    </row>
    <row r="8297" spans="1:9">
      <c r="A8297" s="21"/>
      <c r="B8297"/>
      <c r="F8297" s="87"/>
      <c r="H8297" s="87"/>
      <c r="I8297" s="89"/>
    </row>
    <row r="8298" spans="1:9">
      <c r="A8298" s="21"/>
      <c r="B8298"/>
      <c r="F8298" s="87"/>
      <c r="H8298" s="87"/>
      <c r="I8298" s="89"/>
    </row>
    <row r="8299" spans="1:9">
      <c r="A8299" s="21"/>
      <c r="B8299"/>
      <c r="F8299" s="87"/>
      <c r="H8299" s="87"/>
      <c r="I8299" s="89"/>
    </row>
    <row r="8300" spans="1:9">
      <c r="A8300" s="21"/>
      <c r="B8300"/>
      <c r="F8300" s="87"/>
      <c r="H8300" s="87"/>
      <c r="I8300" s="89"/>
    </row>
    <row r="8301" spans="1:9">
      <c r="A8301" s="21"/>
      <c r="B8301"/>
      <c r="F8301" s="87"/>
      <c r="H8301" s="87"/>
      <c r="I8301" s="89"/>
    </row>
    <row r="8302" spans="1:9">
      <c r="A8302" s="21"/>
      <c r="B8302"/>
      <c r="F8302" s="87"/>
      <c r="H8302" s="87"/>
      <c r="I8302" s="89"/>
    </row>
    <row r="8303" spans="1:9">
      <c r="A8303" s="21"/>
      <c r="B8303"/>
      <c r="F8303" s="87"/>
      <c r="H8303" s="87"/>
      <c r="I8303" s="89"/>
    </row>
    <row r="8304" spans="1:9">
      <c r="A8304" s="21"/>
      <c r="B8304"/>
      <c r="F8304" s="87"/>
      <c r="H8304" s="87"/>
      <c r="I8304" s="89"/>
    </row>
    <row r="8305" spans="1:9">
      <c r="A8305" s="21"/>
      <c r="B8305"/>
      <c r="F8305" s="87"/>
      <c r="H8305" s="87"/>
      <c r="I8305" s="89"/>
    </row>
    <row r="8306" spans="1:9">
      <c r="A8306" s="21"/>
      <c r="B8306"/>
      <c r="F8306" s="87"/>
      <c r="H8306" s="87"/>
      <c r="I8306" s="89"/>
    </row>
    <row r="8307" spans="1:9">
      <c r="A8307" s="21"/>
      <c r="B8307"/>
      <c r="F8307" s="87"/>
      <c r="H8307" s="87"/>
      <c r="I8307" s="89"/>
    </row>
    <row r="8308" spans="1:9">
      <c r="A8308" s="21"/>
      <c r="B8308"/>
      <c r="F8308" s="87"/>
      <c r="H8308" s="87"/>
      <c r="I8308" s="89"/>
    </row>
    <row r="8309" spans="1:9">
      <c r="A8309" s="21"/>
      <c r="B8309"/>
      <c r="F8309" s="87"/>
      <c r="H8309" s="87"/>
      <c r="I8309" s="89"/>
    </row>
    <row r="8310" spans="1:9">
      <c r="A8310" s="21"/>
      <c r="B8310"/>
      <c r="F8310" s="87"/>
      <c r="H8310" s="87"/>
      <c r="I8310" s="89"/>
    </row>
    <row r="8311" spans="1:9">
      <c r="A8311" s="21"/>
      <c r="B8311"/>
      <c r="F8311" s="87"/>
      <c r="H8311" s="87"/>
      <c r="I8311" s="89"/>
    </row>
    <row r="8312" spans="1:9">
      <c r="A8312" s="21"/>
      <c r="B8312"/>
      <c r="F8312" s="87"/>
      <c r="H8312" s="87"/>
      <c r="I8312" s="89"/>
    </row>
    <row r="8313" spans="1:9">
      <c r="A8313" s="21"/>
      <c r="B8313"/>
      <c r="F8313" s="87"/>
      <c r="H8313" s="87"/>
      <c r="I8313" s="89"/>
    </row>
    <row r="8314" spans="1:9">
      <c r="A8314" s="21"/>
      <c r="B8314"/>
      <c r="F8314" s="87"/>
      <c r="H8314" s="87"/>
      <c r="I8314" s="89"/>
    </row>
    <row r="8315" spans="1:9">
      <c r="A8315" s="21"/>
      <c r="B8315"/>
      <c r="F8315" s="87"/>
      <c r="H8315" s="87"/>
      <c r="I8315" s="89"/>
    </row>
    <row r="8316" spans="1:9">
      <c r="A8316" s="21"/>
      <c r="B8316"/>
      <c r="F8316" s="87"/>
      <c r="H8316" s="87"/>
      <c r="I8316" s="89"/>
    </row>
    <row r="8317" spans="1:9">
      <c r="A8317" s="21"/>
      <c r="B8317"/>
      <c r="F8317" s="87"/>
      <c r="H8317" s="87"/>
      <c r="I8317" s="89"/>
    </row>
    <row r="8318" spans="1:9">
      <c r="A8318" s="21"/>
      <c r="B8318"/>
      <c r="F8318" s="87"/>
      <c r="H8318" s="87"/>
      <c r="I8318" s="89"/>
    </row>
    <row r="8319" spans="1:9">
      <c r="A8319" s="21"/>
      <c r="B8319"/>
      <c r="F8319" s="87"/>
      <c r="H8319" s="87"/>
      <c r="I8319" s="89"/>
    </row>
    <row r="8320" spans="1:9">
      <c r="A8320" s="21"/>
      <c r="B8320"/>
      <c r="F8320" s="87"/>
      <c r="H8320" s="87"/>
      <c r="I8320" s="89"/>
    </row>
    <row r="8321" spans="1:9">
      <c r="A8321" s="21"/>
      <c r="B8321"/>
      <c r="F8321" s="87"/>
      <c r="H8321" s="87"/>
      <c r="I8321" s="89"/>
    </row>
    <row r="8322" spans="1:9">
      <c r="A8322" s="21"/>
      <c r="B8322"/>
      <c r="F8322" s="87"/>
      <c r="H8322" s="87"/>
      <c r="I8322" s="89"/>
    </row>
    <row r="8323" spans="1:9">
      <c r="A8323" s="21"/>
      <c r="B8323"/>
      <c r="F8323" s="87"/>
      <c r="H8323" s="87"/>
      <c r="I8323" s="89"/>
    </row>
    <row r="8324" spans="1:9">
      <c r="A8324" s="21"/>
      <c r="B8324"/>
      <c r="F8324" s="87"/>
      <c r="H8324" s="87"/>
      <c r="I8324" s="89"/>
    </row>
    <row r="8325" spans="1:9">
      <c r="A8325" s="21"/>
      <c r="B8325"/>
      <c r="F8325" s="87"/>
      <c r="H8325" s="87"/>
      <c r="I8325" s="89"/>
    </row>
    <row r="8326" spans="1:9">
      <c r="A8326" s="21"/>
      <c r="B8326"/>
      <c r="F8326" s="87"/>
      <c r="H8326" s="87"/>
      <c r="I8326" s="89"/>
    </row>
    <row r="8327" spans="1:9">
      <c r="A8327" s="21"/>
      <c r="B8327"/>
      <c r="F8327" s="87"/>
      <c r="H8327" s="87"/>
      <c r="I8327" s="89"/>
    </row>
    <row r="8328" spans="1:9">
      <c r="A8328" s="21"/>
      <c r="B8328"/>
      <c r="F8328" s="87"/>
      <c r="H8328" s="87"/>
      <c r="I8328" s="89"/>
    </row>
    <row r="8329" spans="1:9">
      <c r="A8329" s="21"/>
      <c r="B8329"/>
      <c r="F8329" s="87"/>
      <c r="H8329" s="87"/>
      <c r="I8329" s="89"/>
    </row>
    <row r="8330" spans="1:9">
      <c r="A8330" s="21"/>
      <c r="B8330"/>
      <c r="F8330" s="87"/>
      <c r="H8330" s="87"/>
      <c r="I8330" s="89"/>
    </row>
    <row r="8331" spans="1:9">
      <c r="A8331" s="21"/>
      <c r="B8331"/>
      <c r="F8331" s="87"/>
      <c r="H8331" s="87"/>
      <c r="I8331" s="89"/>
    </row>
    <row r="8332" spans="1:9">
      <c r="A8332" s="21"/>
      <c r="B8332"/>
      <c r="F8332" s="87"/>
      <c r="H8332" s="87"/>
      <c r="I8332" s="89"/>
    </row>
    <row r="8333" spans="1:9">
      <c r="A8333" s="21"/>
      <c r="B8333"/>
      <c r="F8333" s="87"/>
      <c r="H8333" s="87"/>
      <c r="I8333" s="89"/>
    </row>
    <row r="8334" spans="1:9">
      <c r="A8334" s="21"/>
      <c r="B8334"/>
      <c r="F8334" s="87"/>
      <c r="H8334" s="87"/>
      <c r="I8334" s="89"/>
    </row>
    <row r="8335" spans="1:9">
      <c r="A8335" s="21"/>
      <c r="B8335"/>
      <c r="F8335" s="87"/>
      <c r="H8335" s="87"/>
      <c r="I8335" s="89"/>
    </row>
    <row r="8336" spans="1:9">
      <c r="A8336" s="21"/>
      <c r="B8336"/>
      <c r="F8336" s="87"/>
      <c r="H8336" s="87"/>
      <c r="I8336" s="89"/>
    </row>
    <row r="8337" spans="1:9">
      <c r="A8337" s="21"/>
      <c r="B8337"/>
      <c r="F8337" s="87"/>
      <c r="H8337" s="87"/>
      <c r="I8337" s="89"/>
    </row>
    <row r="8338" spans="1:9">
      <c r="A8338" s="21"/>
      <c r="B8338"/>
      <c r="F8338" s="87"/>
      <c r="H8338" s="87"/>
      <c r="I8338" s="89"/>
    </row>
    <row r="8339" spans="1:9">
      <c r="A8339" s="21"/>
      <c r="B8339"/>
      <c r="F8339" s="87"/>
      <c r="H8339" s="87"/>
      <c r="I8339" s="89"/>
    </row>
    <row r="8340" spans="1:9">
      <c r="A8340" s="21"/>
      <c r="B8340"/>
      <c r="F8340" s="87"/>
      <c r="H8340" s="87"/>
      <c r="I8340" s="89"/>
    </row>
    <row r="8341" spans="1:9">
      <c r="A8341" s="21"/>
      <c r="B8341"/>
      <c r="F8341" s="87"/>
      <c r="H8341" s="87"/>
      <c r="I8341" s="89"/>
    </row>
    <row r="8342" spans="1:9">
      <c r="A8342" s="21"/>
      <c r="B8342"/>
      <c r="F8342" s="87"/>
      <c r="H8342" s="87"/>
      <c r="I8342" s="89"/>
    </row>
    <row r="8343" spans="1:9">
      <c r="A8343" s="21"/>
      <c r="B8343"/>
      <c r="F8343" s="87"/>
      <c r="H8343" s="87"/>
      <c r="I8343" s="89"/>
    </row>
    <row r="8344" spans="1:9">
      <c r="A8344" s="21"/>
      <c r="B8344"/>
      <c r="F8344" s="87"/>
      <c r="H8344" s="87"/>
      <c r="I8344" s="89"/>
    </row>
    <row r="8345" spans="1:9">
      <c r="A8345" s="21"/>
      <c r="B8345"/>
      <c r="F8345" s="87"/>
      <c r="H8345" s="87"/>
      <c r="I8345" s="89"/>
    </row>
    <row r="8346" spans="1:9">
      <c r="A8346" s="21"/>
      <c r="B8346"/>
      <c r="F8346" s="87"/>
      <c r="H8346" s="87"/>
      <c r="I8346" s="89"/>
    </row>
    <row r="8347" spans="1:9">
      <c r="A8347" s="21"/>
      <c r="B8347"/>
      <c r="F8347" s="87"/>
      <c r="H8347" s="87"/>
      <c r="I8347" s="89"/>
    </row>
    <row r="8348" spans="1:9">
      <c r="A8348" s="21"/>
      <c r="B8348"/>
      <c r="F8348" s="87"/>
      <c r="H8348" s="87"/>
      <c r="I8348" s="89"/>
    </row>
    <row r="8349" spans="1:9">
      <c r="A8349" s="21"/>
      <c r="B8349"/>
      <c r="F8349" s="87"/>
      <c r="H8349" s="87"/>
      <c r="I8349" s="89"/>
    </row>
    <row r="8350" spans="1:9">
      <c r="A8350" s="21"/>
      <c r="B8350"/>
      <c r="F8350" s="87"/>
      <c r="H8350" s="87"/>
      <c r="I8350" s="89"/>
    </row>
    <row r="8351" spans="1:9">
      <c r="A8351" s="21"/>
      <c r="B8351"/>
      <c r="F8351" s="87"/>
      <c r="H8351" s="87"/>
      <c r="I8351" s="89"/>
    </row>
    <row r="8352" spans="1:9">
      <c r="A8352" s="21"/>
      <c r="B8352"/>
      <c r="F8352" s="87"/>
      <c r="H8352" s="87"/>
      <c r="I8352" s="89"/>
    </row>
    <row r="8353" spans="1:9">
      <c r="A8353" s="21"/>
      <c r="B8353"/>
      <c r="F8353" s="87"/>
      <c r="H8353" s="87"/>
      <c r="I8353" s="89"/>
    </row>
    <row r="8354" spans="1:9">
      <c r="A8354" s="21"/>
      <c r="B8354"/>
      <c r="F8354" s="87"/>
      <c r="H8354" s="87"/>
      <c r="I8354" s="89"/>
    </row>
    <row r="8355" spans="1:9">
      <c r="A8355" s="21"/>
      <c r="B8355"/>
      <c r="F8355" s="87"/>
      <c r="H8355" s="87"/>
      <c r="I8355" s="89"/>
    </row>
    <row r="8356" spans="1:9">
      <c r="A8356" s="21"/>
      <c r="B8356"/>
      <c r="F8356" s="87"/>
      <c r="H8356" s="87"/>
      <c r="I8356" s="89"/>
    </row>
    <row r="8357" spans="1:9">
      <c r="A8357" s="21"/>
      <c r="B8357"/>
      <c r="F8357" s="87"/>
      <c r="H8357" s="87"/>
      <c r="I8357" s="89"/>
    </row>
    <row r="8358" spans="1:9">
      <c r="A8358" s="21"/>
      <c r="B8358"/>
      <c r="F8358" s="87"/>
      <c r="H8358" s="87"/>
      <c r="I8358" s="89"/>
    </row>
    <row r="8359" spans="1:9">
      <c r="A8359" s="21"/>
      <c r="B8359"/>
      <c r="F8359" s="87"/>
      <c r="H8359" s="87"/>
      <c r="I8359" s="89"/>
    </row>
    <row r="8360" spans="1:9">
      <c r="A8360" s="21"/>
      <c r="B8360"/>
      <c r="F8360" s="87"/>
      <c r="H8360" s="87"/>
      <c r="I8360" s="89"/>
    </row>
    <row r="8361" spans="1:9">
      <c r="A8361" s="21"/>
      <c r="B8361"/>
      <c r="F8361" s="87"/>
      <c r="H8361" s="87"/>
      <c r="I8361" s="89"/>
    </row>
    <row r="8362" spans="1:9">
      <c r="A8362" s="21"/>
      <c r="B8362"/>
      <c r="F8362" s="87"/>
      <c r="H8362" s="87"/>
      <c r="I8362" s="89"/>
    </row>
    <row r="8363" spans="1:9">
      <c r="A8363" s="21"/>
      <c r="B8363"/>
      <c r="F8363" s="87"/>
      <c r="H8363" s="87"/>
      <c r="I8363" s="89"/>
    </row>
    <row r="8364" spans="1:9">
      <c r="A8364" s="21"/>
      <c r="B8364"/>
      <c r="F8364" s="87"/>
      <c r="H8364" s="87"/>
      <c r="I8364" s="89"/>
    </row>
    <row r="8365" spans="1:9">
      <c r="A8365" s="21"/>
      <c r="B8365"/>
      <c r="F8365" s="87"/>
      <c r="H8365" s="87"/>
      <c r="I8365" s="89"/>
    </row>
    <row r="8366" spans="1:9">
      <c r="A8366" s="21"/>
      <c r="B8366"/>
      <c r="F8366" s="87"/>
      <c r="H8366" s="87"/>
      <c r="I8366" s="89"/>
    </row>
    <row r="8367" spans="1:9">
      <c r="A8367" s="21"/>
      <c r="B8367"/>
      <c r="F8367" s="87"/>
      <c r="H8367" s="87"/>
      <c r="I8367" s="89"/>
    </row>
    <row r="8368" spans="1:9">
      <c r="A8368" s="21"/>
      <c r="B8368"/>
      <c r="F8368" s="87"/>
      <c r="H8368" s="87"/>
      <c r="I8368" s="89"/>
    </row>
    <row r="8369" spans="1:9">
      <c r="A8369" s="21"/>
      <c r="B8369"/>
      <c r="F8369" s="87"/>
      <c r="H8369" s="87"/>
      <c r="I8369" s="89"/>
    </row>
    <row r="8370" spans="1:9">
      <c r="A8370" s="21"/>
      <c r="B8370"/>
      <c r="F8370" s="87"/>
      <c r="H8370" s="87"/>
      <c r="I8370" s="89"/>
    </row>
    <row r="8371" spans="1:9">
      <c r="A8371" s="21"/>
      <c r="B8371"/>
      <c r="F8371" s="87"/>
      <c r="H8371" s="87"/>
      <c r="I8371" s="89"/>
    </row>
    <row r="8372" spans="1:9">
      <c r="A8372" s="21"/>
      <c r="B8372"/>
      <c r="F8372" s="87"/>
      <c r="H8372" s="87"/>
      <c r="I8372" s="89"/>
    </row>
    <row r="8373" spans="1:9">
      <c r="A8373" s="21"/>
      <c r="B8373"/>
      <c r="F8373" s="87"/>
      <c r="H8373" s="87"/>
      <c r="I8373" s="89"/>
    </row>
    <row r="8374" spans="1:9">
      <c r="A8374" s="21"/>
      <c r="B8374"/>
      <c r="F8374" s="87"/>
      <c r="H8374" s="87"/>
      <c r="I8374" s="89"/>
    </row>
    <row r="8375" spans="1:9">
      <c r="A8375" s="21"/>
      <c r="B8375"/>
      <c r="F8375" s="87"/>
      <c r="H8375" s="87"/>
      <c r="I8375" s="89"/>
    </row>
    <row r="8376" spans="1:9">
      <c r="A8376" s="21"/>
      <c r="B8376"/>
      <c r="F8376" s="87"/>
      <c r="H8376" s="87"/>
      <c r="I8376" s="89"/>
    </row>
    <row r="8377" spans="1:9">
      <c r="A8377" s="21"/>
      <c r="B8377"/>
      <c r="F8377" s="87"/>
      <c r="H8377" s="87"/>
      <c r="I8377" s="89"/>
    </row>
    <row r="8378" spans="1:9">
      <c r="A8378" s="21"/>
      <c r="B8378"/>
      <c r="F8378" s="87"/>
      <c r="H8378" s="87"/>
      <c r="I8378" s="89"/>
    </row>
    <row r="8379" spans="1:9">
      <c r="A8379" s="21"/>
      <c r="B8379"/>
      <c r="F8379" s="87"/>
      <c r="H8379" s="87"/>
      <c r="I8379" s="89"/>
    </row>
    <row r="8380" spans="1:9">
      <c r="A8380" s="21"/>
      <c r="B8380"/>
      <c r="F8380" s="87"/>
      <c r="H8380" s="87"/>
      <c r="I8380" s="89"/>
    </row>
    <row r="8381" spans="1:9">
      <c r="A8381" s="21"/>
      <c r="B8381"/>
      <c r="F8381" s="87"/>
      <c r="H8381" s="87"/>
      <c r="I8381" s="89"/>
    </row>
    <row r="8382" spans="1:9">
      <c r="A8382" s="21"/>
      <c r="B8382"/>
      <c r="F8382" s="87"/>
      <c r="H8382" s="87"/>
      <c r="I8382" s="89"/>
    </row>
    <row r="8383" spans="1:9">
      <c r="A8383" s="21"/>
      <c r="B8383"/>
      <c r="F8383" s="87"/>
      <c r="H8383" s="87"/>
      <c r="I8383" s="89"/>
    </row>
    <row r="8384" spans="1:9">
      <c r="A8384" s="21"/>
      <c r="B8384"/>
      <c r="F8384" s="87"/>
      <c r="H8384" s="87"/>
      <c r="I8384" s="89"/>
    </row>
    <row r="8385" spans="1:9">
      <c r="A8385" s="21"/>
      <c r="B8385"/>
      <c r="F8385" s="87"/>
      <c r="H8385" s="87"/>
      <c r="I8385" s="89"/>
    </row>
    <row r="8386" spans="1:9">
      <c r="A8386" s="21"/>
      <c r="B8386"/>
      <c r="F8386" s="87"/>
      <c r="H8386" s="87"/>
      <c r="I8386" s="89"/>
    </row>
    <row r="8387" spans="1:9">
      <c r="A8387" s="21"/>
      <c r="B8387"/>
      <c r="F8387" s="87"/>
      <c r="H8387" s="87"/>
      <c r="I8387" s="89"/>
    </row>
    <row r="8388" spans="1:9">
      <c r="A8388" s="21"/>
      <c r="B8388"/>
      <c r="F8388" s="87"/>
      <c r="H8388" s="87"/>
      <c r="I8388" s="89"/>
    </row>
    <row r="8389" spans="1:9">
      <c r="A8389" s="21"/>
      <c r="B8389"/>
      <c r="F8389" s="87"/>
      <c r="H8389" s="87"/>
      <c r="I8389" s="89"/>
    </row>
    <row r="8390" spans="1:9">
      <c r="A8390" s="21"/>
      <c r="B8390"/>
      <c r="F8390" s="87"/>
      <c r="H8390" s="87"/>
      <c r="I8390" s="89"/>
    </row>
    <row r="8391" spans="1:9">
      <c r="A8391" s="21"/>
      <c r="B8391"/>
      <c r="F8391" s="87"/>
      <c r="H8391" s="87"/>
      <c r="I8391" s="89"/>
    </row>
    <row r="8392" spans="1:9">
      <c r="A8392" s="21"/>
      <c r="B8392"/>
      <c r="F8392" s="87"/>
      <c r="H8392" s="87"/>
      <c r="I8392" s="89"/>
    </row>
    <row r="8393" spans="1:9">
      <c r="A8393" s="21"/>
      <c r="B8393"/>
      <c r="F8393" s="87"/>
      <c r="H8393" s="87"/>
      <c r="I8393" s="89"/>
    </row>
    <row r="8394" spans="1:9">
      <c r="A8394" s="21"/>
      <c r="B8394"/>
      <c r="F8394" s="87"/>
      <c r="H8394" s="87"/>
      <c r="I8394" s="89"/>
    </row>
    <row r="8395" spans="1:9">
      <c r="A8395" s="21"/>
      <c r="B8395"/>
      <c r="F8395" s="87"/>
      <c r="H8395" s="87"/>
      <c r="I8395" s="89"/>
    </row>
    <row r="8396" spans="1:9">
      <c r="A8396" s="21"/>
      <c r="B8396"/>
      <c r="F8396" s="87"/>
      <c r="H8396" s="87"/>
      <c r="I8396" s="89"/>
    </row>
    <row r="8397" spans="1:9">
      <c r="A8397" s="21"/>
      <c r="B8397"/>
      <c r="F8397" s="87"/>
      <c r="H8397" s="87"/>
      <c r="I8397" s="89"/>
    </row>
    <row r="8398" spans="1:9">
      <c r="A8398" s="21"/>
      <c r="B8398"/>
      <c r="F8398" s="87"/>
      <c r="H8398" s="87"/>
      <c r="I8398" s="89"/>
    </row>
    <row r="8399" spans="1:9">
      <c r="A8399" s="21"/>
      <c r="B8399"/>
      <c r="F8399" s="87"/>
      <c r="H8399" s="87"/>
      <c r="I8399" s="89"/>
    </row>
    <row r="8400" spans="1:9">
      <c r="A8400" s="21"/>
      <c r="B8400"/>
      <c r="F8400" s="87"/>
      <c r="H8400" s="87"/>
      <c r="I8400" s="89"/>
    </row>
    <row r="8401" spans="1:9">
      <c r="A8401" s="21"/>
      <c r="B8401"/>
      <c r="F8401" s="87"/>
      <c r="H8401" s="87"/>
      <c r="I8401" s="89"/>
    </row>
    <row r="8402" spans="1:9">
      <c r="A8402" s="21"/>
      <c r="B8402"/>
      <c r="F8402" s="87"/>
      <c r="H8402" s="87"/>
      <c r="I8402" s="89"/>
    </row>
    <row r="8403" spans="1:9">
      <c r="A8403" s="21"/>
      <c r="B8403"/>
      <c r="F8403" s="87"/>
      <c r="H8403" s="87"/>
      <c r="I8403" s="89"/>
    </row>
    <row r="8404" spans="1:9">
      <c r="A8404" s="21"/>
      <c r="B8404"/>
      <c r="F8404" s="87"/>
      <c r="H8404" s="87"/>
      <c r="I8404" s="89"/>
    </row>
    <row r="8405" spans="1:9">
      <c r="A8405" s="21"/>
      <c r="B8405"/>
      <c r="F8405" s="87"/>
      <c r="H8405" s="87"/>
      <c r="I8405" s="89"/>
    </row>
    <row r="8406" spans="1:9">
      <c r="A8406" s="21"/>
      <c r="B8406"/>
      <c r="F8406" s="87"/>
      <c r="H8406" s="87"/>
      <c r="I8406" s="89"/>
    </row>
    <row r="8407" spans="1:9">
      <c r="A8407" s="21"/>
      <c r="B8407"/>
      <c r="F8407" s="87"/>
      <c r="H8407" s="87"/>
      <c r="I8407" s="89"/>
    </row>
    <row r="8408" spans="1:9">
      <c r="A8408" s="21"/>
      <c r="B8408"/>
      <c r="F8408" s="87"/>
      <c r="H8408" s="87"/>
      <c r="I8408" s="89"/>
    </row>
    <row r="8409" spans="1:9">
      <c r="A8409" s="21"/>
      <c r="B8409"/>
      <c r="F8409" s="87"/>
      <c r="H8409" s="87"/>
      <c r="I8409" s="89"/>
    </row>
    <row r="8410" spans="1:9">
      <c r="A8410" s="21"/>
      <c r="B8410"/>
      <c r="F8410" s="87"/>
      <c r="H8410" s="87"/>
      <c r="I8410" s="89"/>
    </row>
    <row r="8411" spans="1:9">
      <c r="A8411" s="21"/>
      <c r="B8411"/>
      <c r="F8411" s="87"/>
      <c r="H8411" s="87"/>
      <c r="I8411" s="89"/>
    </row>
    <row r="8412" spans="1:9">
      <c r="A8412" s="21"/>
      <c r="B8412"/>
      <c r="F8412" s="87"/>
      <c r="H8412" s="87"/>
      <c r="I8412" s="89"/>
    </row>
    <row r="8413" spans="1:9">
      <c r="A8413" s="21"/>
      <c r="B8413"/>
      <c r="F8413" s="87"/>
      <c r="H8413" s="87"/>
      <c r="I8413" s="89"/>
    </row>
    <row r="8414" spans="1:9">
      <c r="A8414" s="21"/>
      <c r="B8414"/>
      <c r="F8414" s="87"/>
      <c r="H8414" s="87"/>
      <c r="I8414" s="89"/>
    </row>
    <row r="8415" spans="1:9">
      <c r="A8415" s="21"/>
      <c r="B8415"/>
      <c r="F8415" s="87"/>
      <c r="H8415" s="87"/>
      <c r="I8415" s="89"/>
    </row>
    <row r="8416" spans="1:9">
      <c r="A8416" s="21"/>
      <c r="B8416"/>
      <c r="F8416" s="87"/>
      <c r="H8416" s="87"/>
      <c r="I8416" s="89"/>
    </row>
    <row r="8417" spans="1:9">
      <c r="A8417" s="21"/>
      <c r="B8417"/>
      <c r="F8417" s="87"/>
      <c r="H8417" s="87"/>
      <c r="I8417" s="89"/>
    </row>
    <row r="8418" spans="1:9">
      <c r="A8418" s="21"/>
      <c r="B8418"/>
      <c r="F8418" s="87"/>
      <c r="H8418" s="87"/>
      <c r="I8418" s="89"/>
    </row>
    <row r="8419" spans="1:9">
      <c r="A8419" s="21"/>
      <c r="B8419"/>
      <c r="F8419" s="87"/>
      <c r="H8419" s="87"/>
      <c r="I8419" s="89"/>
    </row>
    <row r="8420" spans="1:9">
      <c r="A8420" s="21"/>
      <c r="B8420"/>
      <c r="F8420" s="87"/>
      <c r="H8420" s="87"/>
      <c r="I8420" s="89"/>
    </row>
    <row r="8421" spans="1:9">
      <c r="A8421" s="21"/>
      <c r="B8421"/>
      <c r="F8421" s="87"/>
      <c r="H8421" s="87"/>
      <c r="I8421" s="89"/>
    </row>
    <row r="8422" spans="1:9">
      <c r="A8422" s="21"/>
      <c r="B8422"/>
      <c r="F8422" s="87"/>
      <c r="H8422" s="87"/>
      <c r="I8422" s="89"/>
    </row>
    <row r="8423" spans="1:9">
      <c r="A8423" s="21"/>
      <c r="B8423"/>
      <c r="F8423" s="87"/>
      <c r="H8423" s="87"/>
      <c r="I8423" s="89"/>
    </row>
    <row r="8424" spans="1:9">
      <c r="A8424" s="21"/>
      <c r="B8424"/>
      <c r="F8424" s="87"/>
      <c r="H8424" s="87"/>
      <c r="I8424" s="89"/>
    </row>
    <row r="8425" spans="1:9">
      <c r="A8425" s="21"/>
      <c r="B8425"/>
      <c r="F8425" s="87"/>
      <c r="H8425" s="87"/>
      <c r="I8425" s="89"/>
    </row>
    <row r="8426" spans="1:9">
      <c r="A8426" s="21"/>
      <c r="B8426"/>
      <c r="F8426" s="87"/>
      <c r="H8426" s="87"/>
      <c r="I8426" s="89"/>
    </row>
    <row r="8427" spans="1:9">
      <c r="A8427" s="21"/>
      <c r="B8427"/>
      <c r="F8427" s="87"/>
      <c r="H8427" s="87"/>
      <c r="I8427" s="89"/>
    </row>
    <row r="8428" spans="1:9">
      <c r="A8428" s="21"/>
      <c r="B8428"/>
      <c r="F8428" s="87"/>
      <c r="H8428" s="87"/>
      <c r="I8428" s="89"/>
    </row>
    <row r="8429" spans="1:9">
      <c r="A8429" s="21"/>
      <c r="B8429"/>
      <c r="F8429" s="87"/>
      <c r="H8429" s="87"/>
      <c r="I8429" s="89"/>
    </row>
    <row r="8430" spans="1:9">
      <c r="A8430" s="21"/>
      <c r="B8430"/>
      <c r="F8430" s="87"/>
      <c r="H8430" s="87"/>
      <c r="I8430" s="89"/>
    </row>
    <row r="8431" spans="1:9">
      <c r="A8431" s="21"/>
      <c r="B8431"/>
      <c r="F8431" s="87"/>
      <c r="H8431" s="87"/>
      <c r="I8431" s="89"/>
    </row>
    <row r="8432" spans="1:9">
      <c r="A8432" s="21"/>
      <c r="B8432"/>
      <c r="F8432" s="87"/>
      <c r="H8432" s="87"/>
      <c r="I8432" s="89"/>
    </row>
    <row r="8433" spans="1:9">
      <c r="A8433" s="21"/>
      <c r="B8433"/>
      <c r="F8433" s="87"/>
      <c r="H8433" s="87"/>
      <c r="I8433" s="89"/>
    </row>
    <row r="8434" spans="1:9">
      <c r="A8434" s="21"/>
      <c r="B8434"/>
      <c r="F8434" s="87"/>
      <c r="H8434" s="87"/>
      <c r="I8434" s="89"/>
    </row>
    <row r="8435" spans="1:9">
      <c r="A8435" s="21"/>
      <c r="B8435"/>
      <c r="F8435" s="87"/>
      <c r="H8435" s="87"/>
      <c r="I8435" s="89"/>
    </row>
    <row r="8436" spans="1:9">
      <c r="A8436" s="21"/>
      <c r="B8436"/>
      <c r="F8436" s="87"/>
      <c r="H8436" s="87"/>
      <c r="I8436" s="89"/>
    </row>
    <row r="8437" spans="1:9">
      <c r="A8437" s="21"/>
      <c r="B8437"/>
      <c r="F8437" s="87"/>
      <c r="H8437" s="87"/>
      <c r="I8437" s="89"/>
    </row>
    <row r="8438" spans="1:9">
      <c r="A8438" s="21"/>
      <c r="B8438"/>
      <c r="F8438" s="87"/>
      <c r="H8438" s="87"/>
      <c r="I8438" s="89"/>
    </row>
    <row r="8439" spans="1:9">
      <c r="A8439" s="21"/>
      <c r="B8439"/>
      <c r="F8439" s="87"/>
      <c r="H8439" s="87"/>
      <c r="I8439" s="89"/>
    </row>
    <row r="8440" spans="1:9">
      <c r="A8440" s="21"/>
      <c r="B8440"/>
      <c r="F8440" s="87"/>
      <c r="H8440" s="87"/>
      <c r="I8440" s="89"/>
    </row>
    <row r="8441" spans="1:9">
      <c r="A8441" s="21"/>
      <c r="B8441"/>
      <c r="F8441" s="87"/>
      <c r="H8441" s="87"/>
      <c r="I8441" s="89"/>
    </row>
    <row r="8442" spans="1:9">
      <c r="A8442" s="21"/>
      <c r="B8442"/>
      <c r="F8442" s="87"/>
      <c r="H8442" s="87"/>
      <c r="I8442" s="89"/>
    </row>
    <row r="8443" spans="1:9">
      <c r="A8443" s="21"/>
      <c r="B8443"/>
      <c r="F8443" s="87"/>
      <c r="H8443" s="87"/>
      <c r="I8443" s="89"/>
    </row>
    <row r="8444" spans="1:9">
      <c r="A8444" s="21"/>
      <c r="B8444"/>
      <c r="F8444" s="87"/>
      <c r="H8444" s="87"/>
      <c r="I8444" s="89"/>
    </row>
    <row r="8445" spans="1:9">
      <c r="A8445" s="21"/>
      <c r="B8445"/>
      <c r="F8445" s="87"/>
      <c r="H8445" s="87"/>
      <c r="I8445" s="89"/>
    </row>
    <row r="8446" spans="1:9">
      <c r="A8446" s="21"/>
      <c r="B8446"/>
      <c r="F8446" s="87"/>
      <c r="H8446" s="87"/>
      <c r="I8446" s="89"/>
    </row>
    <row r="8447" spans="1:9">
      <c r="A8447" s="21"/>
      <c r="B8447"/>
      <c r="F8447" s="87"/>
      <c r="H8447" s="87"/>
      <c r="I8447" s="89"/>
    </row>
    <row r="8448" spans="1:9">
      <c r="A8448" s="21"/>
      <c r="B8448"/>
      <c r="F8448" s="87"/>
      <c r="H8448" s="87"/>
      <c r="I8448" s="89"/>
    </row>
    <row r="8449" spans="1:9">
      <c r="A8449" s="21"/>
      <c r="B8449"/>
      <c r="F8449" s="87"/>
      <c r="H8449" s="87"/>
      <c r="I8449" s="89"/>
    </row>
    <row r="8450" spans="1:9">
      <c r="A8450" s="21"/>
      <c r="B8450"/>
      <c r="F8450" s="87"/>
      <c r="H8450" s="87"/>
      <c r="I8450" s="89"/>
    </row>
    <row r="8451" spans="1:9">
      <c r="A8451" s="21"/>
      <c r="B8451"/>
      <c r="F8451" s="87"/>
      <c r="H8451" s="87"/>
      <c r="I8451" s="89"/>
    </row>
    <row r="8452" spans="1:9">
      <c r="A8452" s="21"/>
      <c r="B8452"/>
      <c r="F8452" s="87"/>
      <c r="H8452" s="87"/>
      <c r="I8452" s="89"/>
    </row>
    <row r="8453" spans="1:9">
      <c r="A8453" s="21"/>
      <c r="B8453"/>
      <c r="F8453" s="87"/>
      <c r="H8453" s="87"/>
      <c r="I8453" s="89"/>
    </row>
    <row r="8454" spans="1:9">
      <c r="A8454" s="21"/>
      <c r="B8454"/>
      <c r="F8454" s="87"/>
      <c r="H8454" s="87"/>
      <c r="I8454" s="89"/>
    </row>
    <row r="8455" spans="1:9">
      <c r="A8455" s="21"/>
      <c r="B8455"/>
      <c r="F8455" s="87"/>
      <c r="H8455" s="87"/>
      <c r="I8455" s="89"/>
    </row>
    <row r="8456" spans="1:9">
      <c r="A8456" s="21"/>
      <c r="B8456"/>
      <c r="F8456" s="87"/>
      <c r="H8456" s="87"/>
      <c r="I8456" s="89"/>
    </row>
    <row r="8457" spans="1:9">
      <c r="A8457" s="21"/>
      <c r="B8457"/>
      <c r="F8457" s="87"/>
      <c r="H8457" s="87"/>
      <c r="I8457" s="89"/>
    </row>
    <row r="8458" spans="1:9">
      <c r="A8458" s="21"/>
      <c r="B8458"/>
      <c r="F8458" s="87"/>
      <c r="H8458" s="87"/>
      <c r="I8458" s="89"/>
    </row>
    <row r="8459" spans="1:9">
      <c r="A8459" s="21"/>
      <c r="B8459"/>
      <c r="F8459" s="87"/>
      <c r="H8459" s="87"/>
      <c r="I8459" s="89"/>
    </row>
    <row r="8460" spans="1:9">
      <c r="A8460" s="21"/>
      <c r="B8460"/>
      <c r="F8460" s="87"/>
      <c r="H8460" s="87"/>
      <c r="I8460" s="89"/>
    </row>
    <row r="8461" spans="1:9">
      <c r="A8461" s="21"/>
      <c r="B8461"/>
      <c r="F8461" s="87"/>
      <c r="H8461" s="87"/>
      <c r="I8461" s="89"/>
    </row>
    <row r="8462" spans="1:9">
      <c r="A8462" s="21"/>
      <c r="B8462"/>
      <c r="F8462" s="87"/>
      <c r="H8462" s="87"/>
      <c r="I8462" s="89"/>
    </row>
    <row r="8463" spans="1:9">
      <c r="A8463" s="21"/>
      <c r="B8463"/>
      <c r="F8463" s="87"/>
      <c r="H8463" s="87"/>
      <c r="I8463" s="89"/>
    </row>
    <row r="8464" spans="1:9">
      <c r="A8464" s="21"/>
      <c r="B8464"/>
      <c r="F8464" s="87"/>
      <c r="H8464" s="87"/>
      <c r="I8464" s="89"/>
    </row>
    <row r="8465" spans="1:9">
      <c r="A8465" s="21"/>
      <c r="B8465"/>
      <c r="F8465" s="87"/>
      <c r="H8465" s="87"/>
      <c r="I8465" s="89"/>
    </row>
    <row r="8466" spans="1:9">
      <c r="A8466" s="21"/>
      <c r="B8466"/>
      <c r="F8466" s="87"/>
      <c r="H8466" s="87"/>
      <c r="I8466" s="89"/>
    </row>
    <row r="8467" spans="1:9">
      <c r="A8467" s="21"/>
      <c r="B8467"/>
      <c r="F8467" s="87"/>
      <c r="H8467" s="87"/>
      <c r="I8467" s="89"/>
    </row>
    <row r="8468" spans="1:9">
      <c r="A8468" s="21"/>
      <c r="B8468"/>
      <c r="F8468" s="87"/>
      <c r="H8468" s="87"/>
      <c r="I8468" s="89"/>
    </row>
    <row r="8469" spans="1:9">
      <c r="A8469" s="21"/>
      <c r="B8469"/>
      <c r="F8469" s="87"/>
      <c r="H8469" s="87"/>
      <c r="I8469" s="89"/>
    </row>
    <row r="8470" spans="1:9">
      <c r="A8470" s="21"/>
      <c r="B8470"/>
      <c r="F8470" s="87"/>
      <c r="H8470" s="87"/>
      <c r="I8470" s="89"/>
    </row>
    <row r="8471" spans="1:9">
      <c r="A8471" s="21"/>
      <c r="B8471"/>
      <c r="F8471" s="87"/>
      <c r="H8471" s="87"/>
      <c r="I8471" s="89"/>
    </row>
    <row r="8472" spans="1:9">
      <c r="A8472" s="21"/>
      <c r="B8472"/>
      <c r="F8472" s="87"/>
      <c r="H8472" s="87"/>
      <c r="I8472" s="89"/>
    </row>
    <row r="8473" spans="1:9">
      <c r="A8473" s="21"/>
      <c r="B8473"/>
      <c r="F8473" s="87"/>
      <c r="H8473" s="87"/>
      <c r="I8473" s="89"/>
    </row>
    <row r="8474" spans="1:9">
      <c r="A8474" s="21"/>
      <c r="B8474"/>
      <c r="F8474" s="87"/>
      <c r="H8474" s="87"/>
      <c r="I8474" s="89"/>
    </row>
    <row r="8475" spans="1:9">
      <c r="A8475" s="21"/>
      <c r="B8475"/>
      <c r="F8475" s="87"/>
      <c r="H8475" s="87"/>
      <c r="I8475" s="89"/>
    </row>
    <row r="8476" spans="1:9">
      <c r="A8476" s="21"/>
      <c r="B8476"/>
      <c r="F8476" s="87"/>
      <c r="H8476" s="87"/>
      <c r="I8476" s="89"/>
    </row>
    <row r="8477" spans="1:9">
      <c r="A8477" s="21"/>
      <c r="B8477"/>
      <c r="F8477" s="87"/>
      <c r="H8477" s="87"/>
      <c r="I8477" s="89"/>
    </row>
    <row r="8478" spans="1:9">
      <c r="A8478" s="21"/>
      <c r="B8478"/>
      <c r="F8478" s="87"/>
      <c r="H8478" s="87"/>
      <c r="I8478" s="89"/>
    </row>
    <row r="8479" spans="1:9">
      <c r="A8479" s="21"/>
      <c r="B8479"/>
      <c r="F8479" s="87"/>
      <c r="H8479" s="87"/>
      <c r="I8479" s="89"/>
    </row>
    <row r="8480" spans="1:9">
      <c r="A8480" s="21"/>
      <c r="B8480"/>
      <c r="F8480" s="87"/>
      <c r="H8480" s="87"/>
      <c r="I8480" s="89"/>
    </row>
    <row r="8481" spans="1:9">
      <c r="A8481" s="21"/>
      <c r="B8481"/>
      <c r="F8481" s="87"/>
      <c r="H8481" s="87"/>
      <c r="I8481" s="89"/>
    </row>
    <row r="8482" spans="1:9">
      <c r="A8482" s="21"/>
      <c r="B8482"/>
      <c r="F8482" s="87"/>
      <c r="H8482" s="87"/>
      <c r="I8482" s="89"/>
    </row>
    <row r="8483" spans="1:9">
      <c r="A8483" s="21"/>
      <c r="B8483"/>
      <c r="F8483" s="87"/>
      <c r="H8483" s="87"/>
      <c r="I8483" s="89"/>
    </row>
    <row r="8484" spans="1:9">
      <c r="A8484" s="21"/>
      <c r="B8484"/>
      <c r="F8484" s="87"/>
      <c r="H8484" s="87"/>
      <c r="I8484" s="89"/>
    </row>
    <row r="8485" spans="1:9">
      <c r="A8485" s="21"/>
      <c r="B8485"/>
      <c r="F8485" s="87"/>
      <c r="H8485" s="87"/>
      <c r="I8485" s="89"/>
    </row>
    <row r="8486" spans="1:9">
      <c r="A8486" s="21"/>
      <c r="B8486"/>
      <c r="F8486" s="87"/>
      <c r="H8486" s="87"/>
      <c r="I8486" s="89"/>
    </row>
    <row r="8487" spans="1:9">
      <c r="A8487" s="21"/>
      <c r="B8487"/>
      <c r="F8487" s="87"/>
      <c r="H8487" s="87"/>
      <c r="I8487" s="89"/>
    </row>
    <row r="8488" spans="1:9">
      <c r="A8488" s="21"/>
      <c r="B8488"/>
      <c r="F8488" s="87"/>
      <c r="H8488" s="87"/>
      <c r="I8488" s="89"/>
    </row>
    <row r="8489" spans="1:9">
      <c r="A8489" s="21"/>
      <c r="B8489"/>
      <c r="F8489" s="87"/>
      <c r="H8489" s="87"/>
      <c r="I8489" s="89"/>
    </row>
    <row r="8490" spans="1:9">
      <c r="A8490" s="21"/>
      <c r="B8490"/>
      <c r="F8490" s="87"/>
      <c r="H8490" s="87"/>
      <c r="I8490" s="89"/>
    </row>
    <row r="8491" spans="1:9">
      <c r="A8491" s="21"/>
      <c r="B8491"/>
      <c r="F8491" s="87"/>
      <c r="H8491" s="87"/>
      <c r="I8491" s="89"/>
    </row>
    <row r="8492" spans="1:9">
      <c r="A8492" s="21"/>
      <c r="B8492"/>
      <c r="F8492" s="87"/>
      <c r="H8492" s="87"/>
      <c r="I8492" s="89"/>
    </row>
    <row r="8493" spans="1:9">
      <c r="A8493" s="21"/>
      <c r="B8493"/>
      <c r="F8493" s="87"/>
      <c r="H8493" s="87"/>
      <c r="I8493" s="89"/>
    </row>
    <row r="8494" spans="1:9">
      <c r="A8494" s="21"/>
      <c r="B8494"/>
      <c r="F8494" s="87"/>
      <c r="H8494" s="87"/>
      <c r="I8494" s="89"/>
    </row>
    <row r="8495" spans="1:9">
      <c r="A8495" s="21"/>
      <c r="B8495"/>
      <c r="F8495" s="87"/>
      <c r="H8495" s="87"/>
      <c r="I8495" s="89"/>
    </row>
    <row r="8496" spans="1:9">
      <c r="A8496" s="21"/>
      <c r="B8496"/>
      <c r="F8496" s="87"/>
      <c r="H8496" s="87"/>
      <c r="I8496" s="89"/>
    </row>
    <row r="8497" spans="1:9">
      <c r="A8497" s="21"/>
      <c r="B8497"/>
      <c r="F8497" s="87"/>
      <c r="H8497" s="87"/>
      <c r="I8497" s="89"/>
    </row>
    <row r="8498" spans="1:9">
      <c r="A8498" s="21"/>
      <c r="B8498"/>
      <c r="F8498" s="87"/>
      <c r="H8498" s="87"/>
      <c r="I8498" s="89"/>
    </row>
    <row r="8499" spans="1:9">
      <c r="A8499" s="21"/>
      <c r="B8499"/>
      <c r="F8499" s="87"/>
      <c r="H8499" s="87"/>
      <c r="I8499" s="89"/>
    </row>
    <row r="8500" spans="1:9">
      <c r="A8500" s="21"/>
      <c r="B8500"/>
      <c r="F8500" s="87"/>
      <c r="H8500" s="87"/>
      <c r="I8500" s="89"/>
    </row>
    <row r="8501" spans="1:9">
      <c r="A8501" s="21"/>
      <c r="B8501"/>
      <c r="F8501" s="87"/>
      <c r="H8501" s="87"/>
      <c r="I8501" s="89"/>
    </row>
    <row r="8502" spans="1:9">
      <c r="A8502" s="21"/>
      <c r="B8502"/>
      <c r="F8502" s="87"/>
      <c r="H8502" s="87"/>
      <c r="I8502" s="89"/>
    </row>
    <row r="8503" spans="1:9">
      <c r="A8503" s="21"/>
      <c r="B8503"/>
      <c r="F8503" s="87"/>
      <c r="H8503" s="87"/>
      <c r="I8503" s="89"/>
    </row>
    <row r="8504" spans="1:9">
      <c r="A8504" s="21"/>
      <c r="B8504"/>
      <c r="F8504" s="87"/>
      <c r="H8504" s="87"/>
      <c r="I8504" s="89"/>
    </row>
    <row r="8505" spans="1:9">
      <c r="A8505" s="21"/>
      <c r="B8505"/>
      <c r="F8505" s="87"/>
      <c r="H8505" s="87"/>
      <c r="I8505" s="89"/>
    </row>
    <row r="8506" spans="1:9">
      <c r="A8506" s="21"/>
      <c r="B8506"/>
      <c r="F8506" s="87"/>
      <c r="H8506" s="87"/>
      <c r="I8506" s="89"/>
    </row>
    <row r="8507" spans="1:9">
      <c r="A8507" s="21"/>
      <c r="B8507"/>
      <c r="F8507" s="87"/>
      <c r="H8507" s="87"/>
      <c r="I8507" s="89"/>
    </row>
    <row r="8508" spans="1:9">
      <c r="A8508" s="21"/>
      <c r="B8508"/>
      <c r="F8508" s="87"/>
      <c r="H8508" s="87"/>
      <c r="I8508" s="89"/>
    </row>
    <row r="8509" spans="1:9">
      <c r="A8509" s="21"/>
      <c r="B8509"/>
      <c r="F8509" s="87"/>
      <c r="H8509" s="87"/>
      <c r="I8509" s="89"/>
    </row>
    <row r="8510" spans="1:9">
      <c r="A8510" s="21"/>
      <c r="B8510"/>
      <c r="F8510" s="87"/>
      <c r="H8510" s="87"/>
      <c r="I8510" s="89"/>
    </row>
    <row r="8511" spans="1:9">
      <c r="A8511" s="21"/>
      <c r="B8511"/>
      <c r="F8511" s="87"/>
      <c r="H8511" s="87"/>
      <c r="I8511" s="89"/>
    </row>
    <row r="8512" spans="1:9">
      <c r="A8512" s="21"/>
      <c r="B8512"/>
      <c r="F8512" s="87"/>
      <c r="H8512" s="87"/>
      <c r="I8512" s="89"/>
    </row>
    <row r="8513" spans="1:9">
      <c r="A8513" s="21"/>
      <c r="B8513"/>
      <c r="F8513" s="87"/>
      <c r="H8513" s="87"/>
      <c r="I8513" s="89"/>
    </row>
    <row r="8514" spans="1:9">
      <c r="A8514" s="21"/>
      <c r="B8514"/>
      <c r="F8514" s="87"/>
      <c r="H8514" s="87"/>
      <c r="I8514" s="89"/>
    </row>
    <row r="8515" spans="1:9">
      <c r="A8515" s="21"/>
      <c r="B8515"/>
      <c r="F8515" s="87"/>
      <c r="H8515" s="87"/>
      <c r="I8515" s="89"/>
    </row>
    <row r="8516" spans="1:9">
      <c r="A8516" s="21"/>
      <c r="B8516"/>
      <c r="F8516" s="87"/>
      <c r="H8516" s="87"/>
      <c r="I8516" s="89"/>
    </row>
    <row r="8517" spans="1:9">
      <c r="A8517" s="21"/>
      <c r="B8517"/>
      <c r="F8517" s="87"/>
      <c r="H8517" s="87"/>
      <c r="I8517" s="89"/>
    </row>
    <row r="8518" spans="1:9">
      <c r="A8518" s="21"/>
      <c r="B8518"/>
      <c r="F8518" s="87"/>
      <c r="H8518" s="87"/>
      <c r="I8518" s="89"/>
    </row>
    <row r="8519" spans="1:9">
      <c r="A8519" s="21"/>
      <c r="B8519"/>
      <c r="F8519" s="87"/>
      <c r="H8519" s="87"/>
      <c r="I8519" s="89"/>
    </row>
    <row r="8520" spans="1:9">
      <c r="A8520" s="21"/>
      <c r="B8520"/>
      <c r="F8520" s="87"/>
      <c r="H8520" s="87"/>
      <c r="I8520" s="89"/>
    </row>
    <row r="8521" spans="1:9">
      <c r="A8521" s="21"/>
      <c r="B8521"/>
      <c r="F8521" s="87"/>
      <c r="H8521" s="87"/>
      <c r="I8521" s="89"/>
    </row>
    <row r="8522" spans="1:9">
      <c r="A8522" s="21"/>
      <c r="B8522"/>
      <c r="F8522" s="87"/>
      <c r="H8522" s="87"/>
      <c r="I8522" s="89"/>
    </row>
    <row r="8523" spans="1:9">
      <c r="A8523" s="21"/>
      <c r="B8523"/>
      <c r="F8523" s="87"/>
      <c r="H8523" s="87"/>
      <c r="I8523" s="89"/>
    </row>
    <row r="8524" spans="1:9">
      <c r="A8524" s="21"/>
      <c r="B8524"/>
      <c r="F8524" s="87"/>
      <c r="H8524" s="87"/>
      <c r="I8524" s="89"/>
    </row>
    <row r="8525" spans="1:9">
      <c r="A8525" s="21"/>
      <c r="B8525"/>
      <c r="F8525" s="87"/>
      <c r="H8525" s="87"/>
      <c r="I8525" s="89"/>
    </row>
    <row r="8526" spans="1:9">
      <c r="A8526" s="21"/>
      <c r="B8526"/>
      <c r="F8526" s="87"/>
      <c r="H8526" s="87"/>
      <c r="I8526" s="89"/>
    </row>
    <row r="8527" spans="1:9">
      <c r="A8527" s="21"/>
      <c r="B8527"/>
      <c r="F8527" s="87"/>
      <c r="H8527" s="87"/>
      <c r="I8527" s="89"/>
    </row>
    <row r="8528" spans="1:9">
      <c r="A8528" s="21"/>
      <c r="B8528"/>
      <c r="F8528" s="87"/>
      <c r="H8528" s="87"/>
      <c r="I8528" s="89"/>
    </row>
    <row r="8529" spans="1:9">
      <c r="A8529" s="21"/>
      <c r="B8529"/>
      <c r="F8529" s="87"/>
      <c r="H8529" s="87"/>
      <c r="I8529" s="89"/>
    </row>
    <row r="8530" spans="1:9">
      <c r="A8530" s="21"/>
      <c r="B8530"/>
      <c r="F8530" s="87"/>
      <c r="H8530" s="87"/>
      <c r="I8530" s="89"/>
    </row>
    <row r="8531" spans="1:9">
      <c r="A8531" s="21"/>
      <c r="B8531"/>
      <c r="F8531" s="87"/>
      <c r="H8531" s="87"/>
      <c r="I8531" s="89"/>
    </row>
    <row r="8532" spans="1:9">
      <c r="A8532" s="21"/>
      <c r="B8532"/>
      <c r="F8532" s="87"/>
      <c r="H8532" s="87"/>
      <c r="I8532" s="89"/>
    </row>
    <row r="8533" spans="1:9">
      <c r="A8533" s="21"/>
      <c r="B8533"/>
      <c r="F8533" s="87"/>
      <c r="H8533" s="87"/>
      <c r="I8533" s="89"/>
    </row>
    <row r="8534" spans="1:9">
      <c r="A8534" s="21"/>
      <c r="B8534"/>
      <c r="F8534" s="87"/>
      <c r="H8534" s="87"/>
      <c r="I8534" s="89"/>
    </row>
    <row r="8535" spans="1:9">
      <c r="A8535" s="21"/>
      <c r="B8535"/>
      <c r="F8535" s="87"/>
      <c r="H8535" s="87"/>
      <c r="I8535" s="89"/>
    </row>
    <row r="8536" spans="1:9">
      <c r="A8536" s="21"/>
      <c r="B8536"/>
      <c r="F8536" s="87"/>
      <c r="H8536" s="87"/>
      <c r="I8536" s="89"/>
    </row>
    <row r="8537" spans="1:9">
      <c r="A8537" s="21"/>
      <c r="B8537"/>
      <c r="F8537" s="87"/>
      <c r="H8537" s="87"/>
      <c r="I8537" s="89"/>
    </row>
    <row r="8538" spans="1:9">
      <c r="A8538" s="21"/>
      <c r="B8538"/>
      <c r="F8538" s="87"/>
      <c r="H8538" s="87"/>
      <c r="I8538" s="89"/>
    </row>
    <row r="8539" spans="1:9">
      <c r="A8539" s="21"/>
      <c r="B8539"/>
      <c r="F8539" s="87"/>
      <c r="H8539" s="87"/>
      <c r="I8539" s="89"/>
    </row>
    <row r="8540" spans="1:9">
      <c r="A8540" s="21"/>
      <c r="B8540"/>
      <c r="F8540" s="87"/>
      <c r="H8540" s="87"/>
      <c r="I8540" s="89"/>
    </row>
    <row r="8541" spans="1:9">
      <c r="A8541" s="21"/>
      <c r="B8541"/>
      <c r="F8541" s="87"/>
      <c r="H8541" s="87"/>
      <c r="I8541" s="89"/>
    </row>
    <row r="8542" spans="1:9">
      <c r="A8542" s="21"/>
      <c r="B8542"/>
      <c r="F8542" s="87"/>
      <c r="H8542" s="87"/>
      <c r="I8542" s="89"/>
    </row>
    <row r="8543" spans="1:9">
      <c r="A8543" s="21"/>
      <c r="B8543"/>
      <c r="F8543" s="87"/>
      <c r="H8543" s="87"/>
      <c r="I8543" s="89"/>
    </row>
    <row r="8544" spans="1:9">
      <c r="A8544" s="21"/>
      <c r="B8544"/>
      <c r="F8544" s="87"/>
      <c r="H8544" s="87"/>
      <c r="I8544" s="89"/>
    </row>
    <row r="8545" spans="1:9">
      <c r="A8545" s="21"/>
      <c r="B8545"/>
      <c r="F8545" s="87"/>
      <c r="H8545" s="87"/>
      <c r="I8545" s="89"/>
    </row>
    <row r="8546" spans="1:9">
      <c r="A8546" s="21"/>
      <c r="B8546"/>
      <c r="F8546" s="87"/>
      <c r="H8546" s="87"/>
      <c r="I8546" s="89"/>
    </row>
    <row r="8547" spans="1:9">
      <c r="A8547" s="21"/>
      <c r="B8547"/>
      <c r="F8547" s="87"/>
      <c r="H8547" s="87"/>
      <c r="I8547" s="89"/>
    </row>
    <row r="8548" spans="1:9">
      <c r="A8548" s="21"/>
      <c r="B8548"/>
      <c r="F8548" s="87"/>
      <c r="H8548" s="87"/>
      <c r="I8548" s="89"/>
    </row>
    <row r="8549" spans="1:9">
      <c r="A8549" s="21"/>
      <c r="B8549"/>
      <c r="F8549" s="87"/>
      <c r="H8549" s="87"/>
      <c r="I8549" s="89"/>
    </row>
    <row r="8550" spans="1:9">
      <c r="A8550" s="21"/>
      <c r="B8550"/>
      <c r="F8550" s="87"/>
      <c r="H8550" s="87"/>
      <c r="I8550" s="89"/>
    </row>
    <row r="8551" spans="1:9">
      <c r="A8551" s="21"/>
      <c r="B8551"/>
      <c r="F8551" s="87"/>
      <c r="H8551" s="87"/>
      <c r="I8551" s="89"/>
    </row>
    <row r="8552" spans="1:9">
      <c r="A8552" s="21"/>
      <c r="B8552"/>
      <c r="F8552" s="87"/>
      <c r="H8552" s="87"/>
      <c r="I8552" s="89"/>
    </row>
    <row r="8553" spans="1:9">
      <c r="A8553" s="21"/>
      <c r="B8553"/>
      <c r="F8553" s="87"/>
      <c r="H8553" s="87"/>
      <c r="I8553" s="89"/>
    </row>
    <row r="8554" spans="1:9">
      <c r="A8554" s="21"/>
      <c r="B8554"/>
      <c r="F8554" s="87"/>
      <c r="H8554" s="87"/>
      <c r="I8554" s="89"/>
    </row>
    <row r="8555" spans="1:9">
      <c r="A8555" s="21"/>
      <c r="B8555"/>
      <c r="F8555" s="87"/>
      <c r="H8555" s="87"/>
      <c r="I8555" s="89"/>
    </row>
    <row r="8556" spans="1:9">
      <c r="A8556" s="21"/>
      <c r="B8556"/>
      <c r="F8556" s="87"/>
      <c r="H8556" s="87"/>
      <c r="I8556" s="89"/>
    </row>
    <row r="8557" spans="1:9">
      <c r="A8557" s="21"/>
      <c r="B8557"/>
      <c r="F8557" s="87"/>
      <c r="H8557" s="87"/>
      <c r="I8557" s="89"/>
    </row>
    <row r="8558" spans="1:9">
      <c r="A8558" s="21"/>
      <c r="B8558"/>
      <c r="F8558" s="87"/>
      <c r="H8558" s="87"/>
      <c r="I8558" s="89"/>
    </row>
    <row r="8559" spans="1:9">
      <c r="A8559" s="21"/>
      <c r="B8559"/>
      <c r="F8559" s="87"/>
      <c r="H8559" s="87"/>
      <c r="I8559" s="89"/>
    </row>
    <row r="8560" spans="1:9">
      <c r="A8560" s="21"/>
      <c r="B8560"/>
      <c r="F8560" s="87"/>
      <c r="H8560" s="87"/>
      <c r="I8560" s="89"/>
    </row>
    <row r="8561" spans="1:9">
      <c r="A8561" s="21"/>
      <c r="B8561"/>
      <c r="F8561" s="87"/>
      <c r="H8561" s="87"/>
      <c r="I8561" s="89"/>
    </row>
    <row r="8562" spans="1:9">
      <c r="A8562" s="21"/>
      <c r="B8562"/>
      <c r="F8562" s="87"/>
      <c r="H8562" s="87"/>
      <c r="I8562" s="89"/>
    </row>
    <row r="8563" spans="1:9">
      <c r="A8563" s="21"/>
      <c r="B8563"/>
      <c r="F8563" s="87"/>
      <c r="H8563" s="87"/>
      <c r="I8563" s="89"/>
    </row>
    <row r="8564" spans="1:9">
      <c r="A8564" s="21"/>
      <c r="B8564"/>
      <c r="F8564" s="87"/>
      <c r="H8564" s="87"/>
      <c r="I8564" s="89"/>
    </row>
    <row r="8565" spans="1:9">
      <c r="A8565" s="21"/>
      <c r="B8565"/>
      <c r="F8565" s="87"/>
      <c r="H8565" s="87"/>
      <c r="I8565" s="89"/>
    </row>
    <row r="8566" spans="1:9">
      <c r="A8566" s="21"/>
      <c r="B8566"/>
      <c r="F8566" s="87"/>
      <c r="H8566" s="87"/>
      <c r="I8566" s="89"/>
    </row>
    <row r="8567" spans="1:9">
      <c r="A8567" s="21"/>
      <c r="B8567"/>
      <c r="F8567" s="87"/>
      <c r="H8567" s="87"/>
      <c r="I8567" s="89"/>
    </row>
    <row r="8568" spans="1:9">
      <c r="A8568" s="21"/>
      <c r="B8568"/>
      <c r="F8568" s="87"/>
      <c r="H8568" s="87"/>
      <c r="I8568" s="89"/>
    </row>
    <row r="8569" spans="1:9">
      <c r="A8569" s="21"/>
      <c r="B8569"/>
      <c r="F8569" s="87"/>
      <c r="H8569" s="87"/>
      <c r="I8569" s="89"/>
    </row>
    <row r="8570" spans="1:9">
      <c r="A8570" s="21"/>
      <c r="B8570"/>
      <c r="F8570" s="87"/>
      <c r="H8570" s="87"/>
      <c r="I8570" s="89"/>
    </row>
    <row r="8571" spans="1:9">
      <c r="A8571" s="21"/>
      <c r="B8571"/>
      <c r="F8571" s="87"/>
      <c r="H8571" s="87"/>
      <c r="I8571" s="89"/>
    </row>
    <row r="8572" spans="1:9">
      <c r="A8572" s="21"/>
      <c r="B8572"/>
      <c r="F8572" s="87"/>
      <c r="H8572" s="87"/>
      <c r="I8572" s="89"/>
    </row>
    <row r="8573" spans="1:9">
      <c r="A8573" s="21"/>
      <c r="B8573"/>
      <c r="F8573" s="87"/>
      <c r="H8573" s="87"/>
      <c r="I8573" s="89"/>
    </row>
    <row r="8574" spans="1:9">
      <c r="A8574" s="21"/>
      <c r="B8574"/>
      <c r="F8574" s="87"/>
      <c r="H8574" s="87"/>
      <c r="I8574" s="89"/>
    </row>
    <row r="8575" spans="1:9">
      <c r="A8575" s="21"/>
      <c r="B8575"/>
      <c r="F8575" s="87"/>
      <c r="H8575" s="87"/>
      <c r="I8575" s="89"/>
    </row>
    <row r="8576" spans="1:9">
      <c r="A8576" s="21"/>
      <c r="B8576"/>
      <c r="F8576" s="87"/>
      <c r="H8576" s="87"/>
      <c r="I8576" s="89"/>
    </row>
    <row r="8577" spans="1:9">
      <c r="A8577" s="21"/>
      <c r="B8577"/>
      <c r="F8577" s="87"/>
      <c r="H8577" s="87"/>
      <c r="I8577" s="89"/>
    </row>
    <row r="8578" spans="1:9">
      <c r="A8578" s="21"/>
      <c r="B8578"/>
      <c r="F8578" s="87"/>
      <c r="H8578" s="87"/>
      <c r="I8578" s="89"/>
    </row>
    <row r="8579" spans="1:9">
      <c r="A8579" s="21"/>
      <c r="B8579"/>
      <c r="F8579" s="87"/>
      <c r="H8579" s="87"/>
      <c r="I8579" s="89"/>
    </row>
    <row r="8580" spans="1:9">
      <c r="A8580" s="21"/>
      <c r="B8580"/>
      <c r="F8580" s="87"/>
      <c r="H8580" s="87"/>
      <c r="I8580" s="89"/>
    </row>
    <row r="8581" spans="1:9">
      <c r="A8581" s="21"/>
      <c r="B8581"/>
      <c r="F8581" s="87"/>
      <c r="H8581" s="87"/>
      <c r="I8581" s="89"/>
    </row>
    <row r="8582" spans="1:9">
      <c r="A8582" s="21"/>
      <c r="B8582"/>
      <c r="F8582" s="87"/>
      <c r="H8582" s="87"/>
      <c r="I8582" s="89"/>
    </row>
    <row r="8583" spans="1:9">
      <c r="A8583" s="21"/>
      <c r="B8583"/>
      <c r="F8583" s="87"/>
      <c r="H8583" s="87"/>
      <c r="I8583" s="89"/>
    </row>
    <row r="8584" spans="1:9">
      <c r="A8584" s="21"/>
      <c r="B8584"/>
      <c r="F8584" s="87"/>
      <c r="H8584" s="87"/>
      <c r="I8584" s="89"/>
    </row>
    <row r="8585" spans="1:9">
      <c r="A8585" s="21"/>
      <c r="B8585"/>
      <c r="F8585" s="87"/>
      <c r="H8585" s="87"/>
      <c r="I8585" s="89"/>
    </row>
    <row r="8586" spans="1:9">
      <c r="A8586" s="21"/>
      <c r="B8586"/>
      <c r="F8586" s="87"/>
      <c r="H8586" s="87"/>
      <c r="I8586" s="89"/>
    </row>
    <row r="8587" spans="1:9">
      <c r="A8587" s="21"/>
      <c r="B8587"/>
      <c r="F8587" s="87"/>
      <c r="H8587" s="87"/>
      <c r="I8587" s="89"/>
    </row>
    <row r="8588" spans="1:9">
      <c r="A8588" s="21"/>
      <c r="B8588"/>
      <c r="F8588" s="87"/>
      <c r="H8588" s="87"/>
      <c r="I8588" s="89"/>
    </row>
    <row r="8589" spans="1:9">
      <c r="A8589" s="21"/>
      <c r="B8589"/>
      <c r="F8589" s="87"/>
      <c r="H8589" s="87"/>
      <c r="I8589" s="89"/>
    </row>
    <row r="8590" spans="1:9">
      <c r="A8590" s="21"/>
      <c r="B8590"/>
      <c r="F8590" s="87"/>
      <c r="H8590" s="87"/>
      <c r="I8590" s="89"/>
    </row>
    <row r="8591" spans="1:9">
      <c r="A8591" s="21"/>
      <c r="B8591"/>
      <c r="F8591" s="87"/>
      <c r="H8591" s="87"/>
      <c r="I8591" s="89"/>
    </row>
    <row r="8592" spans="1:9">
      <c r="A8592" s="21"/>
      <c r="B8592"/>
      <c r="F8592" s="87"/>
      <c r="H8592" s="87"/>
      <c r="I8592" s="89"/>
    </row>
    <row r="8593" spans="1:9">
      <c r="A8593" s="21"/>
      <c r="B8593"/>
      <c r="F8593" s="87"/>
      <c r="H8593" s="87"/>
      <c r="I8593" s="89"/>
    </row>
    <row r="8594" spans="1:9">
      <c r="A8594" s="21"/>
      <c r="B8594"/>
      <c r="F8594" s="87"/>
      <c r="H8594" s="87"/>
      <c r="I8594" s="89"/>
    </row>
    <row r="8595" spans="1:9">
      <c r="A8595" s="21"/>
      <c r="B8595"/>
      <c r="F8595" s="87"/>
      <c r="H8595" s="87"/>
      <c r="I8595" s="89"/>
    </row>
    <row r="8596" spans="1:9">
      <c r="A8596" s="21"/>
      <c r="B8596"/>
      <c r="F8596" s="87"/>
      <c r="H8596" s="87"/>
      <c r="I8596" s="89"/>
    </row>
    <row r="8597" spans="1:9">
      <c r="A8597" s="21"/>
      <c r="B8597"/>
      <c r="F8597" s="87"/>
      <c r="H8597" s="87"/>
      <c r="I8597" s="89"/>
    </row>
    <row r="8598" spans="1:9">
      <c r="A8598" s="21"/>
      <c r="B8598"/>
      <c r="F8598" s="87"/>
      <c r="H8598" s="87"/>
      <c r="I8598" s="89"/>
    </row>
    <row r="8599" spans="1:9">
      <c r="A8599" s="21"/>
      <c r="B8599"/>
      <c r="F8599" s="87"/>
      <c r="H8599" s="87"/>
      <c r="I8599" s="89"/>
    </row>
    <row r="8600" spans="1:9">
      <c r="A8600" s="21"/>
      <c r="B8600"/>
      <c r="F8600" s="87"/>
      <c r="H8600" s="87"/>
      <c r="I8600" s="89"/>
    </row>
    <row r="8601" spans="1:9">
      <c r="A8601" s="21"/>
      <c r="B8601"/>
      <c r="F8601" s="87"/>
      <c r="H8601" s="87"/>
      <c r="I8601" s="89"/>
    </row>
    <row r="8602" spans="1:9">
      <c r="A8602" s="21"/>
      <c r="B8602"/>
      <c r="F8602" s="87"/>
      <c r="H8602" s="87"/>
      <c r="I8602" s="89"/>
    </row>
    <row r="8603" spans="1:9">
      <c r="A8603" s="21"/>
      <c r="B8603"/>
      <c r="F8603" s="87"/>
      <c r="H8603" s="87"/>
      <c r="I8603" s="89"/>
    </row>
    <row r="8604" spans="1:9">
      <c r="A8604" s="21"/>
      <c r="B8604"/>
      <c r="F8604" s="87"/>
      <c r="H8604" s="87"/>
      <c r="I8604" s="89"/>
    </row>
    <row r="8605" spans="1:9">
      <c r="A8605" s="21"/>
      <c r="B8605"/>
      <c r="F8605" s="87"/>
      <c r="H8605" s="87"/>
      <c r="I8605" s="89"/>
    </row>
    <row r="8606" spans="1:9">
      <c r="A8606" s="21"/>
      <c r="B8606"/>
      <c r="F8606" s="87"/>
      <c r="H8606" s="87"/>
      <c r="I8606" s="89"/>
    </row>
    <row r="8607" spans="1:9">
      <c r="A8607" s="21"/>
      <c r="B8607"/>
      <c r="F8607" s="87"/>
      <c r="H8607" s="87"/>
      <c r="I8607" s="89"/>
    </row>
    <row r="8608" spans="1:9">
      <c r="A8608" s="21"/>
      <c r="B8608"/>
      <c r="F8608" s="87"/>
      <c r="H8608" s="87"/>
      <c r="I8608" s="89"/>
    </row>
    <row r="8609" spans="1:9">
      <c r="A8609" s="21"/>
      <c r="B8609"/>
      <c r="F8609" s="87"/>
      <c r="H8609" s="87"/>
      <c r="I8609" s="89"/>
    </row>
    <row r="8610" spans="1:9">
      <c r="A8610" s="21"/>
      <c r="B8610"/>
      <c r="F8610" s="87"/>
      <c r="H8610" s="87"/>
      <c r="I8610" s="89"/>
    </row>
    <row r="8611" spans="1:9">
      <c r="A8611" s="21"/>
      <c r="B8611"/>
      <c r="F8611" s="87"/>
      <c r="H8611" s="87"/>
      <c r="I8611" s="89"/>
    </row>
    <row r="8612" spans="1:9">
      <c r="A8612" s="21"/>
      <c r="B8612"/>
      <c r="F8612" s="87"/>
      <c r="H8612" s="87"/>
      <c r="I8612" s="89"/>
    </row>
    <row r="8613" spans="1:9">
      <c r="A8613" s="21"/>
      <c r="B8613"/>
      <c r="F8613" s="87"/>
      <c r="H8613" s="87"/>
      <c r="I8613" s="89"/>
    </row>
    <row r="8614" spans="1:9">
      <c r="A8614" s="21"/>
      <c r="B8614"/>
      <c r="F8614" s="87"/>
      <c r="H8614" s="87"/>
      <c r="I8614" s="89"/>
    </row>
    <row r="8615" spans="1:9">
      <c r="A8615" s="21"/>
      <c r="B8615"/>
      <c r="F8615" s="87"/>
      <c r="H8615" s="87"/>
      <c r="I8615" s="89"/>
    </row>
    <row r="8616" spans="1:9">
      <c r="A8616" s="21"/>
      <c r="B8616"/>
      <c r="F8616" s="87"/>
      <c r="H8616" s="87"/>
      <c r="I8616" s="89"/>
    </row>
    <row r="8617" spans="1:9">
      <c r="A8617" s="21"/>
      <c r="B8617"/>
      <c r="F8617" s="87"/>
      <c r="H8617" s="87"/>
      <c r="I8617" s="89"/>
    </row>
    <row r="8618" spans="1:9">
      <c r="A8618" s="21"/>
      <c r="B8618"/>
      <c r="F8618" s="87"/>
      <c r="H8618" s="87"/>
      <c r="I8618" s="89"/>
    </row>
    <row r="8619" spans="1:9">
      <c r="A8619" s="21"/>
      <c r="B8619"/>
      <c r="F8619" s="87"/>
      <c r="H8619" s="87"/>
      <c r="I8619" s="89"/>
    </row>
    <row r="8620" spans="1:9">
      <c r="A8620" s="21"/>
      <c r="B8620"/>
      <c r="F8620" s="87"/>
      <c r="H8620" s="87"/>
      <c r="I8620" s="89"/>
    </row>
    <row r="8621" spans="1:9">
      <c r="A8621" s="21"/>
      <c r="B8621"/>
      <c r="F8621" s="87"/>
      <c r="H8621" s="87"/>
      <c r="I8621" s="89"/>
    </row>
    <row r="8622" spans="1:9">
      <c r="A8622" s="21"/>
      <c r="B8622"/>
      <c r="F8622" s="87"/>
      <c r="H8622" s="87"/>
      <c r="I8622" s="89"/>
    </row>
    <row r="8623" spans="1:9">
      <c r="A8623" s="21"/>
      <c r="B8623"/>
      <c r="F8623" s="87"/>
      <c r="H8623" s="87"/>
      <c r="I8623" s="89"/>
    </row>
    <row r="8624" spans="1:9">
      <c r="A8624" s="21"/>
      <c r="B8624"/>
      <c r="F8624" s="87"/>
      <c r="H8624" s="87"/>
      <c r="I8624" s="89"/>
    </row>
    <row r="8625" spans="1:9">
      <c r="A8625" s="21"/>
      <c r="B8625"/>
      <c r="F8625" s="87"/>
      <c r="H8625" s="87"/>
      <c r="I8625" s="89"/>
    </row>
    <row r="8626" spans="1:9">
      <c r="A8626" s="21"/>
      <c r="B8626"/>
      <c r="F8626" s="87"/>
      <c r="H8626" s="87"/>
      <c r="I8626" s="89"/>
    </row>
    <row r="8627" spans="1:9">
      <c r="A8627" s="21"/>
      <c r="B8627"/>
      <c r="F8627" s="87"/>
      <c r="H8627" s="87"/>
      <c r="I8627" s="89"/>
    </row>
    <row r="8628" spans="1:9">
      <c r="A8628" s="21"/>
      <c r="B8628"/>
      <c r="F8628" s="87"/>
      <c r="H8628" s="87"/>
      <c r="I8628" s="89"/>
    </row>
    <row r="8629" spans="1:9">
      <c r="A8629" s="21"/>
      <c r="B8629"/>
      <c r="F8629" s="87"/>
      <c r="H8629" s="87"/>
      <c r="I8629" s="89"/>
    </row>
    <row r="8630" spans="1:9">
      <c r="A8630" s="21"/>
      <c r="B8630"/>
      <c r="F8630" s="87"/>
      <c r="H8630" s="87"/>
      <c r="I8630" s="89"/>
    </row>
    <row r="8631" spans="1:9">
      <c r="A8631" s="21"/>
      <c r="B8631"/>
      <c r="F8631" s="87"/>
      <c r="H8631" s="87"/>
      <c r="I8631" s="89"/>
    </row>
    <row r="8632" spans="1:9">
      <c r="A8632" s="21"/>
      <c r="B8632"/>
      <c r="F8632" s="87"/>
      <c r="H8632" s="87"/>
      <c r="I8632" s="89"/>
    </row>
    <row r="8633" spans="1:9">
      <c r="A8633" s="21"/>
      <c r="B8633"/>
      <c r="F8633" s="87"/>
      <c r="H8633" s="87"/>
      <c r="I8633" s="89"/>
    </row>
    <row r="8634" spans="1:9">
      <c r="A8634" s="21"/>
      <c r="B8634"/>
      <c r="F8634" s="87"/>
      <c r="H8634" s="87"/>
      <c r="I8634" s="89"/>
    </row>
    <row r="8635" spans="1:9">
      <c r="A8635" s="21"/>
      <c r="B8635"/>
      <c r="F8635" s="87"/>
      <c r="H8635" s="87"/>
      <c r="I8635" s="89"/>
    </row>
    <row r="8636" spans="1:9">
      <c r="A8636" s="21"/>
      <c r="B8636"/>
      <c r="F8636" s="87"/>
      <c r="H8636" s="87"/>
      <c r="I8636" s="89"/>
    </row>
    <row r="8637" spans="1:9">
      <c r="A8637" s="21"/>
      <c r="B8637"/>
      <c r="F8637" s="87"/>
      <c r="H8637" s="87"/>
      <c r="I8637" s="89"/>
    </row>
    <row r="8638" spans="1:9">
      <c r="A8638" s="21"/>
      <c r="B8638"/>
      <c r="F8638" s="87"/>
      <c r="H8638" s="87"/>
      <c r="I8638" s="89"/>
    </row>
    <row r="8639" spans="1:9">
      <c r="A8639" s="21"/>
      <c r="B8639"/>
      <c r="F8639" s="87"/>
      <c r="H8639" s="87"/>
      <c r="I8639" s="89"/>
    </row>
    <row r="8640" spans="1:9">
      <c r="A8640" s="21"/>
      <c r="B8640"/>
      <c r="F8640" s="87"/>
      <c r="H8640" s="87"/>
      <c r="I8640" s="89"/>
    </row>
    <row r="8641" spans="1:9">
      <c r="A8641" s="21"/>
      <c r="B8641"/>
      <c r="F8641" s="87"/>
      <c r="H8641" s="87"/>
      <c r="I8641" s="89"/>
    </row>
    <row r="8642" spans="1:9">
      <c r="A8642" s="21"/>
      <c r="B8642"/>
      <c r="F8642" s="87"/>
      <c r="H8642" s="87"/>
      <c r="I8642" s="89"/>
    </row>
    <row r="8643" spans="1:9">
      <c r="A8643" s="21"/>
      <c r="B8643"/>
      <c r="F8643" s="87"/>
      <c r="H8643" s="87"/>
      <c r="I8643" s="89"/>
    </row>
    <row r="8644" spans="1:9">
      <c r="A8644" s="21"/>
      <c r="B8644"/>
      <c r="F8644" s="87"/>
      <c r="H8644" s="87"/>
      <c r="I8644" s="89"/>
    </row>
    <row r="8645" spans="1:9">
      <c r="A8645" s="21"/>
      <c r="B8645"/>
      <c r="F8645" s="87"/>
      <c r="H8645" s="87"/>
      <c r="I8645" s="89"/>
    </row>
    <row r="8646" spans="1:9">
      <c r="A8646" s="21"/>
      <c r="B8646"/>
      <c r="F8646" s="87"/>
      <c r="H8646" s="87"/>
      <c r="I8646" s="89"/>
    </row>
    <row r="8647" spans="1:9">
      <c r="A8647" s="21"/>
      <c r="B8647"/>
      <c r="F8647" s="87"/>
      <c r="H8647" s="87"/>
      <c r="I8647" s="89"/>
    </row>
    <row r="8648" spans="1:9">
      <c r="A8648" s="21"/>
      <c r="B8648"/>
      <c r="F8648" s="87"/>
      <c r="H8648" s="87"/>
      <c r="I8648" s="89"/>
    </row>
    <row r="8649" spans="1:9">
      <c r="A8649" s="21"/>
      <c r="B8649"/>
      <c r="F8649" s="87"/>
      <c r="H8649" s="87"/>
      <c r="I8649" s="89"/>
    </row>
    <row r="8650" spans="1:9">
      <c r="A8650" s="21"/>
      <c r="B8650"/>
      <c r="F8650" s="87"/>
      <c r="H8650" s="87"/>
      <c r="I8650" s="89"/>
    </row>
    <row r="8651" spans="1:9">
      <c r="A8651" s="21"/>
      <c r="B8651"/>
      <c r="F8651" s="87"/>
      <c r="H8651" s="87"/>
      <c r="I8651" s="89"/>
    </row>
    <row r="8652" spans="1:9">
      <c r="A8652" s="21"/>
      <c r="B8652"/>
      <c r="F8652" s="87"/>
      <c r="H8652" s="87"/>
      <c r="I8652" s="89"/>
    </row>
    <row r="8653" spans="1:9">
      <c r="A8653" s="21"/>
      <c r="B8653"/>
      <c r="F8653" s="87"/>
      <c r="H8653" s="87"/>
      <c r="I8653" s="89"/>
    </row>
    <row r="8654" spans="1:9">
      <c r="A8654" s="21"/>
      <c r="B8654"/>
      <c r="F8654" s="87"/>
      <c r="H8654" s="87"/>
      <c r="I8654" s="89"/>
    </row>
    <row r="8655" spans="1:9">
      <c r="A8655" s="21"/>
      <c r="B8655"/>
      <c r="F8655" s="87"/>
      <c r="H8655" s="87"/>
      <c r="I8655" s="89"/>
    </row>
    <row r="8656" spans="1:9">
      <c r="A8656" s="21"/>
      <c r="B8656"/>
      <c r="F8656" s="87"/>
      <c r="H8656" s="87"/>
      <c r="I8656" s="89"/>
    </row>
    <row r="8657" spans="1:9">
      <c r="A8657" s="21"/>
      <c r="B8657"/>
      <c r="F8657" s="87"/>
      <c r="H8657" s="87"/>
      <c r="I8657" s="89"/>
    </row>
    <row r="8658" spans="1:9">
      <c r="A8658" s="21"/>
      <c r="B8658"/>
      <c r="F8658" s="87"/>
      <c r="H8658" s="87"/>
      <c r="I8658" s="89"/>
    </row>
    <row r="8659" spans="1:9">
      <c r="A8659" s="21"/>
      <c r="B8659"/>
      <c r="F8659" s="87"/>
      <c r="H8659" s="87"/>
      <c r="I8659" s="89"/>
    </row>
    <row r="8660" spans="1:9">
      <c r="A8660" s="21"/>
      <c r="B8660"/>
      <c r="F8660" s="87"/>
      <c r="H8660" s="87"/>
      <c r="I8660" s="89"/>
    </row>
    <row r="8661" spans="1:9">
      <c r="A8661" s="21"/>
      <c r="B8661"/>
      <c r="F8661" s="87"/>
      <c r="H8661" s="87"/>
      <c r="I8661" s="89"/>
    </row>
    <row r="8662" spans="1:9">
      <c r="A8662" s="21"/>
      <c r="B8662"/>
      <c r="F8662" s="87"/>
      <c r="H8662" s="87"/>
      <c r="I8662" s="89"/>
    </row>
    <row r="8663" spans="1:9">
      <c r="A8663" s="21"/>
      <c r="B8663"/>
      <c r="F8663" s="87"/>
      <c r="H8663" s="87"/>
      <c r="I8663" s="89"/>
    </row>
    <row r="8664" spans="1:9">
      <c r="A8664" s="21"/>
      <c r="B8664"/>
      <c r="F8664" s="87"/>
      <c r="H8664" s="87"/>
      <c r="I8664" s="89"/>
    </row>
    <row r="8665" spans="1:9">
      <c r="A8665" s="21"/>
      <c r="B8665"/>
      <c r="F8665" s="87"/>
      <c r="H8665" s="87"/>
      <c r="I8665" s="89"/>
    </row>
    <row r="8666" spans="1:9">
      <c r="A8666" s="21"/>
      <c r="B8666"/>
      <c r="F8666" s="87"/>
      <c r="H8666" s="87"/>
      <c r="I8666" s="89"/>
    </row>
    <row r="8667" spans="1:9">
      <c r="A8667" s="21"/>
      <c r="B8667"/>
      <c r="F8667" s="87"/>
      <c r="H8667" s="87"/>
      <c r="I8667" s="89"/>
    </row>
    <row r="8668" spans="1:9">
      <c r="A8668" s="21"/>
      <c r="B8668"/>
      <c r="F8668" s="87"/>
      <c r="H8668" s="87"/>
      <c r="I8668" s="89"/>
    </row>
    <row r="8669" spans="1:9">
      <c r="A8669" s="21"/>
      <c r="B8669"/>
      <c r="F8669" s="87"/>
      <c r="H8669" s="87"/>
      <c r="I8669" s="89"/>
    </row>
    <row r="8670" spans="1:9">
      <c r="A8670" s="21"/>
      <c r="B8670"/>
      <c r="F8670" s="87"/>
      <c r="H8670" s="87"/>
      <c r="I8670" s="89"/>
    </row>
    <row r="8671" spans="1:9">
      <c r="A8671" s="21"/>
      <c r="B8671"/>
      <c r="F8671" s="87"/>
      <c r="H8671" s="87"/>
      <c r="I8671" s="89"/>
    </row>
    <row r="8672" spans="1:9">
      <c r="A8672" s="21"/>
      <c r="B8672"/>
      <c r="F8672" s="87"/>
      <c r="H8672" s="87"/>
      <c r="I8672" s="89"/>
    </row>
    <row r="8673" spans="1:9">
      <c r="A8673" s="21"/>
      <c r="B8673"/>
      <c r="F8673" s="87"/>
      <c r="H8673" s="87"/>
      <c r="I8673" s="89"/>
    </row>
    <row r="8674" spans="1:9">
      <c r="A8674" s="21"/>
      <c r="B8674"/>
      <c r="F8674" s="87"/>
      <c r="H8674" s="87"/>
      <c r="I8674" s="89"/>
    </row>
    <row r="8675" spans="1:9">
      <c r="A8675" s="21"/>
      <c r="B8675"/>
      <c r="F8675" s="87"/>
      <c r="H8675" s="87"/>
      <c r="I8675" s="89"/>
    </row>
    <row r="8676" spans="1:9">
      <c r="A8676" s="21"/>
      <c r="B8676"/>
      <c r="F8676" s="87"/>
      <c r="H8676" s="87"/>
      <c r="I8676" s="89"/>
    </row>
    <row r="8677" spans="1:9">
      <c r="A8677" s="21"/>
      <c r="B8677"/>
      <c r="F8677" s="87"/>
      <c r="H8677" s="87"/>
      <c r="I8677" s="89"/>
    </row>
    <row r="8678" spans="1:9">
      <c r="A8678" s="21"/>
      <c r="B8678"/>
      <c r="F8678" s="87"/>
      <c r="H8678" s="87"/>
      <c r="I8678" s="89"/>
    </row>
    <row r="8679" spans="1:9">
      <c r="A8679" s="21"/>
      <c r="B8679"/>
      <c r="F8679" s="87"/>
      <c r="H8679" s="87"/>
      <c r="I8679" s="89"/>
    </row>
    <row r="8680" spans="1:9">
      <c r="A8680" s="21"/>
      <c r="B8680"/>
      <c r="F8680" s="87"/>
      <c r="H8680" s="87"/>
      <c r="I8680" s="89"/>
    </row>
    <row r="8681" spans="1:9">
      <c r="A8681" s="21"/>
      <c r="B8681"/>
      <c r="F8681" s="87"/>
      <c r="H8681" s="87"/>
      <c r="I8681" s="89"/>
    </row>
    <row r="8682" spans="1:9">
      <c r="A8682" s="21"/>
      <c r="B8682"/>
      <c r="F8682" s="87"/>
      <c r="H8682" s="87"/>
      <c r="I8682" s="89"/>
    </row>
    <row r="8683" spans="1:9">
      <c r="A8683" s="21"/>
      <c r="B8683"/>
      <c r="F8683" s="87"/>
      <c r="H8683" s="87"/>
      <c r="I8683" s="89"/>
    </row>
    <row r="8684" spans="1:9">
      <c r="A8684" s="21"/>
      <c r="B8684"/>
      <c r="F8684" s="87"/>
      <c r="H8684" s="87"/>
      <c r="I8684" s="89"/>
    </row>
    <row r="8685" spans="1:9">
      <c r="A8685" s="21"/>
      <c r="B8685"/>
      <c r="F8685" s="87"/>
      <c r="H8685" s="87"/>
      <c r="I8685" s="89"/>
    </row>
    <row r="8686" spans="1:9">
      <c r="A8686" s="21"/>
      <c r="B8686"/>
      <c r="F8686" s="87"/>
      <c r="H8686" s="87"/>
      <c r="I8686" s="89"/>
    </row>
    <row r="8687" spans="1:9">
      <c r="A8687" s="21"/>
      <c r="B8687"/>
      <c r="F8687" s="87"/>
      <c r="H8687" s="87"/>
      <c r="I8687" s="89"/>
    </row>
    <row r="8688" spans="1:9">
      <c r="A8688" s="21"/>
      <c r="B8688"/>
      <c r="F8688" s="87"/>
      <c r="H8688" s="87"/>
      <c r="I8688" s="89"/>
    </row>
    <row r="8689" spans="1:9">
      <c r="A8689" s="21"/>
      <c r="B8689"/>
      <c r="F8689" s="87"/>
      <c r="H8689" s="87"/>
      <c r="I8689" s="89"/>
    </row>
    <row r="8690" spans="1:9">
      <c r="A8690" s="21"/>
      <c r="B8690"/>
      <c r="F8690" s="87"/>
      <c r="H8690" s="87"/>
      <c r="I8690" s="89"/>
    </row>
    <row r="8691" spans="1:9">
      <c r="A8691" s="21"/>
      <c r="B8691"/>
      <c r="F8691" s="87"/>
      <c r="H8691" s="87"/>
      <c r="I8691" s="89"/>
    </row>
    <row r="8692" spans="1:9">
      <c r="A8692" s="21"/>
      <c r="B8692"/>
      <c r="F8692" s="87"/>
      <c r="H8692" s="87"/>
      <c r="I8692" s="89"/>
    </row>
    <row r="8693" spans="1:9">
      <c r="A8693" s="21"/>
      <c r="B8693"/>
      <c r="F8693" s="87"/>
      <c r="H8693" s="87"/>
      <c r="I8693" s="89"/>
    </row>
    <row r="8694" spans="1:9">
      <c r="A8694" s="21"/>
      <c r="B8694"/>
      <c r="F8694" s="87"/>
      <c r="H8694" s="87"/>
      <c r="I8694" s="89"/>
    </row>
    <row r="8695" spans="1:9">
      <c r="A8695" s="21"/>
      <c r="B8695"/>
      <c r="F8695" s="87"/>
      <c r="H8695" s="87"/>
      <c r="I8695" s="89"/>
    </row>
    <row r="8696" spans="1:9">
      <c r="A8696" s="21"/>
      <c r="B8696"/>
      <c r="F8696" s="87"/>
      <c r="H8696" s="87"/>
      <c r="I8696" s="89"/>
    </row>
    <row r="8697" spans="1:9">
      <c r="A8697" s="21"/>
      <c r="B8697"/>
      <c r="F8697" s="87"/>
      <c r="H8697" s="87"/>
      <c r="I8697" s="89"/>
    </row>
    <row r="8698" spans="1:9">
      <c r="A8698" s="21"/>
      <c r="B8698"/>
      <c r="F8698" s="87"/>
      <c r="H8698" s="87"/>
      <c r="I8698" s="89"/>
    </row>
    <row r="8699" spans="1:9">
      <c r="A8699" s="21"/>
      <c r="B8699"/>
      <c r="F8699" s="87"/>
      <c r="H8699" s="87"/>
      <c r="I8699" s="89"/>
    </row>
    <row r="8700" spans="1:9">
      <c r="A8700" s="21"/>
      <c r="B8700"/>
      <c r="F8700" s="87"/>
      <c r="H8700" s="87"/>
      <c r="I8700" s="89"/>
    </row>
    <row r="8701" spans="1:9">
      <c r="A8701" s="21"/>
      <c r="B8701"/>
      <c r="F8701" s="87"/>
      <c r="H8701" s="87"/>
      <c r="I8701" s="89"/>
    </row>
    <row r="8702" spans="1:9">
      <c r="A8702" s="21"/>
      <c r="B8702"/>
      <c r="F8702" s="87"/>
      <c r="H8702" s="87"/>
      <c r="I8702" s="89"/>
    </row>
    <row r="8703" spans="1:9">
      <c r="A8703" s="21"/>
      <c r="B8703"/>
      <c r="F8703" s="87"/>
      <c r="H8703" s="87"/>
      <c r="I8703" s="89"/>
    </row>
    <row r="8704" spans="1:9">
      <c r="A8704" s="21"/>
      <c r="B8704"/>
      <c r="F8704" s="87"/>
      <c r="H8704" s="87"/>
      <c r="I8704" s="89"/>
    </row>
    <row r="8705" spans="1:9">
      <c r="A8705" s="21"/>
      <c r="B8705"/>
      <c r="F8705" s="87"/>
      <c r="H8705" s="87"/>
      <c r="I8705" s="89"/>
    </row>
    <row r="8706" spans="1:9">
      <c r="A8706" s="21"/>
      <c r="B8706"/>
      <c r="F8706" s="87"/>
      <c r="H8706" s="87"/>
      <c r="I8706" s="89"/>
    </row>
    <row r="8707" spans="1:9">
      <c r="A8707" s="21"/>
      <c r="B8707"/>
      <c r="F8707" s="87"/>
      <c r="H8707" s="87"/>
      <c r="I8707" s="89"/>
    </row>
    <row r="8708" spans="1:9">
      <c r="A8708" s="21"/>
      <c r="B8708"/>
      <c r="F8708" s="87"/>
      <c r="H8708" s="87"/>
      <c r="I8708" s="89"/>
    </row>
    <row r="8709" spans="1:9">
      <c r="A8709" s="21"/>
      <c r="B8709"/>
      <c r="F8709" s="87"/>
      <c r="H8709" s="87"/>
      <c r="I8709" s="89"/>
    </row>
    <row r="8710" spans="1:9">
      <c r="A8710" s="21"/>
      <c r="B8710"/>
      <c r="F8710" s="87"/>
      <c r="H8710" s="87"/>
      <c r="I8710" s="89"/>
    </row>
    <row r="8711" spans="1:9">
      <c r="A8711" s="21"/>
      <c r="B8711"/>
      <c r="F8711" s="87"/>
      <c r="H8711" s="87"/>
      <c r="I8711" s="89"/>
    </row>
    <row r="8712" spans="1:9">
      <c r="A8712" s="21"/>
      <c r="B8712"/>
      <c r="F8712" s="87"/>
      <c r="H8712" s="87"/>
      <c r="I8712" s="89"/>
    </row>
    <row r="8713" spans="1:9">
      <c r="A8713" s="21"/>
      <c r="B8713"/>
      <c r="F8713" s="87"/>
      <c r="H8713" s="87"/>
      <c r="I8713" s="89"/>
    </row>
    <row r="8714" spans="1:9">
      <c r="A8714" s="21"/>
      <c r="B8714"/>
      <c r="F8714" s="87"/>
      <c r="H8714" s="87"/>
      <c r="I8714" s="89"/>
    </row>
    <row r="8715" spans="1:9">
      <c r="A8715" s="21"/>
      <c r="B8715"/>
      <c r="F8715" s="87"/>
      <c r="H8715" s="87"/>
      <c r="I8715" s="89"/>
    </row>
    <row r="8716" spans="1:9">
      <c r="A8716" s="21"/>
      <c r="B8716"/>
      <c r="F8716" s="87"/>
      <c r="H8716" s="87"/>
      <c r="I8716" s="89"/>
    </row>
    <row r="8717" spans="1:9">
      <c r="A8717" s="21"/>
      <c r="B8717"/>
      <c r="F8717" s="87"/>
      <c r="H8717" s="87"/>
      <c r="I8717" s="89"/>
    </row>
    <row r="8718" spans="1:9">
      <c r="A8718" s="21"/>
      <c r="B8718"/>
      <c r="F8718" s="87"/>
      <c r="H8718" s="87"/>
      <c r="I8718" s="89"/>
    </row>
    <row r="8719" spans="1:9">
      <c r="A8719" s="21"/>
      <c r="B8719"/>
      <c r="F8719" s="87"/>
      <c r="H8719" s="87"/>
      <c r="I8719" s="89"/>
    </row>
    <row r="8720" spans="1:9">
      <c r="A8720" s="21"/>
      <c r="B8720"/>
      <c r="F8720" s="87"/>
      <c r="H8720" s="87"/>
      <c r="I8720" s="89"/>
    </row>
    <row r="8721" spans="1:9">
      <c r="A8721" s="21"/>
      <c r="B8721"/>
      <c r="F8721" s="87"/>
      <c r="H8721" s="87"/>
      <c r="I8721" s="89"/>
    </row>
    <row r="8722" spans="1:9">
      <c r="A8722" s="21"/>
      <c r="B8722"/>
      <c r="F8722" s="87"/>
      <c r="H8722" s="87"/>
      <c r="I8722" s="89"/>
    </row>
    <row r="8723" spans="1:9">
      <c r="A8723" s="21"/>
      <c r="B8723"/>
      <c r="F8723" s="87"/>
      <c r="H8723" s="87"/>
      <c r="I8723" s="89"/>
    </row>
    <row r="8724" spans="1:9">
      <c r="A8724" s="21"/>
      <c r="B8724"/>
      <c r="F8724" s="87"/>
      <c r="H8724" s="87"/>
      <c r="I8724" s="89"/>
    </row>
    <row r="8725" spans="1:9">
      <c r="A8725" s="21"/>
      <c r="B8725"/>
      <c r="F8725" s="87"/>
      <c r="H8725" s="87"/>
      <c r="I8725" s="89"/>
    </row>
    <row r="8726" spans="1:9">
      <c r="A8726" s="21"/>
      <c r="B8726"/>
      <c r="F8726" s="87"/>
      <c r="H8726" s="87"/>
      <c r="I8726" s="89"/>
    </row>
    <row r="8727" spans="1:9">
      <c r="A8727" s="21"/>
      <c r="B8727"/>
      <c r="F8727" s="87"/>
      <c r="H8727" s="87"/>
      <c r="I8727" s="89"/>
    </row>
    <row r="8728" spans="1:9">
      <c r="A8728" s="21"/>
      <c r="B8728"/>
      <c r="F8728" s="87"/>
      <c r="H8728" s="87"/>
      <c r="I8728" s="89"/>
    </row>
    <row r="8729" spans="1:9">
      <c r="A8729" s="21"/>
      <c r="B8729"/>
      <c r="F8729" s="87"/>
      <c r="H8729" s="87"/>
      <c r="I8729" s="89"/>
    </row>
    <row r="8730" spans="1:9">
      <c r="A8730" s="21"/>
      <c r="B8730"/>
      <c r="F8730" s="87"/>
      <c r="H8730" s="87"/>
      <c r="I8730" s="89"/>
    </row>
    <row r="8731" spans="1:9">
      <c r="A8731" s="21"/>
      <c r="B8731"/>
      <c r="F8731" s="87"/>
      <c r="H8731" s="87"/>
      <c r="I8731" s="89"/>
    </row>
    <row r="8732" spans="1:9">
      <c r="A8732" s="21"/>
      <c r="B8732"/>
      <c r="F8732" s="87"/>
      <c r="H8732" s="87"/>
      <c r="I8732" s="89"/>
    </row>
    <row r="8733" spans="1:9">
      <c r="A8733" s="21"/>
      <c r="B8733"/>
      <c r="F8733" s="87"/>
      <c r="H8733" s="87"/>
      <c r="I8733" s="89"/>
    </row>
    <row r="8734" spans="1:9">
      <c r="A8734" s="21"/>
      <c r="B8734"/>
      <c r="F8734" s="87"/>
      <c r="H8734" s="87"/>
      <c r="I8734" s="89"/>
    </row>
    <row r="8735" spans="1:9">
      <c r="A8735" s="21"/>
      <c r="B8735"/>
      <c r="F8735" s="87"/>
      <c r="H8735" s="87"/>
      <c r="I8735" s="89"/>
    </row>
    <row r="8736" spans="1:9">
      <c r="A8736" s="21"/>
      <c r="B8736"/>
      <c r="F8736" s="87"/>
      <c r="H8736" s="87"/>
      <c r="I8736" s="89"/>
    </row>
    <row r="8737" spans="1:9">
      <c r="A8737" s="21"/>
      <c r="B8737"/>
      <c r="F8737" s="87"/>
      <c r="H8737" s="87"/>
      <c r="I8737" s="89"/>
    </row>
    <row r="8738" spans="1:9">
      <c r="A8738" s="21"/>
      <c r="B8738"/>
      <c r="F8738" s="87"/>
      <c r="H8738" s="87"/>
      <c r="I8738" s="89"/>
    </row>
    <row r="8739" spans="1:9">
      <c r="A8739" s="21"/>
      <c r="B8739"/>
      <c r="F8739" s="87"/>
      <c r="H8739" s="87"/>
      <c r="I8739" s="89"/>
    </row>
    <row r="8740" spans="1:9">
      <c r="A8740" s="21"/>
      <c r="B8740"/>
      <c r="F8740" s="87"/>
      <c r="H8740" s="87"/>
      <c r="I8740" s="89"/>
    </row>
    <row r="8741" spans="1:9">
      <c r="A8741" s="21"/>
      <c r="B8741"/>
      <c r="F8741" s="87"/>
      <c r="H8741" s="87"/>
      <c r="I8741" s="89"/>
    </row>
    <row r="8742" spans="1:9">
      <c r="A8742" s="21"/>
      <c r="B8742"/>
      <c r="F8742" s="87"/>
      <c r="H8742" s="87"/>
      <c r="I8742" s="89"/>
    </row>
    <row r="8743" spans="1:9">
      <c r="A8743" s="21"/>
      <c r="B8743"/>
      <c r="F8743" s="87"/>
      <c r="H8743" s="87"/>
      <c r="I8743" s="89"/>
    </row>
    <row r="8744" spans="1:9">
      <c r="A8744" s="21"/>
      <c r="B8744"/>
      <c r="F8744" s="87"/>
      <c r="H8744" s="87"/>
      <c r="I8744" s="89"/>
    </row>
    <row r="8745" spans="1:9">
      <c r="A8745" s="21"/>
      <c r="B8745"/>
      <c r="F8745" s="87"/>
      <c r="H8745" s="87"/>
      <c r="I8745" s="89"/>
    </row>
    <row r="8746" spans="1:9">
      <c r="A8746" s="21"/>
      <c r="B8746"/>
      <c r="F8746" s="87"/>
      <c r="H8746" s="87"/>
      <c r="I8746" s="89"/>
    </row>
    <row r="8747" spans="1:9">
      <c r="A8747" s="21"/>
      <c r="B8747"/>
      <c r="F8747" s="87"/>
      <c r="H8747" s="87"/>
      <c r="I8747" s="89"/>
    </row>
    <row r="8748" spans="1:9">
      <c r="A8748" s="21"/>
      <c r="B8748"/>
      <c r="F8748" s="87"/>
      <c r="H8748" s="87"/>
      <c r="I8748" s="89"/>
    </row>
    <row r="8749" spans="1:9">
      <c r="A8749" s="21"/>
      <c r="B8749"/>
      <c r="F8749" s="87"/>
      <c r="H8749" s="87"/>
      <c r="I8749" s="89"/>
    </row>
    <row r="8750" spans="1:9">
      <c r="A8750" s="21"/>
      <c r="B8750"/>
      <c r="F8750" s="87"/>
      <c r="H8750" s="87"/>
      <c r="I8750" s="89"/>
    </row>
    <row r="8751" spans="1:9">
      <c r="A8751" s="21"/>
      <c r="B8751"/>
      <c r="F8751" s="87"/>
      <c r="H8751" s="87"/>
      <c r="I8751" s="89"/>
    </row>
    <row r="8752" spans="1:9">
      <c r="A8752" s="21"/>
      <c r="B8752"/>
      <c r="F8752" s="87"/>
      <c r="H8752" s="87"/>
      <c r="I8752" s="89"/>
    </row>
    <row r="8753" spans="1:9">
      <c r="A8753" s="21"/>
      <c r="B8753"/>
      <c r="F8753" s="87"/>
      <c r="H8753" s="87"/>
      <c r="I8753" s="89"/>
    </row>
    <row r="8754" spans="1:9">
      <c r="A8754" s="21"/>
      <c r="B8754"/>
      <c r="F8754" s="87"/>
      <c r="H8754" s="87"/>
      <c r="I8754" s="89"/>
    </row>
    <row r="8755" spans="1:9">
      <c r="A8755" s="21"/>
      <c r="B8755"/>
      <c r="F8755" s="87"/>
      <c r="H8755" s="87"/>
      <c r="I8755" s="89"/>
    </row>
    <row r="8756" spans="1:9">
      <c r="A8756" s="21"/>
      <c r="B8756"/>
      <c r="F8756" s="87"/>
      <c r="H8756" s="87"/>
      <c r="I8756" s="89"/>
    </row>
    <row r="8757" spans="1:9">
      <c r="A8757" s="21"/>
      <c r="B8757"/>
      <c r="F8757" s="87"/>
      <c r="H8757" s="87"/>
      <c r="I8757" s="89"/>
    </row>
    <row r="8758" spans="1:9">
      <c r="A8758" s="21"/>
      <c r="B8758"/>
      <c r="F8758" s="87"/>
      <c r="H8758" s="87"/>
      <c r="I8758" s="89"/>
    </row>
    <row r="8759" spans="1:9">
      <c r="A8759" s="21"/>
      <c r="B8759"/>
      <c r="F8759" s="87"/>
      <c r="H8759" s="87"/>
      <c r="I8759" s="89"/>
    </row>
    <row r="8760" spans="1:9">
      <c r="A8760" s="21"/>
      <c r="B8760"/>
      <c r="F8760" s="87"/>
      <c r="H8760" s="87"/>
      <c r="I8760" s="89"/>
    </row>
    <row r="8761" spans="1:9">
      <c r="A8761" s="21"/>
      <c r="B8761"/>
      <c r="F8761" s="87"/>
      <c r="H8761" s="87"/>
      <c r="I8761" s="89"/>
    </row>
    <row r="8762" spans="1:9">
      <c r="A8762" s="21"/>
      <c r="B8762"/>
      <c r="F8762" s="87"/>
      <c r="H8762" s="87"/>
      <c r="I8762" s="89"/>
    </row>
    <row r="8763" spans="1:9">
      <c r="A8763" s="21"/>
      <c r="B8763"/>
      <c r="F8763" s="87"/>
      <c r="H8763" s="87"/>
      <c r="I8763" s="89"/>
    </row>
    <row r="8764" spans="1:9">
      <c r="A8764" s="21"/>
      <c r="B8764"/>
      <c r="F8764" s="87"/>
      <c r="H8764" s="87"/>
      <c r="I8764" s="89"/>
    </row>
    <row r="8765" spans="1:9">
      <c r="A8765" s="21"/>
      <c r="B8765"/>
      <c r="F8765" s="87"/>
      <c r="H8765" s="87"/>
      <c r="I8765" s="89"/>
    </row>
    <row r="8766" spans="1:9">
      <c r="A8766" s="21"/>
      <c r="B8766"/>
      <c r="F8766" s="87"/>
      <c r="H8766" s="87"/>
      <c r="I8766" s="89"/>
    </row>
    <row r="8767" spans="1:9">
      <c r="A8767" s="21"/>
      <c r="B8767"/>
      <c r="F8767" s="87"/>
      <c r="H8767" s="87"/>
      <c r="I8767" s="89"/>
    </row>
    <row r="8768" spans="1:9">
      <c r="A8768" s="21"/>
      <c r="B8768"/>
      <c r="F8768" s="87"/>
      <c r="H8768" s="87"/>
      <c r="I8768" s="89"/>
    </row>
    <row r="8769" spans="1:9">
      <c r="A8769" s="21"/>
      <c r="B8769"/>
      <c r="F8769" s="87"/>
      <c r="H8769" s="87"/>
      <c r="I8769" s="89"/>
    </row>
    <row r="8770" spans="1:9">
      <c r="A8770" s="21"/>
      <c r="B8770"/>
      <c r="F8770" s="87"/>
      <c r="H8770" s="87"/>
      <c r="I8770" s="89"/>
    </row>
    <row r="8771" spans="1:9">
      <c r="A8771" s="21"/>
      <c r="B8771"/>
      <c r="F8771" s="87"/>
      <c r="H8771" s="87"/>
      <c r="I8771" s="89"/>
    </row>
    <row r="8772" spans="1:9">
      <c r="A8772" s="21"/>
      <c r="B8772"/>
      <c r="F8772" s="87"/>
      <c r="H8772" s="87"/>
      <c r="I8772" s="89"/>
    </row>
    <row r="8773" spans="1:9">
      <c r="A8773" s="21"/>
      <c r="B8773"/>
      <c r="F8773" s="87"/>
      <c r="H8773" s="87"/>
      <c r="I8773" s="89"/>
    </row>
    <row r="8774" spans="1:9">
      <c r="A8774" s="21"/>
      <c r="B8774"/>
      <c r="F8774" s="87"/>
      <c r="H8774" s="87"/>
      <c r="I8774" s="89"/>
    </row>
    <row r="8775" spans="1:9">
      <c r="A8775" s="21"/>
      <c r="B8775"/>
      <c r="F8775" s="87"/>
      <c r="H8775" s="87"/>
      <c r="I8775" s="89"/>
    </row>
    <row r="8776" spans="1:9">
      <c r="A8776" s="21"/>
      <c r="B8776"/>
      <c r="F8776" s="87"/>
      <c r="H8776" s="87"/>
      <c r="I8776" s="89"/>
    </row>
    <row r="8777" spans="1:9">
      <c r="A8777" s="21"/>
      <c r="B8777"/>
      <c r="F8777" s="87"/>
      <c r="H8777" s="87"/>
      <c r="I8777" s="89"/>
    </row>
    <row r="8778" spans="1:9">
      <c r="A8778" s="21"/>
      <c r="B8778"/>
      <c r="F8778" s="87"/>
      <c r="H8778" s="87"/>
      <c r="I8778" s="89"/>
    </row>
    <row r="8779" spans="1:9">
      <c r="A8779" s="21"/>
      <c r="B8779"/>
      <c r="F8779" s="87"/>
      <c r="H8779" s="87"/>
      <c r="I8779" s="89"/>
    </row>
    <row r="8780" spans="1:9">
      <c r="A8780" s="21"/>
      <c r="B8780"/>
      <c r="F8780" s="87"/>
      <c r="H8780" s="87"/>
      <c r="I8780" s="89"/>
    </row>
    <row r="8781" spans="1:9">
      <c r="A8781" s="21"/>
      <c r="B8781"/>
      <c r="F8781" s="87"/>
      <c r="H8781" s="87"/>
      <c r="I8781" s="89"/>
    </row>
    <row r="8782" spans="1:9">
      <c r="A8782" s="21"/>
      <c r="B8782"/>
      <c r="F8782" s="87"/>
      <c r="H8782" s="87"/>
      <c r="I8782" s="89"/>
    </row>
    <row r="8783" spans="1:9">
      <c r="A8783" s="21"/>
      <c r="B8783"/>
      <c r="F8783" s="87"/>
      <c r="H8783" s="87"/>
      <c r="I8783" s="89"/>
    </row>
    <row r="8784" spans="1:9">
      <c r="A8784" s="21"/>
      <c r="B8784"/>
      <c r="F8784" s="87"/>
      <c r="H8784" s="87"/>
      <c r="I8784" s="89"/>
    </row>
    <row r="8785" spans="1:9">
      <c r="A8785" s="21"/>
      <c r="B8785"/>
      <c r="F8785" s="87"/>
      <c r="H8785" s="87"/>
      <c r="I8785" s="89"/>
    </row>
    <row r="8786" spans="1:9">
      <c r="A8786" s="21"/>
      <c r="B8786"/>
      <c r="F8786" s="87"/>
      <c r="H8786" s="87"/>
      <c r="I8786" s="89"/>
    </row>
    <row r="8787" spans="1:9">
      <c r="A8787" s="21"/>
      <c r="B8787"/>
      <c r="F8787" s="87"/>
      <c r="H8787" s="87"/>
      <c r="I8787" s="89"/>
    </row>
    <row r="8788" spans="1:9">
      <c r="A8788" s="21"/>
      <c r="B8788"/>
      <c r="F8788" s="87"/>
      <c r="H8788" s="87"/>
      <c r="I8788" s="89"/>
    </row>
    <row r="8789" spans="1:9">
      <c r="A8789" s="21"/>
      <c r="B8789"/>
      <c r="F8789" s="87"/>
      <c r="H8789" s="87"/>
      <c r="I8789" s="89"/>
    </row>
    <row r="8790" spans="1:9">
      <c r="A8790" s="21"/>
      <c r="B8790"/>
      <c r="F8790" s="87"/>
      <c r="H8790" s="87"/>
      <c r="I8790" s="89"/>
    </row>
    <row r="8791" spans="1:9">
      <c r="A8791" s="21"/>
      <c r="B8791"/>
      <c r="F8791" s="87"/>
      <c r="H8791" s="87"/>
      <c r="I8791" s="89"/>
    </row>
    <row r="8792" spans="1:9">
      <c r="A8792" s="21"/>
      <c r="B8792"/>
      <c r="F8792" s="87"/>
      <c r="H8792" s="87"/>
      <c r="I8792" s="89"/>
    </row>
    <row r="8793" spans="1:9">
      <c r="A8793" s="21"/>
      <c r="B8793"/>
      <c r="F8793" s="87"/>
      <c r="H8793" s="87"/>
      <c r="I8793" s="89"/>
    </row>
    <row r="8794" spans="1:9">
      <c r="A8794" s="21"/>
      <c r="B8794"/>
      <c r="F8794" s="87"/>
      <c r="H8794" s="87"/>
      <c r="I8794" s="89"/>
    </row>
    <row r="8795" spans="1:9">
      <c r="A8795" s="21"/>
      <c r="B8795"/>
      <c r="F8795" s="87"/>
      <c r="H8795" s="87"/>
      <c r="I8795" s="89"/>
    </row>
    <row r="8796" spans="1:9">
      <c r="A8796" s="21"/>
      <c r="B8796"/>
      <c r="F8796" s="87"/>
      <c r="H8796" s="87"/>
      <c r="I8796" s="89"/>
    </row>
    <row r="8797" spans="1:9">
      <c r="A8797" s="21"/>
      <c r="B8797"/>
      <c r="F8797" s="87"/>
      <c r="H8797" s="87"/>
      <c r="I8797" s="89"/>
    </row>
    <row r="8798" spans="1:9">
      <c r="A8798" s="21"/>
      <c r="B8798"/>
      <c r="F8798" s="87"/>
      <c r="H8798" s="87"/>
      <c r="I8798" s="89"/>
    </row>
    <row r="8799" spans="1:9">
      <c r="A8799" s="21"/>
      <c r="B8799"/>
      <c r="F8799" s="87"/>
      <c r="H8799" s="87"/>
      <c r="I8799" s="89"/>
    </row>
    <row r="8800" spans="1:9">
      <c r="A8800" s="21"/>
      <c r="B8800"/>
      <c r="F8800" s="87"/>
      <c r="H8800" s="87"/>
      <c r="I8800" s="89"/>
    </row>
    <row r="8801" spans="1:9">
      <c r="A8801" s="21"/>
      <c r="B8801"/>
      <c r="F8801" s="87"/>
      <c r="H8801" s="87"/>
      <c r="I8801" s="89"/>
    </row>
    <row r="8802" spans="1:9">
      <c r="A8802" s="21"/>
      <c r="B8802"/>
      <c r="F8802" s="87"/>
      <c r="H8802" s="87"/>
      <c r="I8802" s="89"/>
    </row>
    <row r="8803" spans="1:9">
      <c r="A8803" s="21"/>
      <c r="B8803"/>
      <c r="F8803" s="87"/>
      <c r="H8803" s="87"/>
      <c r="I8803" s="89"/>
    </row>
    <row r="8804" spans="1:9">
      <c r="A8804" s="21"/>
      <c r="B8804"/>
      <c r="F8804" s="87"/>
      <c r="H8804" s="87"/>
      <c r="I8804" s="89"/>
    </row>
    <row r="8805" spans="1:9">
      <c r="A8805" s="21"/>
      <c r="B8805"/>
      <c r="F8805" s="87"/>
      <c r="H8805" s="87"/>
      <c r="I8805" s="89"/>
    </row>
    <row r="8806" spans="1:9">
      <c r="A8806" s="21"/>
      <c r="B8806"/>
      <c r="F8806" s="87"/>
      <c r="H8806" s="87"/>
      <c r="I8806" s="89"/>
    </row>
    <row r="8807" spans="1:9">
      <c r="A8807" s="21"/>
      <c r="B8807"/>
      <c r="F8807" s="87"/>
      <c r="H8807" s="87"/>
      <c r="I8807" s="89"/>
    </row>
    <row r="8808" spans="1:9">
      <c r="A8808" s="21"/>
      <c r="B8808"/>
      <c r="F8808" s="87"/>
      <c r="H8808" s="87"/>
      <c r="I8808" s="89"/>
    </row>
    <row r="8809" spans="1:9">
      <c r="A8809" s="21"/>
      <c r="B8809"/>
      <c r="F8809" s="87"/>
      <c r="H8809" s="87"/>
      <c r="I8809" s="89"/>
    </row>
    <row r="8810" spans="1:9">
      <c r="A8810" s="21"/>
      <c r="B8810"/>
      <c r="F8810" s="87"/>
      <c r="H8810" s="87"/>
      <c r="I8810" s="89"/>
    </row>
    <row r="8811" spans="1:9">
      <c r="A8811" s="21"/>
      <c r="B8811"/>
      <c r="F8811" s="87"/>
      <c r="H8811" s="87"/>
      <c r="I8811" s="89"/>
    </row>
    <row r="8812" spans="1:9">
      <c r="A8812" s="21"/>
      <c r="B8812"/>
      <c r="F8812" s="87"/>
      <c r="H8812" s="87"/>
      <c r="I8812" s="89"/>
    </row>
    <row r="8813" spans="1:9">
      <c r="A8813" s="21"/>
      <c r="B8813"/>
      <c r="F8813" s="87"/>
      <c r="H8813" s="87"/>
      <c r="I8813" s="89"/>
    </row>
    <row r="8814" spans="1:9">
      <c r="A8814" s="21"/>
      <c r="B8814"/>
      <c r="F8814" s="87"/>
      <c r="H8814" s="87"/>
      <c r="I8814" s="89"/>
    </row>
    <row r="8815" spans="1:9">
      <c r="A8815" s="21"/>
      <c r="B8815"/>
      <c r="F8815" s="87"/>
      <c r="H8815" s="87"/>
      <c r="I8815" s="89"/>
    </row>
    <row r="8816" spans="1:9">
      <c r="A8816" s="21"/>
      <c r="B8816"/>
      <c r="F8816" s="87"/>
      <c r="H8816" s="87"/>
      <c r="I8816" s="89"/>
    </row>
    <row r="8817" spans="1:9">
      <c r="A8817" s="21"/>
      <c r="B8817"/>
      <c r="F8817" s="87"/>
      <c r="H8817" s="87"/>
      <c r="I8817" s="89"/>
    </row>
    <row r="8818" spans="1:9">
      <c r="A8818" s="21"/>
      <c r="B8818"/>
      <c r="F8818" s="87"/>
      <c r="H8818" s="87"/>
      <c r="I8818" s="89"/>
    </row>
    <row r="8819" spans="1:9">
      <c r="A8819" s="21"/>
      <c r="B8819"/>
      <c r="F8819" s="87"/>
      <c r="H8819" s="87"/>
      <c r="I8819" s="89"/>
    </row>
    <row r="8820" spans="1:9">
      <c r="A8820" s="21"/>
      <c r="B8820"/>
      <c r="F8820" s="87"/>
      <c r="H8820" s="87"/>
      <c r="I8820" s="89"/>
    </row>
    <row r="8821" spans="1:9">
      <c r="A8821" s="21"/>
      <c r="B8821"/>
      <c r="F8821" s="87"/>
      <c r="H8821" s="87"/>
      <c r="I8821" s="89"/>
    </row>
    <row r="8822" spans="1:9">
      <c r="A8822" s="21"/>
      <c r="B8822"/>
      <c r="F8822" s="87"/>
      <c r="H8822" s="87"/>
      <c r="I8822" s="89"/>
    </row>
    <row r="8823" spans="1:9">
      <c r="A8823" s="21"/>
      <c r="B8823"/>
      <c r="F8823" s="87"/>
      <c r="H8823" s="87"/>
      <c r="I8823" s="89"/>
    </row>
    <row r="8824" spans="1:9">
      <c r="A8824" s="21"/>
      <c r="B8824"/>
      <c r="F8824" s="87"/>
      <c r="H8824" s="87"/>
      <c r="I8824" s="89"/>
    </row>
    <row r="8825" spans="1:9">
      <c r="A8825" s="21"/>
      <c r="B8825"/>
      <c r="F8825" s="87"/>
      <c r="H8825" s="87"/>
      <c r="I8825" s="89"/>
    </row>
    <row r="8826" spans="1:9">
      <c r="A8826" s="21"/>
      <c r="B8826"/>
      <c r="F8826" s="87"/>
      <c r="H8826" s="87"/>
      <c r="I8826" s="89"/>
    </row>
    <row r="8827" spans="1:9">
      <c r="A8827" s="21"/>
      <c r="B8827"/>
      <c r="F8827" s="87"/>
      <c r="H8827" s="87"/>
      <c r="I8827" s="89"/>
    </row>
    <row r="8828" spans="1:9">
      <c r="A8828" s="21"/>
      <c r="B8828"/>
      <c r="F8828" s="87"/>
      <c r="H8828" s="87"/>
      <c r="I8828" s="89"/>
    </row>
    <row r="8829" spans="1:9">
      <c r="A8829" s="21"/>
      <c r="B8829"/>
      <c r="F8829" s="87"/>
      <c r="H8829" s="87"/>
      <c r="I8829" s="89"/>
    </row>
    <row r="8830" spans="1:9">
      <c r="A8830" s="21"/>
      <c r="B8830"/>
      <c r="F8830" s="87"/>
      <c r="H8830" s="87"/>
      <c r="I8830" s="89"/>
    </row>
    <row r="8831" spans="1:9">
      <c r="A8831" s="21"/>
      <c r="B8831"/>
      <c r="F8831" s="87"/>
      <c r="H8831" s="87"/>
      <c r="I8831" s="89"/>
    </row>
    <row r="8832" spans="1:9">
      <c r="A8832" s="21"/>
      <c r="B8832"/>
      <c r="F8832" s="87"/>
      <c r="H8832" s="87"/>
      <c r="I8832" s="89"/>
    </row>
    <row r="8833" spans="1:9">
      <c r="A8833" s="21"/>
      <c r="B8833"/>
      <c r="F8833" s="87"/>
      <c r="H8833" s="87"/>
      <c r="I8833" s="89"/>
    </row>
    <row r="8834" spans="1:9">
      <c r="A8834" s="21"/>
      <c r="B8834"/>
      <c r="F8834" s="87"/>
      <c r="H8834" s="87"/>
      <c r="I8834" s="89"/>
    </row>
    <row r="8835" spans="1:9">
      <c r="A8835" s="21"/>
      <c r="B8835"/>
      <c r="F8835" s="87"/>
      <c r="H8835" s="87"/>
      <c r="I8835" s="89"/>
    </row>
    <row r="8836" spans="1:9">
      <c r="A8836" s="21"/>
      <c r="B8836"/>
      <c r="F8836" s="87"/>
      <c r="H8836" s="87"/>
      <c r="I8836" s="89"/>
    </row>
    <row r="8837" spans="1:9">
      <c r="A8837" s="21"/>
      <c r="B8837"/>
      <c r="F8837" s="87"/>
      <c r="H8837" s="87"/>
      <c r="I8837" s="89"/>
    </row>
    <row r="8838" spans="1:9">
      <c r="A8838" s="21"/>
      <c r="B8838"/>
      <c r="F8838" s="87"/>
      <c r="H8838" s="87"/>
      <c r="I8838" s="89"/>
    </row>
    <row r="8839" spans="1:9">
      <c r="A8839" s="21"/>
      <c r="B8839"/>
      <c r="F8839" s="87"/>
      <c r="H8839" s="87"/>
      <c r="I8839" s="89"/>
    </row>
    <row r="8840" spans="1:9">
      <c r="A8840" s="21"/>
      <c r="B8840"/>
      <c r="F8840" s="87"/>
      <c r="H8840" s="87"/>
      <c r="I8840" s="89"/>
    </row>
    <row r="8841" spans="1:9">
      <c r="A8841" s="21"/>
      <c r="B8841"/>
      <c r="F8841" s="87"/>
      <c r="H8841" s="87"/>
      <c r="I8841" s="89"/>
    </row>
    <row r="8842" spans="1:9">
      <c r="A8842" s="21"/>
      <c r="B8842"/>
      <c r="F8842" s="87"/>
      <c r="H8842" s="87"/>
      <c r="I8842" s="89"/>
    </row>
    <row r="8843" spans="1:9">
      <c r="A8843" s="21"/>
      <c r="B8843"/>
      <c r="F8843" s="87"/>
      <c r="H8843" s="87"/>
      <c r="I8843" s="89"/>
    </row>
    <row r="8844" spans="1:9">
      <c r="A8844" s="21"/>
      <c r="B8844"/>
      <c r="F8844" s="87"/>
      <c r="H8844" s="87"/>
      <c r="I8844" s="89"/>
    </row>
    <row r="8845" spans="1:9">
      <c r="A8845" s="21"/>
      <c r="B8845"/>
      <c r="F8845" s="87"/>
      <c r="H8845" s="87"/>
      <c r="I8845" s="89"/>
    </row>
    <row r="8846" spans="1:9">
      <c r="A8846" s="21"/>
      <c r="B8846"/>
      <c r="F8846" s="87"/>
      <c r="H8846" s="87"/>
      <c r="I8846" s="89"/>
    </row>
    <row r="8847" spans="1:9">
      <c r="A8847" s="21"/>
      <c r="B8847"/>
      <c r="F8847" s="87"/>
      <c r="H8847" s="87"/>
      <c r="I8847" s="89"/>
    </row>
    <row r="8848" spans="1:9">
      <c r="A8848" s="21"/>
      <c r="B8848"/>
      <c r="F8848" s="87"/>
      <c r="H8848" s="87"/>
      <c r="I8848" s="89"/>
    </row>
    <row r="8849" spans="1:9">
      <c r="A8849" s="21"/>
      <c r="B8849"/>
      <c r="F8849" s="87"/>
      <c r="H8849" s="87"/>
      <c r="I8849" s="89"/>
    </row>
    <row r="8850" spans="1:9">
      <c r="A8850" s="21"/>
      <c r="B8850"/>
      <c r="F8850" s="87"/>
      <c r="H8850" s="87"/>
      <c r="I8850" s="89"/>
    </row>
    <row r="8851" spans="1:9">
      <c r="A8851" s="21"/>
      <c r="B8851"/>
      <c r="F8851" s="87"/>
      <c r="H8851" s="87"/>
      <c r="I8851" s="89"/>
    </row>
    <row r="8852" spans="1:9">
      <c r="A8852" s="21"/>
      <c r="B8852"/>
      <c r="F8852" s="87"/>
      <c r="H8852" s="87"/>
      <c r="I8852" s="89"/>
    </row>
    <row r="8853" spans="1:9">
      <c r="A8853" s="21"/>
      <c r="B8853"/>
      <c r="F8853" s="87"/>
      <c r="H8853" s="87"/>
      <c r="I8853" s="89"/>
    </row>
    <row r="8854" spans="1:9">
      <c r="A8854" s="21"/>
      <c r="B8854"/>
      <c r="F8854" s="87"/>
      <c r="H8854" s="87"/>
      <c r="I8854" s="89"/>
    </row>
    <row r="8855" spans="1:9">
      <c r="A8855" s="21"/>
      <c r="B8855"/>
      <c r="F8855" s="87"/>
      <c r="H8855" s="87"/>
      <c r="I8855" s="89"/>
    </row>
    <row r="8856" spans="1:9">
      <c r="A8856" s="21"/>
      <c r="B8856"/>
      <c r="F8856" s="87"/>
      <c r="H8856" s="87"/>
      <c r="I8856" s="89"/>
    </row>
    <row r="8857" spans="1:9">
      <c r="A8857" s="21"/>
      <c r="B8857"/>
      <c r="F8857" s="87"/>
      <c r="H8857" s="87"/>
      <c r="I8857" s="89"/>
    </row>
    <row r="8858" spans="1:9">
      <c r="A8858" s="21"/>
      <c r="B8858"/>
      <c r="F8858" s="87"/>
      <c r="H8858" s="87"/>
      <c r="I8858" s="89"/>
    </row>
    <row r="8859" spans="1:9">
      <c r="A8859" s="21"/>
      <c r="B8859"/>
      <c r="F8859" s="87"/>
      <c r="H8859" s="87"/>
      <c r="I8859" s="89"/>
    </row>
    <row r="8860" spans="1:9">
      <c r="A8860" s="21"/>
      <c r="B8860"/>
      <c r="F8860" s="87"/>
      <c r="H8860" s="87"/>
      <c r="I8860" s="89"/>
    </row>
    <row r="8861" spans="1:9">
      <c r="A8861" s="21"/>
      <c r="B8861"/>
      <c r="F8861" s="87"/>
      <c r="H8861" s="87"/>
      <c r="I8861" s="89"/>
    </row>
    <row r="8862" spans="1:9">
      <c r="A8862" s="21"/>
      <c r="B8862"/>
      <c r="F8862" s="87"/>
      <c r="H8862" s="87"/>
      <c r="I8862" s="89"/>
    </row>
    <row r="8863" spans="1:9">
      <c r="A8863" s="21"/>
      <c r="B8863"/>
      <c r="F8863" s="87"/>
      <c r="H8863" s="87"/>
      <c r="I8863" s="89"/>
    </row>
    <row r="8864" spans="1:9">
      <c r="A8864" s="21"/>
      <c r="B8864"/>
      <c r="F8864" s="87"/>
      <c r="H8864" s="87"/>
      <c r="I8864" s="89"/>
    </row>
    <row r="8865" spans="1:9">
      <c r="A8865" s="21"/>
      <c r="B8865"/>
      <c r="F8865" s="87"/>
      <c r="H8865" s="87"/>
      <c r="I8865" s="89"/>
    </row>
    <row r="8866" spans="1:9">
      <c r="A8866" s="21"/>
      <c r="B8866"/>
      <c r="F8866" s="87"/>
      <c r="H8866" s="87"/>
      <c r="I8866" s="89"/>
    </row>
    <row r="8867" spans="1:9">
      <c r="A8867" s="21"/>
      <c r="B8867"/>
      <c r="F8867" s="87"/>
      <c r="H8867" s="87"/>
      <c r="I8867" s="89"/>
    </row>
    <row r="8868" spans="1:9">
      <c r="A8868" s="21"/>
      <c r="B8868"/>
      <c r="F8868" s="87"/>
      <c r="H8868" s="87"/>
      <c r="I8868" s="89"/>
    </row>
    <row r="8869" spans="1:9">
      <c r="A8869" s="21"/>
      <c r="B8869"/>
      <c r="F8869" s="87"/>
      <c r="H8869" s="87"/>
      <c r="I8869" s="89"/>
    </row>
    <row r="8870" spans="1:9">
      <c r="A8870" s="21"/>
      <c r="B8870"/>
      <c r="F8870" s="87"/>
      <c r="H8870" s="87"/>
      <c r="I8870" s="89"/>
    </row>
    <row r="8871" spans="1:9">
      <c r="A8871" s="21"/>
      <c r="B8871"/>
      <c r="F8871" s="87"/>
      <c r="H8871" s="87"/>
      <c r="I8871" s="89"/>
    </row>
    <row r="8872" spans="1:9">
      <c r="A8872" s="21"/>
      <c r="B8872"/>
      <c r="F8872" s="87"/>
      <c r="H8872" s="87"/>
      <c r="I8872" s="89"/>
    </row>
    <row r="8873" spans="1:9">
      <c r="A8873" s="21"/>
      <c r="B8873"/>
      <c r="F8873" s="87"/>
      <c r="H8873" s="87"/>
      <c r="I8873" s="89"/>
    </row>
    <row r="8874" spans="1:9">
      <c r="A8874" s="21"/>
      <c r="B8874"/>
      <c r="F8874" s="87"/>
      <c r="H8874" s="87"/>
      <c r="I8874" s="89"/>
    </row>
    <row r="8875" spans="1:9">
      <c r="A8875" s="21"/>
      <c r="B8875"/>
      <c r="F8875" s="87"/>
      <c r="H8875" s="87"/>
      <c r="I8875" s="89"/>
    </row>
    <row r="8876" spans="1:9">
      <c r="A8876" s="21"/>
      <c r="B8876"/>
      <c r="F8876" s="87"/>
      <c r="H8876" s="87"/>
      <c r="I8876" s="89"/>
    </row>
    <row r="8877" spans="1:9">
      <c r="A8877" s="21"/>
      <c r="B8877"/>
      <c r="F8877" s="87"/>
      <c r="H8877" s="87"/>
      <c r="I8877" s="89"/>
    </row>
    <row r="8878" spans="1:9">
      <c r="A8878" s="21"/>
      <c r="B8878"/>
      <c r="F8878" s="87"/>
      <c r="H8878" s="87"/>
      <c r="I8878" s="89"/>
    </row>
    <row r="8879" spans="1:9">
      <c r="A8879" s="21"/>
      <c r="B8879"/>
      <c r="F8879" s="87"/>
      <c r="H8879" s="87"/>
      <c r="I8879" s="89"/>
    </row>
    <row r="8880" spans="1:9">
      <c r="A8880" s="21"/>
      <c r="B8880"/>
      <c r="F8880" s="87"/>
      <c r="H8880" s="87"/>
      <c r="I8880" s="89"/>
    </row>
    <row r="8881" spans="1:9">
      <c r="A8881" s="21"/>
      <c r="B8881"/>
      <c r="F8881" s="87"/>
      <c r="H8881" s="87"/>
      <c r="I8881" s="89"/>
    </row>
    <row r="8882" spans="1:9">
      <c r="A8882" s="21"/>
      <c r="B8882"/>
      <c r="F8882" s="87"/>
      <c r="H8882" s="87"/>
      <c r="I8882" s="89"/>
    </row>
    <row r="8883" spans="1:9">
      <c r="A8883" s="21"/>
      <c r="B8883"/>
      <c r="F8883" s="87"/>
      <c r="H8883" s="87"/>
      <c r="I8883" s="89"/>
    </row>
    <row r="8884" spans="1:9">
      <c r="A8884" s="21"/>
      <c r="B8884"/>
      <c r="F8884" s="87"/>
      <c r="H8884" s="87"/>
      <c r="I8884" s="89"/>
    </row>
    <row r="8885" spans="1:9">
      <c r="A8885" s="21"/>
      <c r="B8885"/>
      <c r="F8885" s="87"/>
      <c r="H8885" s="87"/>
      <c r="I8885" s="89"/>
    </row>
    <row r="8886" spans="1:9">
      <c r="A8886" s="21"/>
      <c r="B8886"/>
      <c r="F8886" s="87"/>
      <c r="H8886" s="87"/>
      <c r="I8886" s="89"/>
    </row>
    <row r="8887" spans="1:9">
      <c r="A8887" s="21"/>
      <c r="B8887"/>
      <c r="F8887" s="87"/>
      <c r="H8887" s="87"/>
      <c r="I8887" s="89"/>
    </row>
    <row r="8888" spans="1:9">
      <c r="A8888" s="21"/>
      <c r="B8888"/>
      <c r="F8888" s="87"/>
      <c r="H8888" s="87"/>
      <c r="I8888" s="89"/>
    </row>
    <row r="8889" spans="1:9">
      <c r="A8889" s="21"/>
      <c r="B8889"/>
      <c r="F8889" s="87"/>
      <c r="H8889" s="87"/>
      <c r="I8889" s="89"/>
    </row>
    <row r="8890" spans="1:9">
      <c r="A8890" s="21"/>
      <c r="B8890"/>
      <c r="F8890" s="87"/>
      <c r="H8890" s="87"/>
      <c r="I8890" s="89"/>
    </row>
    <row r="8891" spans="1:9">
      <c r="A8891" s="21"/>
      <c r="B8891"/>
      <c r="F8891" s="87"/>
      <c r="H8891" s="87"/>
      <c r="I8891" s="89"/>
    </row>
    <row r="8892" spans="1:9">
      <c r="A8892" s="21"/>
      <c r="B8892"/>
      <c r="F8892" s="87"/>
      <c r="H8892" s="87"/>
      <c r="I8892" s="89"/>
    </row>
    <row r="8893" spans="1:9">
      <c r="A8893" s="21"/>
      <c r="B8893"/>
      <c r="F8893" s="87"/>
      <c r="H8893" s="87"/>
      <c r="I8893" s="89"/>
    </row>
    <row r="8894" spans="1:9">
      <c r="A8894" s="21"/>
      <c r="B8894"/>
      <c r="F8894" s="87"/>
      <c r="H8894" s="87"/>
      <c r="I8894" s="89"/>
    </row>
    <row r="8895" spans="1:9">
      <c r="A8895" s="21"/>
      <c r="B8895"/>
      <c r="F8895" s="87"/>
      <c r="H8895" s="87"/>
      <c r="I8895" s="89"/>
    </row>
    <row r="8896" spans="1:9">
      <c r="A8896" s="21"/>
      <c r="B8896"/>
      <c r="F8896" s="87"/>
      <c r="H8896" s="87"/>
      <c r="I8896" s="89"/>
    </row>
    <row r="8897" spans="1:9">
      <c r="A8897" s="21"/>
      <c r="B8897"/>
      <c r="F8897" s="87"/>
      <c r="H8897" s="87"/>
      <c r="I8897" s="89"/>
    </row>
    <row r="8898" spans="1:9">
      <c r="A8898" s="21"/>
      <c r="B8898"/>
      <c r="F8898" s="87"/>
      <c r="H8898" s="87"/>
      <c r="I8898" s="89"/>
    </row>
    <row r="8899" spans="1:9">
      <c r="A8899" s="21"/>
      <c r="B8899"/>
      <c r="F8899" s="87"/>
      <c r="H8899" s="87"/>
      <c r="I8899" s="89"/>
    </row>
    <row r="8900" spans="1:9">
      <c r="A8900" s="21"/>
      <c r="B8900"/>
      <c r="F8900" s="87"/>
      <c r="H8900" s="87"/>
      <c r="I8900" s="89"/>
    </row>
    <row r="8901" spans="1:9">
      <c r="A8901" s="21"/>
      <c r="B8901"/>
      <c r="F8901" s="87"/>
      <c r="H8901" s="87"/>
      <c r="I8901" s="89"/>
    </row>
    <row r="8902" spans="1:9">
      <c r="A8902" s="21"/>
      <c r="B8902"/>
      <c r="F8902" s="87"/>
      <c r="H8902" s="87"/>
      <c r="I8902" s="89"/>
    </row>
    <row r="8903" spans="1:9">
      <c r="A8903" s="21"/>
      <c r="B8903"/>
      <c r="F8903" s="87"/>
      <c r="H8903" s="87"/>
      <c r="I8903" s="89"/>
    </row>
    <row r="8904" spans="1:9">
      <c r="A8904" s="21"/>
      <c r="B8904"/>
      <c r="F8904" s="87"/>
      <c r="H8904" s="87"/>
      <c r="I8904" s="89"/>
    </row>
    <row r="8905" spans="1:9">
      <c r="A8905" s="21"/>
      <c r="B8905"/>
      <c r="F8905" s="87"/>
      <c r="H8905" s="87"/>
      <c r="I8905" s="89"/>
    </row>
    <row r="8906" spans="1:9">
      <c r="A8906" s="21"/>
      <c r="B8906"/>
      <c r="F8906" s="87"/>
      <c r="H8906" s="87"/>
      <c r="I8906" s="89"/>
    </row>
    <row r="8907" spans="1:9">
      <c r="A8907" s="21"/>
      <c r="B8907"/>
      <c r="F8907" s="87"/>
      <c r="H8907" s="87"/>
      <c r="I8907" s="89"/>
    </row>
    <row r="8908" spans="1:9">
      <c r="A8908" s="21"/>
      <c r="B8908"/>
      <c r="F8908" s="87"/>
      <c r="H8908" s="87"/>
      <c r="I8908" s="89"/>
    </row>
    <row r="8909" spans="1:9">
      <c r="A8909" s="21"/>
      <c r="B8909"/>
      <c r="F8909" s="87"/>
      <c r="H8909" s="87"/>
      <c r="I8909" s="89"/>
    </row>
    <row r="8910" spans="1:9">
      <c r="A8910" s="21"/>
      <c r="B8910"/>
      <c r="F8910" s="87"/>
      <c r="H8910" s="87"/>
      <c r="I8910" s="89"/>
    </row>
    <row r="8911" spans="1:9">
      <c r="A8911" s="21"/>
      <c r="B8911"/>
      <c r="F8911" s="87"/>
      <c r="H8911" s="87"/>
      <c r="I8911" s="89"/>
    </row>
    <row r="8912" spans="1:9">
      <c r="A8912" s="21"/>
      <c r="B8912"/>
      <c r="F8912" s="87"/>
      <c r="H8912" s="87"/>
      <c r="I8912" s="89"/>
    </row>
    <row r="8913" spans="1:9">
      <c r="A8913" s="21"/>
      <c r="B8913"/>
      <c r="F8913" s="87"/>
      <c r="H8913" s="87"/>
      <c r="I8913" s="89"/>
    </row>
    <row r="8914" spans="1:9">
      <c r="A8914" s="21"/>
      <c r="B8914"/>
      <c r="F8914" s="87"/>
      <c r="H8914" s="87"/>
      <c r="I8914" s="89"/>
    </row>
    <row r="8915" spans="1:9">
      <c r="A8915" s="21"/>
      <c r="B8915"/>
      <c r="F8915" s="87"/>
      <c r="H8915" s="87"/>
      <c r="I8915" s="89"/>
    </row>
    <row r="8916" spans="1:9">
      <c r="A8916" s="21"/>
      <c r="B8916"/>
      <c r="F8916" s="87"/>
      <c r="H8916" s="87"/>
      <c r="I8916" s="89"/>
    </row>
    <row r="8917" spans="1:9">
      <c r="A8917" s="21"/>
      <c r="B8917"/>
      <c r="F8917" s="87"/>
      <c r="H8917" s="87"/>
      <c r="I8917" s="89"/>
    </row>
    <row r="8918" spans="1:9">
      <c r="A8918" s="21"/>
      <c r="B8918"/>
      <c r="F8918" s="87"/>
      <c r="H8918" s="87"/>
      <c r="I8918" s="89"/>
    </row>
    <row r="8919" spans="1:9">
      <c r="A8919" s="21"/>
      <c r="B8919"/>
      <c r="F8919" s="87"/>
      <c r="H8919" s="87"/>
      <c r="I8919" s="89"/>
    </row>
    <row r="8920" spans="1:9">
      <c r="A8920" s="21"/>
      <c r="B8920"/>
      <c r="F8920" s="87"/>
      <c r="H8920" s="87"/>
      <c r="I8920" s="89"/>
    </row>
    <row r="8921" spans="1:9">
      <c r="A8921" s="21"/>
      <c r="B8921"/>
      <c r="F8921" s="87"/>
      <c r="H8921" s="87"/>
      <c r="I8921" s="89"/>
    </row>
    <row r="8922" spans="1:9">
      <c r="A8922" s="21"/>
      <c r="B8922"/>
      <c r="F8922" s="87"/>
      <c r="H8922" s="87"/>
      <c r="I8922" s="89"/>
    </row>
    <row r="8923" spans="1:9">
      <c r="A8923" s="21"/>
      <c r="B8923"/>
      <c r="F8923" s="87"/>
      <c r="H8923" s="87"/>
      <c r="I8923" s="89"/>
    </row>
    <row r="8924" spans="1:9">
      <c r="A8924" s="21"/>
      <c r="B8924"/>
      <c r="F8924" s="87"/>
      <c r="H8924" s="87"/>
      <c r="I8924" s="89"/>
    </row>
    <row r="8925" spans="1:9">
      <c r="A8925" s="21"/>
      <c r="B8925"/>
      <c r="F8925" s="87"/>
      <c r="H8925" s="87"/>
      <c r="I8925" s="89"/>
    </row>
    <row r="8926" spans="1:9">
      <c r="A8926" s="21"/>
      <c r="B8926"/>
      <c r="F8926" s="87"/>
      <c r="H8926" s="87"/>
      <c r="I8926" s="89"/>
    </row>
    <row r="8927" spans="1:9">
      <c r="A8927" s="21"/>
      <c r="B8927"/>
      <c r="F8927" s="87"/>
      <c r="H8927" s="87"/>
      <c r="I8927" s="89"/>
    </row>
    <row r="8928" spans="1:9">
      <c r="A8928" s="21"/>
      <c r="B8928"/>
      <c r="F8928" s="87"/>
      <c r="H8928" s="87"/>
      <c r="I8928" s="89"/>
    </row>
    <row r="8929" spans="1:9">
      <c r="A8929" s="21"/>
      <c r="B8929"/>
      <c r="F8929" s="87"/>
      <c r="H8929" s="87"/>
      <c r="I8929" s="89"/>
    </row>
    <row r="8930" spans="1:9">
      <c r="A8930" s="21"/>
      <c r="B8930"/>
      <c r="F8930" s="87"/>
      <c r="H8930" s="87"/>
      <c r="I8930" s="89"/>
    </row>
    <row r="8931" spans="1:9">
      <c r="A8931" s="21"/>
      <c r="B8931"/>
      <c r="F8931" s="87"/>
      <c r="H8931" s="87"/>
      <c r="I8931" s="89"/>
    </row>
    <row r="8932" spans="1:9">
      <c r="A8932" s="21"/>
      <c r="B8932"/>
      <c r="F8932" s="87"/>
      <c r="H8932" s="87"/>
      <c r="I8932" s="89"/>
    </row>
    <row r="8933" spans="1:9">
      <c r="A8933" s="21"/>
      <c r="B8933"/>
      <c r="F8933" s="87"/>
      <c r="H8933" s="87"/>
      <c r="I8933" s="89"/>
    </row>
    <row r="8934" spans="1:9">
      <c r="A8934" s="21"/>
      <c r="B8934"/>
      <c r="F8934" s="87"/>
      <c r="H8934" s="87"/>
      <c r="I8934" s="89"/>
    </row>
    <row r="8935" spans="1:9">
      <c r="A8935" s="21"/>
      <c r="B8935"/>
      <c r="F8935" s="87"/>
      <c r="H8935" s="87"/>
      <c r="I8935" s="89"/>
    </row>
    <row r="8936" spans="1:9">
      <c r="A8936" s="21"/>
      <c r="B8936"/>
      <c r="F8936" s="87"/>
      <c r="H8936" s="87"/>
      <c r="I8936" s="89"/>
    </row>
    <row r="8937" spans="1:9">
      <c r="A8937" s="21"/>
      <c r="B8937"/>
      <c r="F8937" s="87"/>
      <c r="H8937" s="87"/>
      <c r="I8937" s="89"/>
    </row>
    <row r="8938" spans="1:9">
      <c r="A8938" s="21"/>
      <c r="B8938"/>
      <c r="F8938" s="87"/>
      <c r="H8938" s="87"/>
      <c r="I8938" s="89"/>
    </row>
    <row r="8939" spans="1:9">
      <c r="A8939" s="21"/>
      <c r="B8939"/>
      <c r="F8939" s="87"/>
      <c r="H8939" s="87"/>
      <c r="I8939" s="89"/>
    </row>
    <row r="8940" spans="1:9">
      <c r="A8940" s="21"/>
      <c r="B8940"/>
      <c r="F8940" s="87"/>
      <c r="H8940" s="87"/>
      <c r="I8940" s="89"/>
    </row>
    <row r="8941" spans="1:9">
      <c r="A8941" s="21"/>
      <c r="B8941"/>
      <c r="F8941" s="87"/>
      <c r="H8941" s="87"/>
      <c r="I8941" s="89"/>
    </row>
    <row r="8942" spans="1:9">
      <c r="A8942" s="21"/>
      <c r="B8942"/>
      <c r="F8942" s="87"/>
      <c r="H8942" s="87"/>
      <c r="I8942" s="89"/>
    </row>
    <row r="8943" spans="1:9">
      <c r="A8943" s="21"/>
      <c r="B8943"/>
      <c r="F8943" s="87"/>
      <c r="H8943" s="87"/>
      <c r="I8943" s="89"/>
    </row>
    <row r="8944" spans="1:9">
      <c r="A8944" s="21"/>
      <c r="B8944"/>
      <c r="F8944" s="87"/>
      <c r="H8944" s="87"/>
      <c r="I8944" s="89"/>
    </row>
    <row r="8945" spans="1:9">
      <c r="A8945" s="21"/>
      <c r="B8945"/>
      <c r="F8945" s="87"/>
      <c r="H8945" s="87"/>
      <c r="I8945" s="89"/>
    </row>
    <row r="8946" spans="1:9">
      <c r="A8946" s="21"/>
      <c r="B8946"/>
      <c r="F8946" s="87"/>
      <c r="H8946" s="87"/>
      <c r="I8946" s="89"/>
    </row>
    <row r="8947" spans="1:9">
      <c r="A8947" s="21"/>
      <c r="B8947"/>
      <c r="F8947" s="87"/>
      <c r="H8947" s="87"/>
      <c r="I8947" s="89"/>
    </row>
    <row r="8948" spans="1:9">
      <c r="A8948" s="21"/>
      <c r="B8948"/>
      <c r="F8948" s="87"/>
      <c r="H8948" s="87"/>
      <c r="I8948" s="89"/>
    </row>
    <row r="8949" spans="1:9">
      <c r="A8949" s="21"/>
      <c r="B8949"/>
      <c r="F8949" s="87"/>
      <c r="H8949" s="87"/>
      <c r="I8949" s="89"/>
    </row>
    <row r="8950" spans="1:9">
      <c r="A8950" s="21"/>
      <c r="B8950"/>
      <c r="F8950" s="87"/>
      <c r="H8950" s="87"/>
      <c r="I8950" s="89"/>
    </row>
    <row r="8951" spans="1:9">
      <c r="A8951" s="21"/>
      <c r="B8951"/>
      <c r="F8951" s="87"/>
      <c r="H8951" s="87"/>
      <c r="I8951" s="89"/>
    </row>
    <row r="8952" spans="1:9">
      <c r="A8952" s="21"/>
      <c r="B8952"/>
      <c r="F8952" s="87"/>
      <c r="H8952" s="87"/>
      <c r="I8952" s="89"/>
    </row>
    <row r="8953" spans="1:9">
      <c r="A8953" s="21"/>
      <c r="B8953"/>
      <c r="F8953" s="87"/>
      <c r="H8953" s="87"/>
      <c r="I8953" s="89"/>
    </row>
    <row r="8954" spans="1:9">
      <c r="A8954" s="21"/>
      <c r="B8954"/>
      <c r="F8954" s="87"/>
      <c r="H8954" s="87"/>
      <c r="I8954" s="89"/>
    </row>
    <row r="8955" spans="1:9">
      <c r="A8955" s="21"/>
      <c r="B8955"/>
      <c r="F8955" s="87"/>
      <c r="H8955" s="87"/>
      <c r="I8955" s="89"/>
    </row>
    <row r="8956" spans="1:9">
      <c r="A8956" s="21"/>
      <c r="B8956"/>
      <c r="F8956" s="87"/>
      <c r="H8956" s="87"/>
      <c r="I8956" s="89"/>
    </row>
    <row r="8957" spans="1:9">
      <c r="A8957" s="21"/>
      <c r="B8957"/>
      <c r="F8957" s="87"/>
      <c r="H8957" s="87"/>
      <c r="I8957" s="89"/>
    </row>
    <row r="8958" spans="1:9">
      <c r="A8958" s="21"/>
      <c r="B8958"/>
      <c r="F8958" s="87"/>
      <c r="H8958" s="87"/>
      <c r="I8958" s="89"/>
    </row>
    <row r="8959" spans="1:9">
      <c r="A8959" s="21"/>
      <c r="B8959"/>
      <c r="F8959" s="87"/>
      <c r="H8959" s="87"/>
      <c r="I8959" s="89"/>
    </row>
    <row r="8960" spans="1:9">
      <c r="A8960" s="21"/>
      <c r="B8960"/>
      <c r="F8960" s="87"/>
      <c r="H8960" s="87"/>
      <c r="I8960" s="89"/>
    </row>
    <row r="8961" spans="1:9">
      <c r="A8961" s="21"/>
      <c r="B8961"/>
      <c r="F8961" s="87"/>
      <c r="H8961" s="87"/>
      <c r="I8961" s="89"/>
    </row>
    <row r="8962" spans="1:9">
      <c r="A8962" s="21"/>
      <c r="B8962"/>
      <c r="F8962" s="87"/>
      <c r="H8962" s="87"/>
      <c r="I8962" s="89"/>
    </row>
    <row r="8963" spans="1:9">
      <c r="A8963" s="21"/>
      <c r="B8963"/>
      <c r="F8963" s="87"/>
      <c r="H8963" s="87"/>
      <c r="I8963" s="89"/>
    </row>
    <row r="8964" spans="1:9">
      <c r="A8964" s="21"/>
      <c r="B8964"/>
      <c r="F8964" s="87"/>
      <c r="H8964" s="87"/>
      <c r="I8964" s="89"/>
    </row>
    <row r="8965" spans="1:9">
      <c r="A8965" s="21"/>
      <c r="B8965"/>
      <c r="F8965" s="87"/>
      <c r="H8965" s="87"/>
      <c r="I8965" s="89"/>
    </row>
    <row r="8966" spans="1:9">
      <c r="A8966" s="21"/>
      <c r="B8966"/>
      <c r="F8966" s="87"/>
      <c r="H8966" s="87"/>
      <c r="I8966" s="89"/>
    </row>
    <row r="8967" spans="1:9">
      <c r="A8967" s="21"/>
      <c r="B8967"/>
      <c r="F8967" s="87"/>
      <c r="H8967" s="87"/>
      <c r="I8967" s="89"/>
    </row>
    <row r="8968" spans="1:9">
      <c r="A8968" s="21"/>
      <c r="B8968"/>
      <c r="F8968" s="87"/>
      <c r="H8968" s="87"/>
      <c r="I8968" s="89"/>
    </row>
    <row r="8969" spans="1:9">
      <c r="A8969" s="21"/>
      <c r="B8969"/>
      <c r="F8969" s="87"/>
      <c r="H8969" s="87"/>
      <c r="I8969" s="89"/>
    </row>
    <row r="8970" spans="1:9">
      <c r="A8970" s="21"/>
      <c r="B8970"/>
      <c r="F8970" s="87"/>
      <c r="H8970" s="87"/>
      <c r="I8970" s="89"/>
    </row>
    <row r="8971" spans="1:9">
      <c r="A8971" s="21"/>
      <c r="B8971"/>
      <c r="F8971" s="87"/>
      <c r="H8971" s="87"/>
      <c r="I8971" s="89"/>
    </row>
    <row r="8972" spans="1:9">
      <c r="A8972" s="21"/>
      <c r="B8972"/>
      <c r="F8972" s="87"/>
      <c r="H8972" s="87"/>
      <c r="I8972" s="89"/>
    </row>
    <row r="8973" spans="1:9">
      <c r="A8973" s="21"/>
      <c r="B8973"/>
      <c r="F8973" s="87"/>
      <c r="H8973" s="87"/>
      <c r="I8973" s="89"/>
    </row>
    <row r="8974" spans="1:9">
      <c r="A8974" s="21"/>
      <c r="B8974"/>
      <c r="F8974" s="87"/>
      <c r="H8974" s="87"/>
      <c r="I8974" s="89"/>
    </row>
    <row r="8975" spans="1:9">
      <c r="A8975" s="21"/>
      <c r="B8975"/>
      <c r="F8975" s="87"/>
      <c r="H8975" s="87"/>
      <c r="I8975" s="89"/>
    </row>
    <row r="8976" spans="1:9">
      <c r="A8976" s="21"/>
      <c r="B8976"/>
      <c r="F8976" s="87"/>
      <c r="H8976" s="87"/>
      <c r="I8976" s="89"/>
    </row>
    <row r="8977" spans="1:9">
      <c r="A8977" s="21"/>
      <c r="B8977"/>
      <c r="F8977" s="87"/>
      <c r="H8977" s="87"/>
      <c r="I8977" s="89"/>
    </row>
    <row r="8978" spans="1:9">
      <c r="A8978" s="21"/>
      <c r="B8978"/>
      <c r="F8978" s="87"/>
      <c r="H8978" s="87"/>
      <c r="I8978" s="89"/>
    </row>
    <row r="8979" spans="1:9">
      <c r="A8979" s="21"/>
      <c r="B8979"/>
      <c r="F8979" s="87"/>
      <c r="H8979" s="87"/>
      <c r="I8979" s="89"/>
    </row>
    <row r="8980" spans="1:9">
      <c r="A8980" s="21"/>
      <c r="B8980"/>
      <c r="F8980" s="87"/>
      <c r="H8980" s="87"/>
      <c r="I8980" s="89"/>
    </row>
    <row r="8981" spans="1:9">
      <c r="A8981" s="21"/>
      <c r="B8981"/>
      <c r="F8981" s="87"/>
      <c r="H8981" s="87"/>
      <c r="I8981" s="89"/>
    </row>
    <row r="8982" spans="1:9">
      <c r="A8982" s="21"/>
      <c r="B8982"/>
      <c r="F8982" s="87"/>
      <c r="H8982" s="87"/>
      <c r="I8982" s="89"/>
    </row>
    <row r="8983" spans="1:9">
      <c r="A8983" s="21"/>
      <c r="B8983"/>
      <c r="F8983" s="87"/>
      <c r="H8983" s="87"/>
      <c r="I8983" s="89"/>
    </row>
    <row r="8984" spans="1:9">
      <c r="A8984" s="21"/>
      <c r="B8984"/>
      <c r="F8984" s="87"/>
      <c r="H8984" s="87"/>
      <c r="I8984" s="89"/>
    </row>
    <row r="8985" spans="1:9">
      <c r="A8985" s="21"/>
      <c r="B8985"/>
      <c r="F8985" s="87"/>
      <c r="H8985" s="87"/>
      <c r="I8985" s="89"/>
    </row>
    <row r="8986" spans="1:9">
      <c r="A8986" s="21"/>
      <c r="B8986"/>
      <c r="F8986" s="87"/>
      <c r="H8986" s="87"/>
      <c r="I8986" s="89"/>
    </row>
    <row r="8987" spans="1:9">
      <c r="A8987" s="21"/>
      <c r="B8987"/>
      <c r="F8987" s="87"/>
      <c r="H8987" s="87"/>
      <c r="I8987" s="89"/>
    </row>
    <row r="8988" spans="1:9">
      <c r="A8988" s="21"/>
      <c r="B8988"/>
      <c r="F8988" s="87"/>
      <c r="H8988" s="87"/>
      <c r="I8988" s="89"/>
    </row>
    <row r="8989" spans="1:9">
      <c r="A8989" s="21"/>
      <c r="B8989"/>
      <c r="F8989" s="87"/>
      <c r="H8989" s="87"/>
      <c r="I8989" s="89"/>
    </row>
    <row r="8990" spans="1:9">
      <c r="A8990" s="21"/>
      <c r="B8990"/>
      <c r="F8990" s="87"/>
      <c r="H8990" s="87"/>
      <c r="I8990" s="89"/>
    </row>
    <row r="8991" spans="1:9">
      <c r="A8991" s="21"/>
      <c r="B8991"/>
      <c r="F8991" s="87"/>
      <c r="H8991" s="87"/>
      <c r="I8991" s="89"/>
    </row>
    <row r="8992" spans="1:9">
      <c r="A8992" s="21"/>
      <c r="B8992"/>
      <c r="F8992" s="87"/>
      <c r="H8992" s="87"/>
      <c r="I8992" s="89"/>
    </row>
    <row r="8993" spans="1:9">
      <c r="A8993" s="21"/>
      <c r="B8993"/>
      <c r="F8993" s="87"/>
      <c r="H8993" s="87"/>
      <c r="I8993" s="89"/>
    </row>
    <row r="8994" spans="1:9">
      <c r="A8994" s="21"/>
      <c r="B8994"/>
      <c r="F8994" s="87"/>
      <c r="H8994" s="87"/>
      <c r="I8994" s="89"/>
    </row>
    <row r="8995" spans="1:9">
      <c r="A8995" s="21"/>
      <c r="B8995"/>
      <c r="F8995" s="87"/>
      <c r="H8995" s="87"/>
      <c r="I8995" s="89"/>
    </row>
    <row r="8996" spans="1:9">
      <c r="A8996" s="21"/>
      <c r="B8996"/>
      <c r="F8996" s="87"/>
      <c r="H8996" s="87"/>
      <c r="I8996" s="89"/>
    </row>
    <row r="8997" spans="1:9">
      <c r="A8997" s="21"/>
      <c r="B8997"/>
      <c r="F8997" s="87"/>
      <c r="H8997" s="87"/>
      <c r="I8997" s="89"/>
    </row>
    <row r="8998" spans="1:9">
      <c r="A8998" s="21"/>
      <c r="B8998"/>
      <c r="F8998" s="87"/>
      <c r="H8998" s="87"/>
      <c r="I8998" s="89"/>
    </row>
    <row r="8999" spans="1:9">
      <c r="A8999" s="21"/>
      <c r="B8999"/>
      <c r="F8999" s="87"/>
      <c r="H8999" s="87"/>
      <c r="I8999" s="89"/>
    </row>
    <row r="9000" spans="1:9">
      <c r="A9000" s="21"/>
      <c r="B9000"/>
      <c r="F9000" s="87"/>
      <c r="H9000" s="87"/>
      <c r="I9000" s="89"/>
    </row>
    <row r="9001" spans="1:9">
      <c r="A9001" s="21"/>
      <c r="B9001"/>
      <c r="F9001" s="87"/>
      <c r="H9001" s="87"/>
      <c r="I9001" s="89"/>
    </row>
    <row r="9002" spans="1:9">
      <c r="A9002" s="21"/>
      <c r="B9002"/>
      <c r="F9002" s="87"/>
      <c r="H9002" s="87"/>
      <c r="I9002" s="89"/>
    </row>
    <row r="9003" spans="1:9">
      <c r="A9003" s="21"/>
      <c r="B9003"/>
      <c r="F9003" s="87"/>
      <c r="H9003" s="87"/>
      <c r="I9003" s="89"/>
    </row>
    <row r="9004" spans="1:9">
      <c r="A9004" s="21"/>
      <c r="B9004"/>
      <c r="F9004" s="87"/>
      <c r="H9004" s="87"/>
      <c r="I9004" s="89"/>
    </row>
    <row r="9005" spans="1:9">
      <c r="A9005" s="21"/>
      <c r="B9005"/>
      <c r="F9005" s="87"/>
      <c r="H9005" s="87"/>
      <c r="I9005" s="89"/>
    </row>
    <row r="9006" spans="1:9">
      <c r="A9006" s="21"/>
      <c r="B9006"/>
      <c r="F9006" s="87"/>
      <c r="H9006" s="87"/>
      <c r="I9006" s="89"/>
    </row>
    <row r="9007" spans="1:9">
      <c r="A9007" s="21"/>
      <c r="B9007"/>
      <c r="F9007" s="87"/>
      <c r="H9007" s="87"/>
      <c r="I9007" s="89"/>
    </row>
    <row r="9008" spans="1:9">
      <c r="A9008" s="21"/>
      <c r="B9008"/>
      <c r="F9008" s="87"/>
      <c r="H9008" s="87"/>
      <c r="I9008" s="89"/>
    </row>
    <row r="9009" spans="1:9">
      <c r="A9009" s="21"/>
      <c r="B9009"/>
      <c r="F9009" s="87"/>
      <c r="H9009" s="87"/>
      <c r="I9009" s="89"/>
    </row>
    <row r="9010" spans="1:9">
      <c r="A9010" s="21"/>
      <c r="B9010"/>
      <c r="F9010" s="87"/>
      <c r="H9010" s="87"/>
      <c r="I9010" s="89"/>
    </row>
    <row r="9011" spans="1:9">
      <c r="A9011" s="21"/>
      <c r="B9011"/>
      <c r="F9011" s="87"/>
      <c r="H9011" s="87"/>
      <c r="I9011" s="89"/>
    </row>
    <row r="9012" spans="1:9">
      <c r="A9012" s="21"/>
      <c r="B9012"/>
      <c r="F9012" s="87"/>
      <c r="H9012" s="87"/>
      <c r="I9012" s="89"/>
    </row>
    <row r="9013" spans="1:9">
      <c r="A9013" s="21"/>
      <c r="B9013"/>
      <c r="F9013" s="87"/>
      <c r="H9013" s="87"/>
      <c r="I9013" s="89"/>
    </row>
    <row r="9014" spans="1:9">
      <c r="A9014" s="21"/>
      <c r="B9014"/>
      <c r="F9014" s="87"/>
      <c r="H9014" s="87"/>
      <c r="I9014" s="89"/>
    </row>
    <row r="9015" spans="1:9">
      <c r="A9015" s="21"/>
      <c r="B9015"/>
      <c r="F9015" s="87"/>
      <c r="H9015" s="87"/>
      <c r="I9015" s="89"/>
    </row>
    <row r="9016" spans="1:9">
      <c r="A9016" s="21"/>
      <c r="B9016"/>
      <c r="F9016" s="87"/>
      <c r="H9016" s="87"/>
      <c r="I9016" s="89"/>
    </row>
    <row r="9017" spans="1:9">
      <c r="A9017" s="21"/>
      <c r="B9017"/>
      <c r="F9017" s="87"/>
      <c r="H9017" s="87"/>
      <c r="I9017" s="89"/>
    </row>
    <row r="9018" spans="1:9">
      <c r="A9018" s="21"/>
      <c r="B9018"/>
      <c r="F9018" s="87"/>
      <c r="H9018" s="87"/>
      <c r="I9018" s="89"/>
    </row>
    <row r="9019" spans="1:9">
      <c r="A9019" s="21"/>
      <c r="B9019"/>
      <c r="F9019" s="87"/>
      <c r="H9019" s="87"/>
      <c r="I9019" s="89"/>
    </row>
    <row r="9020" spans="1:9">
      <c r="A9020" s="21"/>
      <c r="B9020"/>
      <c r="F9020" s="87"/>
      <c r="H9020" s="87"/>
      <c r="I9020" s="89"/>
    </row>
    <row r="9021" spans="1:9">
      <c r="A9021" s="21"/>
      <c r="B9021"/>
      <c r="F9021" s="87"/>
      <c r="H9021" s="87"/>
      <c r="I9021" s="89"/>
    </row>
    <row r="9022" spans="1:9">
      <c r="A9022" s="21"/>
      <c r="B9022"/>
      <c r="F9022" s="87"/>
      <c r="H9022" s="87"/>
      <c r="I9022" s="89"/>
    </row>
    <row r="9023" spans="1:9">
      <c r="A9023" s="21"/>
      <c r="B9023"/>
      <c r="F9023" s="87"/>
      <c r="H9023" s="87"/>
      <c r="I9023" s="89"/>
    </row>
    <row r="9024" spans="1:9">
      <c r="A9024" s="21"/>
      <c r="B9024"/>
      <c r="F9024" s="87"/>
      <c r="H9024" s="87"/>
      <c r="I9024" s="89"/>
    </row>
    <row r="9025" spans="1:9">
      <c r="A9025" s="21"/>
      <c r="B9025"/>
      <c r="F9025" s="87"/>
      <c r="H9025" s="87"/>
      <c r="I9025" s="89"/>
    </row>
    <row r="9026" spans="1:9">
      <c r="A9026" s="21"/>
      <c r="B9026"/>
      <c r="F9026" s="87"/>
      <c r="H9026" s="87"/>
      <c r="I9026" s="89"/>
    </row>
    <row r="9027" spans="1:9">
      <c r="A9027" s="21"/>
      <c r="B9027"/>
      <c r="F9027" s="87"/>
      <c r="H9027" s="87"/>
      <c r="I9027" s="89"/>
    </row>
    <row r="9028" spans="1:9">
      <c r="A9028" s="21"/>
      <c r="B9028"/>
      <c r="F9028" s="87"/>
      <c r="H9028" s="87"/>
      <c r="I9028" s="89"/>
    </row>
    <row r="9029" spans="1:9">
      <c r="A9029" s="21"/>
      <c r="B9029"/>
      <c r="F9029" s="87"/>
      <c r="H9029" s="87"/>
      <c r="I9029" s="89"/>
    </row>
    <row r="9030" spans="1:9">
      <c r="A9030" s="21"/>
      <c r="B9030"/>
      <c r="F9030" s="87"/>
      <c r="H9030" s="87"/>
      <c r="I9030" s="89"/>
    </row>
    <row r="9031" spans="1:9">
      <c r="A9031" s="21"/>
      <c r="B9031"/>
      <c r="F9031" s="87"/>
      <c r="H9031" s="87"/>
      <c r="I9031" s="89"/>
    </row>
    <row r="9032" spans="1:9">
      <c r="A9032" s="21"/>
      <c r="B9032"/>
      <c r="F9032" s="87"/>
      <c r="H9032" s="87"/>
      <c r="I9032" s="89"/>
    </row>
    <row r="9033" spans="1:9">
      <c r="A9033" s="21"/>
      <c r="B9033"/>
      <c r="F9033" s="87"/>
      <c r="H9033" s="87"/>
      <c r="I9033" s="89"/>
    </row>
    <row r="9034" spans="1:9">
      <c r="A9034" s="21"/>
      <c r="B9034"/>
      <c r="F9034" s="87"/>
      <c r="H9034" s="87"/>
      <c r="I9034" s="89"/>
    </row>
    <row r="9035" spans="1:9">
      <c r="A9035" s="21"/>
      <c r="B9035"/>
      <c r="F9035" s="87"/>
      <c r="H9035" s="87"/>
      <c r="I9035" s="89"/>
    </row>
    <row r="9036" spans="1:9">
      <c r="A9036" s="21"/>
      <c r="B9036"/>
      <c r="F9036" s="87"/>
      <c r="H9036" s="87"/>
      <c r="I9036" s="89"/>
    </row>
    <row r="9037" spans="1:9">
      <c r="A9037" s="21"/>
      <c r="B9037"/>
      <c r="F9037" s="87"/>
      <c r="H9037" s="87"/>
      <c r="I9037" s="89"/>
    </row>
    <row r="9038" spans="1:9">
      <c r="A9038" s="21"/>
      <c r="B9038"/>
      <c r="F9038" s="87"/>
      <c r="H9038" s="87"/>
      <c r="I9038" s="89"/>
    </row>
    <row r="9039" spans="1:9">
      <c r="A9039" s="21"/>
      <c r="B9039"/>
      <c r="F9039" s="87"/>
      <c r="H9039" s="87"/>
      <c r="I9039" s="89"/>
    </row>
    <row r="9040" spans="1:9">
      <c r="A9040" s="21"/>
      <c r="B9040"/>
      <c r="F9040" s="87"/>
      <c r="H9040" s="87"/>
      <c r="I9040" s="89"/>
    </row>
    <row r="9041" spans="1:9">
      <c r="A9041" s="21"/>
      <c r="B9041"/>
      <c r="F9041" s="87"/>
      <c r="H9041" s="87"/>
      <c r="I9041" s="89"/>
    </row>
    <row r="9042" spans="1:9">
      <c r="A9042" s="21"/>
      <c r="B9042"/>
      <c r="F9042" s="87"/>
      <c r="H9042" s="87"/>
      <c r="I9042" s="89"/>
    </row>
    <row r="9043" spans="1:9">
      <c r="A9043" s="21"/>
      <c r="B9043"/>
      <c r="F9043" s="87"/>
      <c r="H9043" s="87"/>
      <c r="I9043" s="89"/>
    </row>
    <row r="9044" spans="1:9">
      <c r="A9044" s="21"/>
      <c r="B9044"/>
      <c r="F9044" s="87"/>
      <c r="H9044" s="87"/>
      <c r="I9044" s="89"/>
    </row>
    <row r="9045" spans="1:9">
      <c r="A9045" s="21"/>
      <c r="B9045"/>
      <c r="F9045" s="87"/>
      <c r="H9045" s="87"/>
      <c r="I9045" s="89"/>
    </row>
    <row r="9046" spans="1:9">
      <c r="A9046" s="21"/>
      <c r="B9046"/>
      <c r="F9046" s="87"/>
      <c r="H9046" s="87"/>
      <c r="I9046" s="89"/>
    </row>
    <row r="9047" spans="1:9">
      <c r="A9047" s="21"/>
      <c r="B9047"/>
      <c r="F9047" s="87"/>
      <c r="H9047" s="87"/>
      <c r="I9047" s="89"/>
    </row>
    <row r="9048" spans="1:9">
      <c r="A9048" s="21"/>
      <c r="B9048"/>
      <c r="F9048" s="87"/>
      <c r="H9048" s="87"/>
      <c r="I9048" s="89"/>
    </row>
    <row r="9049" spans="1:9">
      <c r="A9049" s="21"/>
      <c r="B9049"/>
      <c r="F9049" s="87"/>
      <c r="H9049" s="87"/>
      <c r="I9049" s="89"/>
    </row>
    <row r="9050" spans="1:9">
      <c r="A9050" s="21"/>
      <c r="B9050"/>
      <c r="F9050" s="87"/>
      <c r="H9050" s="87"/>
      <c r="I9050" s="89"/>
    </row>
    <row r="9051" spans="1:9">
      <c r="A9051" s="21"/>
      <c r="B9051"/>
      <c r="F9051" s="87"/>
      <c r="H9051" s="87"/>
      <c r="I9051" s="89"/>
    </row>
    <row r="9052" spans="1:9">
      <c r="A9052" s="21"/>
      <c r="B9052"/>
      <c r="F9052" s="87"/>
      <c r="H9052" s="87"/>
      <c r="I9052" s="89"/>
    </row>
    <row r="9053" spans="1:9">
      <c r="A9053" s="21"/>
      <c r="B9053"/>
      <c r="F9053" s="87"/>
      <c r="H9053" s="87"/>
      <c r="I9053" s="89"/>
    </row>
    <row r="9054" spans="1:9">
      <c r="A9054" s="21"/>
      <c r="B9054"/>
      <c r="F9054" s="87"/>
      <c r="H9054" s="87"/>
      <c r="I9054" s="89"/>
    </row>
    <row r="9055" spans="1:9">
      <c r="A9055" s="21"/>
      <c r="B9055"/>
      <c r="F9055" s="87"/>
      <c r="H9055" s="87"/>
      <c r="I9055" s="89"/>
    </row>
    <row r="9056" spans="1:9">
      <c r="A9056" s="21"/>
      <c r="B9056"/>
      <c r="F9056" s="87"/>
      <c r="H9056" s="87"/>
      <c r="I9056" s="89"/>
    </row>
    <row r="9057" spans="1:9">
      <c r="A9057" s="21"/>
      <c r="B9057"/>
      <c r="F9057" s="87"/>
      <c r="H9057" s="87"/>
      <c r="I9057" s="89"/>
    </row>
    <row r="9058" spans="1:9">
      <c r="A9058" s="21"/>
      <c r="B9058"/>
      <c r="F9058" s="87"/>
      <c r="H9058" s="87"/>
      <c r="I9058" s="89"/>
    </row>
    <row r="9059" spans="1:9">
      <c r="A9059" s="21"/>
      <c r="B9059"/>
      <c r="F9059" s="87"/>
      <c r="H9059" s="87"/>
      <c r="I9059" s="89"/>
    </row>
    <row r="9060" spans="1:9">
      <c r="A9060" s="21"/>
      <c r="B9060"/>
      <c r="F9060" s="87"/>
      <c r="H9060" s="87"/>
      <c r="I9060" s="89"/>
    </row>
    <row r="9061" spans="1:9">
      <c r="A9061" s="21"/>
      <c r="B9061"/>
      <c r="F9061" s="87"/>
      <c r="H9061" s="87"/>
      <c r="I9061" s="89"/>
    </row>
    <row r="9062" spans="1:9">
      <c r="A9062" s="21"/>
      <c r="B9062"/>
      <c r="F9062" s="87"/>
      <c r="H9062" s="87"/>
      <c r="I9062" s="89"/>
    </row>
    <row r="9063" spans="1:9">
      <c r="A9063" s="21"/>
      <c r="B9063"/>
      <c r="F9063" s="87"/>
      <c r="H9063" s="87"/>
      <c r="I9063" s="89"/>
    </row>
    <row r="9064" spans="1:9">
      <c r="A9064" s="21"/>
      <c r="B9064"/>
      <c r="F9064" s="87"/>
      <c r="H9064" s="87"/>
      <c r="I9064" s="89"/>
    </row>
    <row r="9065" spans="1:9">
      <c r="A9065" s="21"/>
      <c r="B9065"/>
      <c r="F9065" s="87"/>
      <c r="H9065" s="87"/>
      <c r="I9065" s="89"/>
    </row>
    <row r="9066" spans="1:9">
      <c r="A9066" s="21"/>
      <c r="B9066"/>
      <c r="F9066" s="87"/>
      <c r="H9066" s="87"/>
      <c r="I9066" s="89"/>
    </row>
    <row r="9067" spans="1:9">
      <c r="A9067" s="21"/>
      <c r="B9067"/>
      <c r="F9067" s="87"/>
      <c r="H9067" s="87"/>
      <c r="I9067" s="89"/>
    </row>
    <row r="9068" spans="1:9">
      <c r="A9068" s="21"/>
      <c r="B9068"/>
      <c r="F9068" s="87"/>
      <c r="H9068" s="87"/>
      <c r="I9068" s="89"/>
    </row>
    <row r="9069" spans="1:9">
      <c r="A9069" s="21"/>
      <c r="B9069"/>
      <c r="F9069" s="87"/>
      <c r="H9069" s="87"/>
      <c r="I9069" s="89"/>
    </row>
    <row r="9070" spans="1:9">
      <c r="A9070" s="21"/>
      <c r="B9070"/>
      <c r="F9070" s="87"/>
      <c r="H9070" s="87"/>
      <c r="I9070" s="89"/>
    </row>
    <row r="9071" spans="1:9">
      <c r="A9071" s="21"/>
      <c r="B9071"/>
      <c r="F9071" s="87"/>
      <c r="H9071" s="87"/>
      <c r="I9071" s="89"/>
    </row>
    <row r="9072" spans="1:9">
      <c r="A9072" s="21"/>
      <c r="B9072"/>
      <c r="F9072" s="87"/>
      <c r="H9072" s="87"/>
      <c r="I9072" s="89"/>
    </row>
    <row r="9073" spans="1:9">
      <c r="A9073" s="21"/>
      <c r="B9073"/>
      <c r="F9073" s="87"/>
      <c r="H9073" s="87"/>
      <c r="I9073" s="89"/>
    </row>
    <row r="9074" spans="1:9">
      <c r="A9074" s="21"/>
      <c r="B9074"/>
      <c r="F9074" s="87"/>
      <c r="H9074" s="87"/>
      <c r="I9074" s="89"/>
    </row>
    <row r="9075" spans="1:9">
      <c r="A9075" s="21"/>
      <c r="B9075"/>
      <c r="F9075" s="87"/>
      <c r="H9075" s="87"/>
      <c r="I9075" s="89"/>
    </row>
    <row r="9076" spans="1:9">
      <c r="A9076" s="21"/>
      <c r="B9076"/>
      <c r="F9076" s="87"/>
      <c r="H9076" s="87"/>
      <c r="I9076" s="89"/>
    </row>
    <row r="9077" spans="1:9">
      <c r="A9077" s="21"/>
      <c r="B9077"/>
      <c r="F9077" s="87"/>
      <c r="H9077" s="87"/>
      <c r="I9077" s="89"/>
    </row>
    <row r="9078" spans="1:9">
      <c r="A9078" s="21"/>
      <c r="B9078"/>
      <c r="F9078" s="87"/>
      <c r="H9078" s="87"/>
      <c r="I9078" s="89"/>
    </row>
    <row r="9079" spans="1:9">
      <c r="A9079" s="21"/>
      <c r="B9079"/>
      <c r="F9079" s="87"/>
      <c r="H9079" s="87"/>
      <c r="I9079" s="89"/>
    </row>
    <row r="9080" spans="1:9">
      <c r="A9080" s="21"/>
      <c r="B9080"/>
      <c r="F9080" s="87"/>
      <c r="H9080" s="87"/>
      <c r="I9080" s="89"/>
    </row>
    <row r="9081" spans="1:9">
      <c r="A9081" s="21"/>
      <c r="B9081"/>
      <c r="F9081" s="87"/>
      <c r="H9081" s="87"/>
      <c r="I9081" s="89"/>
    </row>
    <row r="9082" spans="1:9">
      <c r="A9082" s="21"/>
      <c r="B9082"/>
      <c r="F9082" s="87"/>
      <c r="H9082" s="87"/>
      <c r="I9082" s="89"/>
    </row>
    <row r="9083" spans="1:9">
      <c r="A9083" s="21"/>
      <c r="B9083"/>
      <c r="F9083" s="87"/>
      <c r="H9083" s="87"/>
      <c r="I9083" s="89"/>
    </row>
    <row r="9084" spans="1:9">
      <c r="A9084" s="21"/>
      <c r="B9084"/>
      <c r="F9084" s="87"/>
      <c r="H9084" s="87"/>
      <c r="I9084" s="89"/>
    </row>
    <row r="9085" spans="1:9">
      <c r="A9085" s="21"/>
      <c r="B9085"/>
      <c r="F9085" s="87"/>
      <c r="H9085" s="87"/>
      <c r="I9085" s="89"/>
    </row>
    <row r="9086" spans="1:9">
      <c r="A9086" s="21"/>
      <c r="B9086"/>
      <c r="F9086" s="87"/>
      <c r="H9086" s="87"/>
      <c r="I9086" s="89"/>
    </row>
    <row r="9087" spans="1:9">
      <c r="A9087" s="21"/>
      <c r="B9087"/>
      <c r="F9087" s="87"/>
      <c r="H9087" s="87"/>
      <c r="I9087" s="89"/>
    </row>
    <row r="9088" spans="1:9">
      <c r="A9088" s="21"/>
      <c r="B9088"/>
      <c r="F9088" s="87"/>
      <c r="H9088" s="87"/>
      <c r="I9088" s="89"/>
    </row>
    <row r="9089" spans="1:9">
      <c r="A9089" s="21"/>
      <c r="B9089"/>
      <c r="F9089" s="87"/>
      <c r="H9089" s="87"/>
      <c r="I9089" s="89"/>
    </row>
    <row r="9090" spans="1:9">
      <c r="A9090" s="21"/>
      <c r="B9090"/>
      <c r="F9090" s="87"/>
      <c r="H9090" s="87"/>
      <c r="I9090" s="89"/>
    </row>
    <row r="9091" spans="1:9">
      <c r="A9091" s="21"/>
      <c r="B9091"/>
      <c r="F9091" s="87"/>
      <c r="H9091" s="87"/>
      <c r="I9091" s="89"/>
    </row>
    <row r="9092" spans="1:9">
      <c r="A9092" s="21"/>
      <c r="B9092"/>
      <c r="F9092" s="87"/>
      <c r="H9092" s="87"/>
      <c r="I9092" s="89"/>
    </row>
    <row r="9093" spans="1:9">
      <c r="A9093" s="21"/>
      <c r="B9093"/>
      <c r="F9093" s="87"/>
      <c r="H9093" s="87"/>
      <c r="I9093" s="89"/>
    </row>
    <row r="9094" spans="1:9">
      <c r="A9094" s="21"/>
      <c r="B9094"/>
      <c r="F9094" s="87"/>
      <c r="H9094" s="87"/>
      <c r="I9094" s="89"/>
    </row>
    <row r="9095" spans="1:9">
      <c r="A9095" s="21"/>
      <c r="B9095"/>
      <c r="F9095" s="87"/>
      <c r="H9095" s="87"/>
      <c r="I9095" s="89"/>
    </row>
    <row r="9096" spans="1:9">
      <c r="A9096" s="21"/>
      <c r="B9096"/>
      <c r="F9096" s="87"/>
      <c r="H9096" s="87"/>
      <c r="I9096" s="89"/>
    </row>
    <row r="9097" spans="1:9">
      <c r="A9097" s="21"/>
      <c r="B9097"/>
      <c r="F9097" s="87"/>
      <c r="H9097" s="87"/>
      <c r="I9097" s="89"/>
    </row>
    <row r="9098" spans="1:9">
      <c r="A9098" s="21"/>
      <c r="B9098"/>
      <c r="F9098" s="87"/>
      <c r="H9098" s="87"/>
      <c r="I9098" s="89"/>
    </row>
    <row r="9099" spans="1:9">
      <c r="A9099" s="21"/>
      <c r="B9099"/>
      <c r="F9099" s="87"/>
      <c r="H9099" s="87"/>
      <c r="I9099" s="89"/>
    </row>
    <row r="9100" spans="1:9">
      <c r="A9100" s="21"/>
      <c r="B9100"/>
      <c r="F9100" s="87"/>
      <c r="H9100" s="87"/>
      <c r="I9100" s="89"/>
    </row>
    <row r="9101" spans="1:9">
      <c r="A9101" s="21"/>
      <c r="B9101"/>
      <c r="F9101" s="87"/>
      <c r="H9101" s="87"/>
      <c r="I9101" s="89"/>
    </row>
    <row r="9102" spans="1:9">
      <c r="A9102" s="21"/>
      <c r="B9102"/>
      <c r="F9102" s="87"/>
      <c r="H9102" s="87"/>
      <c r="I9102" s="89"/>
    </row>
    <row r="9103" spans="1:9">
      <c r="A9103" s="21"/>
      <c r="B9103"/>
      <c r="F9103" s="87"/>
      <c r="H9103" s="87"/>
      <c r="I9103" s="89"/>
    </row>
    <row r="9104" spans="1:9">
      <c r="A9104" s="21"/>
      <c r="B9104"/>
      <c r="F9104" s="87"/>
      <c r="H9104" s="87"/>
      <c r="I9104" s="89"/>
    </row>
    <row r="9105" spans="1:9">
      <c r="A9105" s="21"/>
      <c r="B9105"/>
      <c r="F9105" s="87"/>
      <c r="H9105" s="87"/>
      <c r="I9105" s="89"/>
    </row>
    <row r="9106" spans="1:9">
      <c r="A9106" s="21"/>
      <c r="B9106"/>
      <c r="F9106" s="87"/>
      <c r="H9106" s="87"/>
      <c r="I9106" s="89"/>
    </row>
    <row r="9107" spans="1:9">
      <c r="A9107" s="21"/>
      <c r="B9107"/>
      <c r="F9107" s="87"/>
      <c r="H9107" s="87"/>
      <c r="I9107" s="89"/>
    </row>
    <row r="9108" spans="1:9">
      <c r="A9108" s="21"/>
      <c r="B9108"/>
      <c r="F9108" s="87"/>
      <c r="H9108" s="87"/>
      <c r="I9108" s="89"/>
    </row>
    <row r="9109" spans="1:9">
      <c r="A9109" s="21"/>
      <c r="B9109"/>
      <c r="F9109" s="87"/>
      <c r="H9109" s="87"/>
      <c r="I9109" s="89"/>
    </row>
    <row r="9110" spans="1:9">
      <c r="A9110" s="21"/>
      <c r="B9110"/>
      <c r="F9110" s="87"/>
      <c r="H9110" s="87"/>
      <c r="I9110" s="89"/>
    </row>
    <row r="9111" spans="1:9">
      <c r="A9111" s="21"/>
      <c r="B9111"/>
      <c r="F9111" s="87"/>
      <c r="H9111" s="87"/>
      <c r="I9111" s="89"/>
    </row>
    <row r="9112" spans="1:9">
      <c r="A9112" s="21"/>
      <c r="B9112"/>
      <c r="F9112" s="87"/>
      <c r="H9112" s="87"/>
      <c r="I9112" s="89"/>
    </row>
    <row r="9113" spans="1:9">
      <c r="A9113" s="21"/>
      <c r="B9113"/>
      <c r="F9113" s="87"/>
      <c r="H9113" s="87"/>
      <c r="I9113" s="89"/>
    </row>
    <row r="9114" spans="1:9">
      <c r="A9114" s="21"/>
      <c r="B9114"/>
      <c r="F9114" s="87"/>
      <c r="H9114" s="87"/>
      <c r="I9114" s="89"/>
    </row>
    <row r="9115" spans="1:9">
      <c r="A9115" s="21"/>
      <c r="B9115"/>
      <c r="F9115" s="87"/>
      <c r="H9115" s="87"/>
      <c r="I9115" s="89"/>
    </row>
    <row r="9116" spans="1:9">
      <c r="A9116" s="21"/>
      <c r="B9116"/>
      <c r="F9116" s="87"/>
      <c r="H9116" s="87"/>
      <c r="I9116" s="89"/>
    </row>
    <row r="9117" spans="1:9">
      <c r="A9117" s="21"/>
      <c r="B9117"/>
      <c r="F9117" s="87"/>
      <c r="H9117" s="87"/>
      <c r="I9117" s="89"/>
    </row>
    <row r="9118" spans="1:9">
      <c r="A9118" s="21"/>
      <c r="B9118"/>
      <c r="F9118" s="87"/>
      <c r="H9118" s="87"/>
      <c r="I9118" s="89"/>
    </row>
    <row r="9119" spans="1:9">
      <c r="A9119" s="21"/>
      <c r="B9119"/>
      <c r="F9119" s="87"/>
      <c r="H9119" s="87"/>
      <c r="I9119" s="89"/>
    </row>
    <row r="9120" spans="1:9">
      <c r="A9120" s="21"/>
      <c r="B9120"/>
      <c r="F9120" s="87"/>
      <c r="H9120" s="87"/>
      <c r="I9120" s="89"/>
    </row>
    <row r="9121" spans="1:9">
      <c r="A9121" s="21"/>
      <c r="B9121"/>
      <c r="F9121" s="87"/>
      <c r="H9121" s="87"/>
      <c r="I9121" s="89"/>
    </row>
    <row r="9122" spans="1:9">
      <c r="A9122" s="21"/>
      <c r="B9122"/>
      <c r="F9122" s="87"/>
      <c r="H9122" s="87"/>
      <c r="I9122" s="89"/>
    </row>
    <row r="9123" spans="1:9">
      <c r="A9123" s="21"/>
      <c r="B9123"/>
      <c r="F9123" s="87"/>
      <c r="H9123" s="87"/>
      <c r="I9123" s="89"/>
    </row>
    <row r="9124" spans="1:9">
      <c r="A9124" s="21"/>
      <c r="B9124"/>
      <c r="F9124" s="87"/>
      <c r="H9124" s="87"/>
      <c r="I9124" s="89"/>
    </row>
    <row r="9125" spans="1:9">
      <c r="A9125" s="21"/>
      <c r="B9125"/>
      <c r="F9125" s="87"/>
      <c r="H9125" s="87"/>
      <c r="I9125" s="89"/>
    </row>
    <row r="9126" spans="1:9">
      <c r="A9126" s="21"/>
      <c r="B9126"/>
      <c r="F9126" s="87"/>
      <c r="H9126" s="87"/>
      <c r="I9126" s="89"/>
    </row>
    <row r="9127" spans="1:9">
      <c r="A9127" s="21"/>
      <c r="B9127"/>
      <c r="F9127" s="87"/>
      <c r="H9127" s="87"/>
      <c r="I9127" s="89"/>
    </row>
    <row r="9128" spans="1:9">
      <c r="A9128" s="21"/>
      <c r="B9128"/>
      <c r="F9128" s="87"/>
      <c r="H9128" s="87"/>
      <c r="I9128" s="89"/>
    </row>
    <row r="9129" spans="1:9">
      <c r="A9129" s="21"/>
      <c r="B9129"/>
      <c r="F9129" s="87"/>
      <c r="H9129" s="87"/>
      <c r="I9129" s="89"/>
    </row>
    <row r="9130" spans="1:9">
      <c r="A9130" s="21"/>
      <c r="B9130"/>
      <c r="F9130" s="87"/>
      <c r="H9130" s="87"/>
      <c r="I9130" s="89"/>
    </row>
    <row r="9131" spans="1:9">
      <c r="A9131" s="21"/>
      <c r="B9131"/>
      <c r="F9131" s="87"/>
      <c r="H9131" s="87"/>
      <c r="I9131" s="89"/>
    </row>
    <row r="9132" spans="1:9">
      <c r="A9132" s="21"/>
      <c r="B9132"/>
      <c r="F9132" s="87"/>
      <c r="H9132" s="87"/>
      <c r="I9132" s="89"/>
    </row>
    <row r="9133" spans="1:9">
      <c r="A9133" s="21"/>
      <c r="B9133"/>
      <c r="F9133" s="87"/>
      <c r="H9133" s="87"/>
      <c r="I9133" s="89"/>
    </row>
    <row r="9134" spans="1:9">
      <c r="A9134" s="21"/>
      <c r="B9134"/>
      <c r="F9134" s="87"/>
      <c r="H9134" s="87"/>
      <c r="I9134" s="89"/>
    </row>
    <row r="9135" spans="1:9">
      <c r="A9135" s="21"/>
      <c r="B9135"/>
      <c r="F9135" s="87"/>
      <c r="H9135" s="87"/>
      <c r="I9135" s="89"/>
    </row>
    <row r="9136" spans="1:9">
      <c r="A9136" s="21"/>
      <c r="B9136"/>
      <c r="F9136" s="87"/>
      <c r="H9136" s="87"/>
      <c r="I9136" s="89"/>
    </row>
    <row r="9137" spans="1:9">
      <c r="A9137" s="21"/>
      <c r="B9137"/>
      <c r="F9137" s="87"/>
      <c r="H9137" s="87"/>
      <c r="I9137" s="89"/>
    </row>
    <row r="9138" spans="1:9">
      <c r="A9138" s="21"/>
      <c r="B9138"/>
      <c r="F9138" s="87"/>
      <c r="H9138" s="87"/>
      <c r="I9138" s="89"/>
    </row>
    <row r="9139" spans="1:9">
      <c r="A9139" s="21"/>
      <c r="B9139"/>
      <c r="F9139" s="87"/>
      <c r="H9139" s="87"/>
      <c r="I9139" s="89"/>
    </row>
    <row r="9140" spans="1:9">
      <c r="A9140" s="21"/>
      <c r="B9140"/>
      <c r="F9140" s="87"/>
      <c r="H9140" s="87"/>
      <c r="I9140" s="89"/>
    </row>
    <row r="9141" spans="1:9">
      <c r="A9141" s="21"/>
      <c r="B9141"/>
      <c r="F9141" s="87"/>
      <c r="H9141" s="87"/>
      <c r="I9141" s="89"/>
    </row>
    <row r="9142" spans="1:9">
      <c r="A9142" s="21"/>
      <c r="B9142"/>
      <c r="F9142" s="87"/>
      <c r="H9142" s="87"/>
      <c r="I9142" s="89"/>
    </row>
    <row r="9143" spans="1:9">
      <c r="A9143" s="21"/>
      <c r="B9143"/>
      <c r="F9143" s="87"/>
      <c r="H9143" s="87"/>
      <c r="I9143" s="89"/>
    </row>
    <row r="9144" spans="1:9">
      <c r="A9144" s="21"/>
      <c r="B9144"/>
      <c r="F9144" s="87"/>
      <c r="H9144" s="87"/>
      <c r="I9144" s="89"/>
    </row>
    <row r="9145" spans="1:9">
      <c r="A9145" s="21"/>
      <c r="B9145"/>
      <c r="F9145" s="87"/>
      <c r="H9145" s="87"/>
      <c r="I9145" s="89"/>
    </row>
    <row r="9146" spans="1:9">
      <c r="A9146" s="21"/>
      <c r="B9146"/>
      <c r="F9146" s="87"/>
      <c r="H9146" s="87"/>
      <c r="I9146" s="89"/>
    </row>
    <row r="9147" spans="1:9">
      <c r="A9147" s="21"/>
      <c r="B9147"/>
      <c r="F9147" s="87"/>
      <c r="H9147" s="87"/>
      <c r="I9147" s="89"/>
    </row>
    <row r="9148" spans="1:9">
      <c r="A9148" s="21"/>
      <c r="B9148"/>
      <c r="F9148" s="87"/>
      <c r="H9148" s="87"/>
      <c r="I9148" s="89"/>
    </row>
    <row r="9149" spans="1:9">
      <c r="A9149" s="21"/>
      <c r="B9149"/>
      <c r="F9149" s="87"/>
      <c r="H9149" s="87"/>
      <c r="I9149" s="89"/>
    </row>
    <row r="9150" spans="1:9">
      <c r="A9150" s="21"/>
      <c r="B9150"/>
      <c r="F9150" s="87"/>
      <c r="H9150" s="87"/>
      <c r="I9150" s="89"/>
    </row>
    <row r="9151" spans="1:9">
      <c r="A9151" s="21"/>
      <c r="B9151"/>
      <c r="F9151" s="87"/>
      <c r="H9151" s="87"/>
      <c r="I9151" s="89"/>
    </row>
    <row r="9152" spans="1:9">
      <c r="A9152" s="21"/>
      <c r="B9152"/>
      <c r="F9152" s="87"/>
      <c r="H9152" s="87"/>
      <c r="I9152" s="89"/>
    </row>
    <row r="9153" spans="1:9">
      <c r="A9153" s="21"/>
      <c r="B9153"/>
      <c r="F9153" s="87"/>
      <c r="H9153" s="87"/>
      <c r="I9153" s="89"/>
    </row>
    <row r="9154" spans="1:9">
      <c r="A9154" s="21"/>
      <c r="B9154"/>
      <c r="F9154" s="87"/>
      <c r="H9154" s="87"/>
      <c r="I9154" s="89"/>
    </row>
    <row r="9155" spans="1:9">
      <c r="A9155" s="21"/>
      <c r="B9155"/>
      <c r="F9155" s="87"/>
      <c r="H9155" s="87"/>
      <c r="I9155" s="89"/>
    </row>
    <row r="9156" spans="1:9">
      <c r="A9156" s="21"/>
      <c r="B9156"/>
      <c r="F9156" s="87"/>
      <c r="H9156" s="87"/>
      <c r="I9156" s="89"/>
    </row>
    <row r="9157" spans="1:9">
      <c r="A9157" s="21"/>
      <c r="B9157"/>
      <c r="F9157" s="87"/>
      <c r="H9157" s="87"/>
      <c r="I9157" s="89"/>
    </row>
    <row r="9158" spans="1:9">
      <c r="A9158" s="21"/>
      <c r="B9158"/>
      <c r="F9158" s="87"/>
      <c r="H9158" s="87"/>
      <c r="I9158" s="89"/>
    </row>
    <row r="9159" spans="1:9">
      <c r="A9159" s="21"/>
      <c r="B9159"/>
      <c r="F9159" s="87"/>
      <c r="H9159" s="87"/>
      <c r="I9159" s="89"/>
    </row>
    <row r="9160" spans="1:9">
      <c r="A9160" s="21"/>
      <c r="B9160"/>
      <c r="F9160" s="87"/>
      <c r="H9160" s="87"/>
      <c r="I9160" s="89"/>
    </row>
    <row r="9161" spans="1:9">
      <c r="A9161" s="21"/>
      <c r="B9161"/>
      <c r="F9161" s="87"/>
      <c r="H9161" s="87"/>
      <c r="I9161" s="89"/>
    </row>
    <row r="9162" spans="1:9">
      <c r="A9162" s="21"/>
      <c r="B9162"/>
      <c r="F9162" s="87"/>
      <c r="H9162" s="87"/>
      <c r="I9162" s="89"/>
    </row>
    <row r="9163" spans="1:9">
      <c r="A9163" s="21"/>
      <c r="B9163"/>
      <c r="F9163" s="87"/>
      <c r="H9163" s="87"/>
      <c r="I9163" s="89"/>
    </row>
    <row r="9164" spans="1:9">
      <c r="A9164" s="21"/>
      <c r="B9164"/>
      <c r="F9164" s="87"/>
      <c r="H9164" s="87"/>
      <c r="I9164" s="89"/>
    </row>
    <row r="9165" spans="1:9">
      <c r="A9165" s="21"/>
      <c r="B9165"/>
      <c r="F9165" s="87"/>
      <c r="H9165" s="87"/>
      <c r="I9165" s="89"/>
    </row>
    <row r="9166" spans="1:9">
      <c r="A9166" s="21"/>
      <c r="B9166"/>
      <c r="F9166" s="87"/>
      <c r="H9166" s="87"/>
      <c r="I9166" s="89"/>
    </row>
    <row r="9167" spans="1:9">
      <c r="A9167" s="21"/>
      <c r="B9167"/>
      <c r="F9167" s="87"/>
      <c r="H9167" s="87"/>
      <c r="I9167" s="89"/>
    </row>
    <row r="9168" spans="1:9">
      <c r="A9168" s="21"/>
      <c r="B9168"/>
      <c r="F9168" s="87"/>
      <c r="H9168" s="87"/>
      <c r="I9168" s="89"/>
    </row>
    <row r="9169" spans="1:9">
      <c r="A9169" s="21"/>
      <c r="B9169"/>
      <c r="F9169" s="87"/>
      <c r="H9169" s="87"/>
      <c r="I9169" s="89"/>
    </row>
    <row r="9170" spans="1:9">
      <c r="A9170" s="21"/>
      <c r="B9170"/>
      <c r="F9170" s="87"/>
      <c r="H9170" s="87"/>
      <c r="I9170" s="89"/>
    </row>
    <row r="9171" spans="1:9">
      <c r="A9171" s="21"/>
      <c r="B9171"/>
      <c r="F9171" s="87"/>
      <c r="H9171" s="87"/>
      <c r="I9171" s="89"/>
    </row>
    <row r="9172" spans="1:9">
      <c r="A9172" s="21"/>
      <c r="B9172"/>
      <c r="F9172" s="87"/>
      <c r="H9172" s="87"/>
      <c r="I9172" s="89"/>
    </row>
    <row r="9173" spans="1:9">
      <c r="A9173" s="21"/>
      <c r="B9173"/>
      <c r="F9173" s="87"/>
      <c r="H9173" s="87"/>
      <c r="I9173" s="89"/>
    </row>
    <row r="9174" spans="1:9">
      <c r="A9174" s="21"/>
      <c r="B9174"/>
      <c r="F9174" s="87"/>
      <c r="H9174" s="87"/>
      <c r="I9174" s="89"/>
    </row>
    <row r="9175" spans="1:9">
      <c r="A9175" s="21"/>
      <c r="B9175"/>
      <c r="F9175" s="87"/>
      <c r="H9175" s="87"/>
      <c r="I9175" s="89"/>
    </row>
    <row r="9176" spans="1:9">
      <c r="A9176" s="21"/>
      <c r="B9176"/>
      <c r="F9176" s="87"/>
      <c r="H9176" s="87"/>
      <c r="I9176" s="89"/>
    </row>
    <row r="9177" spans="1:9">
      <c r="A9177" s="21"/>
      <c r="B9177"/>
      <c r="F9177" s="87"/>
      <c r="H9177" s="87"/>
      <c r="I9177" s="89"/>
    </row>
    <row r="9178" spans="1:9">
      <c r="A9178" s="21"/>
      <c r="B9178"/>
      <c r="F9178" s="87"/>
      <c r="H9178" s="87"/>
      <c r="I9178" s="89"/>
    </row>
    <row r="9179" spans="1:9">
      <c r="A9179" s="21"/>
      <c r="B9179"/>
      <c r="F9179" s="87"/>
      <c r="H9179" s="87"/>
      <c r="I9179" s="89"/>
    </row>
    <row r="9180" spans="1:9">
      <c r="A9180" s="21"/>
      <c r="B9180"/>
      <c r="F9180" s="87"/>
      <c r="H9180" s="87"/>
      <c r="I9180" s="89"/>
    </row>
    <row r="9181" spans="1:9">
      <c r="A9181" s="21"/>
      <c r="B9181"/>
      <c r="F9181" s="87"/>
      <c r="H9181" s="87"/>
      <c r="I9181" s="89"/>
    </row>
    <row r="9182" spans="1:9">
      <c r="A9182" s="21"/>
      <c r="B9182"/>
      <c r="F9182" s="87"/>
      <c r="H9182" s="87"/>
      <c r="I9182" s="89"/>
    </row>
    <row r="9183" spans="1:9">
      <c r="A9183" s="21"/>
      <c r="B9183"/>
      <c r="F9183" s="87"/>
      <c r="H9183" s="87"/>
      <c r="I9183" s="89"/>
    </row>
    <row r="9184" spans="1:9">
      <c r="A9184" s="21"/>
      <c r="B9184"/>
      <c r="F9184" s="87"/>
      <c r="H9184" s="87"/>
      <c r="I9184" s="89"/>
    </row>
    <row r="9185" spans="1:9">
      <c r="A9185" s="21"/>
      <c r="B9185"/>
      <c r="F9185" s="87"/>
      <c r="H9185" s="87"/>
      <c r="I9185" s="89"/>
    </row>
    <row r="9186" spans="1:9">
      <c r="A9186" s="21"/>
      <c r="B9186"/>
      <c r="F9186" s="87"/>
      <c r="H9186" s="87"/>
      <c r="I9186" s="89"/>
    </row>
    <row r="9187" spans="1:9">
      <c r="A9187" s="21"/>
      <c r="B9187"/>
      <c r="F9187" s="87"/>
      <c r="H9187" s="87"/>
      <c r="I9187" s="89"/>
    </row>
    <row r="9188" spans="1:9">
      <c r="A9188" s="21"/>
      <c r="B9188"/>
      <c r="F9188" s="87"/>
      <c r="H9188" s="87"/>
      <c r="I9188" s="89"/>
    </row>
    <row r="9189" spans="1:9">
      <c r="A9189" s="21"/>
      <c r="B9189"/>
      <c r="F9189" s="87"/>
      <c r="H9189" s="87"/>
      <c r="I9189" s="89"/>
    </row>
    <row r="9190" spans="1:9">
      <c r="A9190" s="21"/>
      <c r="B9190"/>
      <c r="F9190" s="87"/>
      <c r="H9190" s="87"/>
      <c r="I9190" s="89"/>
    </row>
    <row r="9191" spans="1:9">
      <c r="A9191" s="21"/>
      <c r="B9191"/>
      <c r="F9191" s="87"/>
      <c r="H9191" s="87"/>
      <c r="I9191" s="89"/>
    </row>
    <row r="9192" spans="1:9">
      <c r="A9192" s="21"/>
      <c r="B9192"/>
      <c r="F9192" s="87"/>
      <c r="H9192" s="87"/>
      <c r="I9192" s="89"/>
    </row>
    <row r="9193" spans="1:9">
      <c r="A9193" s="21"/>
      <c r="B9193"/>
      <c r="F9193" s="87"/>
      <c r="H9193" s="87"/>
      <c r="I9193" s="89"/>
    </row>
    <row r="9194" spans="1:9">
      <c r="A9194" s="21"/>
      <c r="B9194"/>
      <c r="F9194" s="87"/>
      <c r="H9194" s="87"/>
      <c r="I9194" s="89"/>
    </row>
    <row r="9195" spans="1:9">
      <c r="A9195" s="21"/>
      <c r="B9195"/>
      <c r="F9195" s="87"/>
      <c r="H9195" s="87"/>
      <c r="I9195" s="89"/>
    </row>
    <row r="9196" spans="1:9">
      <c r="A9196" s="21"/>
      <c r="B9196"/>
      <c r="F9196" s="87"/>
      <c r="H9196" s="87"/>
      <c r="I9196" s="89"/>
    </row>
    <row r="9197" spans="1:9">
      <c r="A9197" s="21"/>
      <c r="B9197"/>
      <c r="F9197" s="87"/>
      <c r="H9197" s="87"/>
      <c r="I9197" s="89"/>
    </row>
    <row r="9198" spans="1:9">
      <c r="A9198" s="21"/>
      <c r="B9198"/>
      <c r="F9198" s="87"/>
      <c r="H9198" s="87"/>
      <c r="I9198" s="89"/>
    </row>
    <row r="9199" spans="1:9">
      <c r="A9199" s="21"/>
      <c r="B9199"/>
      <c r="F9199" s="87"/>
      <c r="H9199" s="87"/>
      <c r="I9199" s="89"/>
    </row>
    <row r="9200" spans="1:9">
      <c r="A9200" s="21"/>
      <c r="B9200"/>
      <c r="F9200" s="87"/>
      <c r="H9200" s="87"/>
      <c r="I9200" s="89"/>
    </row>
    <row r="9201" spans="1:9">
      <c r="A9201" s="21"/>
      <c r="B9201"/>
      <c r="F9201" s="87"/>
      <c r="H9201" s="87"/>
      <c r="I9201" s="89"/>
    </row>
    <row r="9202" spans="1:9">
      <c r="A9202" s="21"/>
      <c r="B9202"/>
      <c r="F9202" s="87"/>
      <c r="H9202" s="87"/>
      <c r="I9202" s="89"/>
    </row>
    <row r="9203" spans="1:9">
      <c r="A9203" s="21"/>
      <c r="B9203"/>
      <c r="F9203" s="87"/>
      <c r="H9203" s="87"/>
      <c r="I9203" s="89"/>
    </row>
    <row r="9204" spans="1:9">
      <c r="A9204" s="21"/>
      <c r="B9204"/>
      <c r="F9204" s="87"/>
      <c r="H9204" s="87"/>
      <c r="I9204" s="89"/>
    </row>
    <row r="9205" spans="1:9">
      <c r="A9205" s="21"/>
      <c r="B9205"/>
      <c r="F9205" s="87"/>
      <c r="H9205" s="87"/>
      <c r="I9205" s="89"/>
    </row>
    <row r="9206" spans="1:9">
      <c r="A9206" s="21"/>
      <c r="B9206"/>
      <c r="F9206" s="87"/>
      <c r="H9206" s="87"/>
      <c r="I9206" s="89"/>
    </row>
    <row r="9207" spans="1:9">
      <c r="A9207" s="21"/>
      <c r="B9207"/>
      <c r="F9207" s="87"/>
      <c r="H9207" s="87"/>
      <c r="I9207" s="89"/>
    </row>
    <row r="9208" spans="1:9">
      <c r="A9208" s="21"/>
      <c r="B9208"/>
      <c r="F9208" s="87"/>
      <c r="H9208" s="87"/>
      <c r="I9208" s="89"/>
    </row>
    <row r="9209" spans="1:9">
      <c r="A9209" s="21"/>
      <c r="B9209"/>
      <c r="F9209" s="87"/>
      <c r="H9209" s="87"/>
      <c r="I9209" s="89"/>
    </row>
    <row r="9210" spans="1:9">
      <c r="A9210" s="21"/>
      <c r="B9210"/>
      <c r="F9210" s="87"/>
      <c r="H9210" s="87"/>
      <c r="I9210" s="89"/>
    </row>
    <row r="9211" spans="1:9">
      <c r="A9211" s="21"/>
      <c r="B9211"/>
      <c r="F9211" s="87"/>
      <c r="H9211" s="87"/>
      <c r="I9211" s="89"/>
    </row>
    <row r="9212" spans="1:9">
      <c r="A9212" s="21"/>
      <c r="B9212"/>
      <c r="F9212" s="87"/>
      <c r="H9212" s="87"/>
      <c r="I9212" s="89"/>
    </row>
    <row r="9213" spans="1:9">
      <c r="A9213" s="21"/>
      <c r="B9213"/>
      <c r="F9213" s="87"/>
      <c r="H9213" s="87"/>
      <c r="I9213" s="89"/>
    </row>
    <row r="9214" spans="1:9">
      <c r="A9214" s="21"/>
      <c r="B9214"/>
      <c r="F9214" s="87"/>
      <c r="H9214" s="87"/>
      <c r="I9214" s="89"/>
    </row>
    <row r="9215" spans="1:9">
      <c r="A9215" s="21"/>
      <c r="B9215"/>
      <c r="F9215" s="87"/>
      <c r="H9215" s="87"/>
      <c r="I9215" s="89"/>
    </row>
    <row r="9216" spans="1:9">
      <c r="A9216" s="21"/>
      <c r="B9216"/>
      <c r="F9216" s="87"/>
      <c r="H9216" s="87"/>
      <c r="I9216" s="89"/>
    </row>
    <row r="9217" spans="1:9">
      <c r="A9217" s="21"/>
      <c r="B9217"/>
      <c r="F9217" s="87"/>
      <c r="H9217" s="87"/>
      <c r="I9217" s="89"/>
    </row>
    <row r="9218" spans="1:9">
      <c r="A9218" s="21"/>
      <c r="B9218"/>
      <c r="F9218" s="87"/>
      <c r="H9218" s="87"/>
      <c r="I9218" s="89"/>
    </row>
    <row r="9219" spans="1:9">
      <c r="A9219" s="21"/>
      <c r="B9219"/>
      <c r="F9219" s="87"/>
      <c r="H9219" s="87"/>
      <c r="I9219" s="89"/>
    </row>
    <row r="9220" spans="1:9">
      <c r="A9220" s="21"/>
      <c r="B9220"/>
      <c r="F9220" s="87"/>
      <c r="H9220" s="87"/>
      <c r="I9220" s="89"/>
    </row>
    <row r="9221" spans="1:9">
      <c r="A9221" s="21"/>
      <c r="B9221"/>
      <c r="F9221" s="87"/>
      <c r="H9221" s="87"/>
      <c r="I9221" s="89"/>
    </row>
    <row r="9222" spans="1:9">
      <c r="A9222" s="21"/>
      <c r="B9222"/>
      <c r="F9222" s="87"/>
      <c r="H9222" s="87"/>
      <c r="I9222" s="89"/>
    </row>
    <row r="9223" spans="1:9">
      <c r="A9223" s="21"/>
      <c r="B9223"/>
      <c r="F9223" s="87"/>
      <c r="H9223" s="87"/>
      <c r="I9223" s="89"/>
    </row>
    <row r="9224" spans="1:9">
      <c r="A9224" s="21"/>
      <c r="B9224"/>
      <c r="F9224" s="87"/>
      <c r="H9224" s="87"/>
      <c r="I9224" s="89"/>
    </row>
    <row r="9225" spans="1:9">
      <c r="A9225" s="21"/>
      <c r="B9225"/>
      <c r="F9225" s="87"/>
      <c r="H9225" s="87"/>
      <c r="I9225" s="89"/>
    </row>
    <row r="9226" spans="1:9">
      <c r="A9226" s="21"/>
      <c r="B9226"/>
      <c r="F9226" s="87"/>
      <c r="H9226" s="87"/>
      <c r="I9226" s="89"/>
    </row>
    <row r="9227" spans="1:9">
      <c r="A9227" s="21"/>
      <c r="B9227"/>
      <c r="F9227" s="87"/>
      <c r="H9227" s="87"/>
      <c r="I9227" s="89"/>
    </row>
    <row r="9228" spans="1:9">
      <c r="A9228" s="21"/>
      <c r="B9228"/>
      <c r="F9228" s="87"/>
      <c r="H9228" s="87"/>
      <c r="I9228" s="89"/>
    </row>
    <row r="9229" spans="1:9">
      <c r="A9229" s="21"/>
      <c r="B9229"/>
      <c r="F9229" s="87"/>
      <c r="H9229" s="87"/>
      <c r="I9229" s="89"/>
    </row>
    <row r="9230" spans="1:9">
      <c r="A9230" s="21"/>
      <c r="B9230"/>
      <c r="F9230" s="87"/>
      <c r="H9230" s="87"/>
      <c r="I9230" s="89"/>
    </row>
    <row r="9231" spans="1:9">
      <c r="A9231" s="21"/>
      <c r="B9231"/>
      <c r="F9231" s="87"/>
      <c r="H9231" s="87"/>
      <c r="I9231" s="89"/>
    </row>
    <row r="9232" spans="1:9">
      <c r="A9232" s="21"/>
      <c r="B9232"/>
      <c r="F9232" s="87"/>
      <c r="H9232" s="87"/>
      <c r="I9232" s="89"/>
    </row>
    <row r="9233" spans="1:9">
      <c r="A9233" s="21"/>
      <c r="B9233"/>
      <c r="F9233" s="87"/>
      <c r="H9233" s="87"/>
      <c r="I9233" s="89"/>
    </row>
    <row r="9234" spans="1:9">
      <c r="A9234" s="21"/>
      <c r="B9234"/>
      <c r="F9234" s="87"/>
      <c r="H9234" s="87"/>
      <c r="I9234" s="89"/>
    </row>
    <row r="9235" spans="1:9">
      <c r="A9235" s="21"/>
      <c r="B9235"/>
      <c r="F9235" s="87"/>
      <c r="H9235" s="87"/>
      <c r="I9235" s="89"/>
    </row>
    <row r="9236" spans="1:9">
      <c r="A9236" s="21"/>
      <c r="B9236"/>
      <c r="F9236" s="87"/>
      <c r="H9236" s="87"/>
      <c r="I9236" s="89"/>
    </row>
    <row r="9237" spans="1:9">
      <c r="A9237" s="21"/>
      <c r="B9237"/>
      <c r="F9237" s="87"/>
      <c r="H9237" s="87"/>
      <c r="I9237" s="89"/>
    </row>
    <row r="9238" spans="1:9">
      <c r="A9238" s="21"/>
      <c r="B9238"/>
      <c r="F9238" s="87"/>
      <c r="H9238" s="87"/>
      <c r="I9238" s="89"/>
    </row>
    <row r="9239" spans="1:9">
      <c r="A9239" s="21"/>
      <c r="B9239"/>
      <c r="F9239" s="87"/>
      <c r="H9239" s="87"/>
      <c r="I9239" s="89"/>
    </row>
    <row r="9240" spans="1:9">
      <c r="A9240" s="21"/>
      <c r="B9240"/>
      <c r="F9240" s="87"/>
      <c r="H9240" s="87"/>
      <c r="I9240" s="89"/>
    </row>
    <row r="9241" spans="1:9">
      <c r="A9241" s="21"/>
      <c r="B9241"/>
      <c r="F9241" s="87"/>
      <c r="H9241" s="87"/>
      <c r="I9241" s="89"/>
    </row>
    <row r="9242" spans="1:9">
      <c r="A9242" s="21"/>
      <c r="B9242"/>
      <c r="F9242" s="87"/>
      <c r="H9242" s="87"/>
      <c r="I9242" s="89"/>
    </row>
    <row r="9243" spans="1:9">
      <c r="A9243" s="21"/>
      <c r="B9243"/>
      <c r="F9243" s="87"/>
      <c r="H9243" s="87"/>
      <c r="I9243" s="89"/>
    </row>
    <row r="9244" spans="1:9">
      <c r="A9244" s="21"/>
      <c r="B9244"/>
      <c r="F9244" s="87"/>
      <c r="H9244" s="87"/>
      <c r="I9244" s="89"/>
    </row>
    <row r="9245" spans="1:9">
      <c r="A9245" s="21"/>
      <c r="B9245"/>
      <c r="F9245" s="87"/>
      <c r="H9245" s="87"/>
      <c r="I9245" s="89"/>
    </row>
    <row r="9246" spans="1:9">
      <c r="A9246" s="21"/>
      <c r="B9246"/>
      <c r="F9246" s="87"/>
      <c r="H9246" s="87"/>
      <c r="I9246" s="89"/>
    </row>
    <row r="9247" spans="1:9">
      <c r="A9247" s="21"/>
      <c r="B9247"/>
      <c r="F9247" s="87"/>
      <c r="H9247" s="87"/>
      <c r="I9247" s="89"/>
    </row>
    <row r="9248" spans="1:9">
      <c r="A9248" s="21"/>
      <c r="B9248"/>
      <c r="F9248" s="87"/>
      <c r="H9248" s="87"/>
      <c r="I9248" s="89"/>
    </row>
    <row r="9249" spans="1:9">
      <c r="A9249" s="21"/>
      <c r="B9249"/>
      <c r="F9249" s="87"/>
      <c r="H9249" s="87"/>
      <c r="I9249" s="89"/>
    </row>
    <row r="9250" spans="1:9">
      <c r="A9250" s="21"/>
      <c r="B9250"/>
      <c r="F9250" s="87"/>
      <c r="H9250" s="87"/>
      <c r="I9250" s="89"/>
    </row>
    <row r="9251" spans="1:9">
      <c r="A9251" s="21"/>
      <c r="B9251"/>
      <c r="F9251" s="87"/>
      <c r="H9251" s="87"/>
      <c r="I9251" s="89"/>
    </row>
    <row r="9252" spans="1:9">
      <c r="A9252" s="21"/>
      <c r="B9252"/>
      <c r="F9252" s="87"/>
      <c r="H9252" s="87"/>
      <c r="I9252" s="89"/>
    </row>
    <row r="9253" spans="1:9">
      <c r="A9253" s="21"/>
      <c r="B9253"/>
      <c r="F9253" s="87"/>
      <c r="H9253" s="87"/>
      <c r="I9253" s="89"/>
    </row>
    <row r="9254" spans="1:9">
      <c r="A9254" s="21"/>
      <c r="B9254"/>
      <c r="F9254" s="87"/>
      <c r="H9254" s="87"/>
      <c r="I9254" s="89"/>
    </row>
    <row r="9255" spans="1:9">
      <c r="A9255" s="21"/>
      <c r="B9255"/>
      <c r="F9255" s="87"/>
      <c r="H9255" s="87"/>
      <c r="I9255" s="89"/>
    </row>
    <row r="9256" spans="1:9">
      <c r="A9256" s="21"/>
      <c r="B9256"/>
      <c r="F9256" s="87"/>
      <c r="H9256" s="87"/>
      <c r="I9256" s="89"/>
    </row>
    <row r="9257" spans="1:9">
      <c r="A9257" s="21"/>
      <c r="B9257"/>
      <c r="F9257" s="87"/>
      <c r="H9257" s="87"/>
      <c r="I9257" s="89"/>
    </row>
    <row r="9258" spans="1:9">
      <c r="A9258" s="21"/>
      <c r="B9258"/>
      <c r="F9258" s="87"/>
      <c r="H9258" s="87"/>
      <c r="I9258" s="89"/>
    </row>
    <row r="9259" spans="1:9">
      <c r="A9259" s="21"/>
      <c r="B9259"/>
      <c r="F9259" s="87"/>
      <c r="H9259" s="87"/>
      <c r="I9259" s="89"/>
    </row>
    <row r="9260" spans="1:9">
      <c r="A9260" s="21"/>
      <c r="B9260"/>
      <c r="F9260" s="87"/>
      <c r="H9260" s="87"/>
      <c r="I9260" s="89"/>
    </row>
    <row r="9261" spans="1:9">
      <c r="A9261" s="21"/>
      <c r="B9261"/>
      <c r="F9261" s="87"/>
      <c r="H9261" s="87"/>
      <c r="I9261" s="89"/>
    </row>
    <row r="9262" spans="1:9">
      <c r="A9262" s="21"/>
      <c r="B9262"/>
      <c r="F9262" s="87"/>
      <c r="H9262" s="87"/>
      <c r="I9262" s="89"/>
    </row>
    <row r="9263" spans="1:9">
      <c r="A9263" s="21"/>
      <c r="B9263"/>
      <c r="F9263" s="87"/>
      <c r="H9263" s="87"/>
      <c r="I9263" s="89"/>
    </row>
    <row r="9264" spans="1:9">
      <c r="A9264" s="21"/>
      <c r="B9264"/>
      <c r="F9264" s="87"/>
      <c r="H9264" s="87"/>
      <c r="I9264" s="89"/>
    </row>
    <row r="9265" spans="1:9">
      <c r="A9265" s="21"/>
      <c r="B9265"/>
      <c r="F9265" s="87"/>
      <c r="H9265" s="87"/>
      <c r="I9265" s="89"/>
    </row>
    <row r="9266" spans="1:9">
      <c r="A9266" s="21"/>
      <c r="B9266"/>
      <c r="F9266" s="87"/>
      <c r="H9266" s="87"/>
      <c r="I9266" s="89"/>
    </row>
    <row r="9267" spans="1:9">
      <c r="A9267" s="21"/>
      <c r="B9267"/>
      <c r="F9267" s="87"/>
      <c r="H9267" s="87"/>
      <c r="I9267" s="89"/>
    </row>
    <row r="9268" spans="1:9">
      <c r="A9268" s="21"/>
      <c r="B9268"/>
      <c r="F9268" s="87"/>
      <c r="H9268" s="87"/>
      <c r="I9268" s="89"/>
    </row>
    <row r="9269" spans="1:9">
      <c r="A9269" s="21"/>
      <c r="B9269"/>
      <c r="F9269" s="87"/>
      <c r="H9269" s="87"/>
      <c r="I9269" s="89"/>
    </row>
    <row r="9270" spans="1:9">
      <c r="A9270" s="21"/>
      <c r="B9270"/>
      <c r="F9270" s="87"/>
      <c r="H9270" s="87"/>
      <c r="I9270" s="89"/>
    </row>
    <row r="9271" spans="1:9">
      <c r="A9271" s="21"/>
      <c r="B9271"/>
      <c r="F9271" s="87"/>
      <c r="H9271" s="87"/>
      <c r="I9271" s="89"/>
    </row>
    <row r="9272" spans="1:9">
      <c r="A9272" s="21"/>
      <c r="B9272"/>
      <c r="F9272" s="87"/>
      <c r="H9272" s="87"/>
      <c r="I9272" s="89"/>
    </row>
    <row r="9273" spans="1:9">
      <c r="A9273" s="21"/>
      <c r="B9273"/>
      <c r="F9273" s="87"/>
      <c r="H9273" s="87"/>
      <c r="I9273" s="89"/>
    </row>
    <row r="9274" spans="1:9">
      <c r="A9274" s="21"/>
      <c r="B9274"/>
      <c r="F9274" s="87"/>
      <c r="H9274" s="87"/>
      <c r="I9274" s="89"/>
    </row>
    <row r="9275" spans="1:9">
      <c r="A9275" s="21"/>
      <c r="B9275"/>
      <c r="F9275" s="87"/>
      <c r="H9275" s="87"/>
      <c r="I9275" s="89"/>
    </row>
    <row r="9276" spans="1:9">
      <c r="A9276" s="21"/>
      <c r="B9276"/>
      <c r="F9276" s="87"/>
      <c r="H9276" s="87"/>
      <c r="I9276" s="89"/>
    </row>
    <row r="9277" spans="1:9">
      <c r="A9277" s="21"/>
      <c r="B9277"/>
      <c r="F9277" s="87"/>
      <c r="H9277" s="87"/>
      <c r="I9277" s="89"/>
    </row>
    <row r="9278" spans="1:9">
      <c r="A9278" s="21"/>
      <c r="B9278"/>
      <c r="F9278" s="87"/>
      <c r="H9278" s="87"/>
      <c r="I9278" s="89"/>
    </row>
    <row r="9279" spans="1:9">
      <c r="A9279" s="21"/>
      <c r="B9279"/>
      <c r="F9279" s="87"/>
      <c r="H9279" s="87"/>
      <c r="I9279" s="89"/>
    </row>
    <row r="9280" spans="1:9">
      <c r="A9280" s="21"/>
      <c r="B9280"/>
      <c r="F9280" s="87"/>
      <c r="H9280" s="87"/>
      <c r="I9280" s="89"/>
    </row>
    <row r="9281" spans="1:9">
      <c r="A9281" s="21"/>
      <c r="B9281"/>
      <c r="F9281" s="87"/>
      <c r="H9281" s="87"/>
      <c r="I9281" s="89"/>
    </row>
    <row r="9282" spans="1:9">
      <c r="A9282" s="21"/>
      <c r="B9282"/>
      <c r="F9282" s="87"/>
      <c r="H9282" s="87"/>
      <c r="I9282" s="89"/>
    </row>
    <row r="9283" spans="1:9">
      <c r="A9283" s="21"/>
      <c r="B9283"/>
      <c r="F9283" s="87"/>
      <c r="H9283" s="87"/>
      <c r="I9283" s="89"/>
    </row>
    <row r="9284" spans="1:9">
      <c r="A9284" s="21"/>
      <c r="B9284"/>
      <c r="F9284" s="87"/>
      <c r="H9284" s="87"/>
      <c r="I9284" s="89"/>
    </row>
    <row r="9285" spans="1:9">
      <c r="A9285" s="21"/>
      <c r="B9285"/>
      <c r="F9285" s="87"/>
      <c r="H9285" s="87"/>
      <c r="I9285" s="89"/>
    </row>
    <row r="9286" spans="1:9">
      <c r="A9286" s="21"/>
      <c r="B9286"/>
      <c r="F9286" s="87"/>
      <c r="H9286" s="87"/>
      <c r="I9286" s="89"/>
    </row>
    <row r="9287" spans="1:9">
      <c r="A9287" s="21"/>
      <c r="B9287"/>
      <c r="F9287" s="87"/>
      <c r="H9287" s="87"/>
      <c r="I9287" s="89"/>
    </row>
    <row r="9288" spans="1:9">
      <c r="A9288" s="21"/>
      <c r="B9288"/>
      <c r="F9288" s="87"/>
      <c r="H9288" s="87"/>
      <c r="I9288" s="89"/>
    </row>
    <row r="9289" spans="1:9">
      <c r="A9289" s="21"/>
      <c r="B9289"/>
      <c r="F9289" s="87"/>
      <c r="H9289" s="87"/>
      <c r="I9289" s="89"/>
    </row>
    <row r="9290" spans="1:9">
      <c r="A9290" s="21"/>
      <c r="B9290"/>
      <c r="F9290" s="87"/>
      <c r="H9290" s="87"/>
      <c r="I9290" s="89"/>
    </row>
    <row r="9291" spans="1:9">
      <c r="A9291" s="21"/>
      <c r="B9291"/>
      <c r="F9291" s="87"/>
      <c r="H9291" s="87"/>
      <c r="I9291" s="89"/>
    </row>
    <row r="9292" spans="1:9">
      <c r="A9292" s="21"/>
      <c r="B9292"/>
      <c r="F9292" s="87"/>
      <c r="H9292" s="87"/>
      <c r="I9292" s="89"/>
    </row>
    <row r="9293" spans="1:9">
      <c r="A9293" s="21"/>
      <c r="B9293"/>
      <c r="F9293" s="87"/>
      <c r="H9293" s="87"/>
      <c r="I9293" s="89"/>
    </row>
    <row r="9294" spans="1:9">
      <c r="A9294" s="21"/>
      <c r="B9294"/>
      <c r="F9294" s="87"/>
      <c r="H9294" s="87"/>
      <c r="I9294" s="89"/>
    </row>
    <row r="9295" spans="1:9">
      <c r="A9295" s="21"/>
      <c r="B9295"/>
      <c r="F9295" s="87"/>
      <c r="H9295" s="87"/>
      <c r="I9295" s="89"/>
    </row>
    <row r="9296" spans="1:9">
      <c r="A9296" s="21"/>
      <c r="B9296"/>
      <c r="F9296" s="87"/>
      <c r="H9296" s="87"/>
      <c r="I9296" s="89"/>
    </row>
    <row r="9297" spans="1:9">
      <c r="A9297" s="21"/>
      <c r="B9297"/>
      <c r="F9297" s="87"/>
      <c r="H9297" s="87"/>
      <c r="I9297" s="89"/>
    </row>
    <row r="9298" spans="1:9">
      <c r="A9298" s="21"/>
      <c r="B9298"/>
      <c r="F9298" s="87"/>
      <c r="H9298" s="87"/>
      <c r="I9298" s="89"/>
    </row>
    <row r="9299" spans="1:9">
      <c r="A9299" s="21"/>
      <c r="B9299"/>
      <c r="F9299" s="87"/>
      <c r="H9299" s="87"/>
      <c r="I9299" s="89"/>
    </row>
    <row r="9300" spans="1:9">
      <c r="A9300" s="21"/>
      <c r="B9300"/>
      <c r="F9300" s="87"/>
      <c r="H9300" s="87"/>
      <c r="I9300" s="89"/>
    </row>
    <row r="9301" spans="1:9">
      <c r="A9301" s="21"/>
      <c r="B9301"/>
      <c r="F9301" s="87"/>
      <c r="H9301" s="87"/>
      <c r="I9301" s="89"/>
    </row>
    <row r="9302" spans="1:9">
      <c r="A9302" s="21"/>
      <c r="B9302"/>
      <c r="F9302" s="87"/>
      <c r="H9302" s="87"/>
      <c r="I9302" s="89"/>
    </row>
    <row r="9303" spans="1:9">
      <c r="A9303" s="21"/>
      <c r="B9303"/>
      <c r="F9303" s="87"/>
      <c r="H9303" s="87"/>
      <c r="I9303" s="89"/>
    </row>
    <row r="9304" spans="1:9">
      <c r="A9304" s="21"/>
      <c r="B9304"/>
      <c r="F9304" s="87"/>
      <c r="H9304" s="87"/>
      <c r="I9304" s="89"/>
    </row>
    <row r="9305" spans="1:9">
      <c r="A9305" s="21"/>
      <c r="B9305"/>
      <c r="F9305" s="87"/>
      <c r="H9305" s="87"/>
      <c r="I9305" s="89"/>
    </row>
    <row r="9306" spans="1:9">
      <c r="A9306" s="21"/>
      <c r="B9306"/>
      <c r="F9306" s="87"/>
      <c r="H9306" s="87"/>
      <c r="I9306" s="89"/>
    </row>
    <row r="9307" spans="1:9">
      <c r="A9307" s="21"/>
      <c r="B9307"/>
      <c r="F9307" s="87"/>
      <c r="H9307" s="87"/>
      <c r="I9307" s="89"/>
    </row>
    <row r="9308" spans="1:9">
      <c r="A9308" s="21"/>
      <c r="B9308"/>
      <c r="F9308" s="87"/>
      <c r="H9308" s="87"/>
      <c r="I9308" s="89"/>
    </row>
    <row r="9309" spans="1:9">
      <c r="A9309" s="21"/>
      <c r="B9309"/>
      <c r="F9309" s="87"/>
      <c r="H9309" s="87"/>
      <c r="I9309" s="89"/>
    </row>
    <row r="9310" spans="1:9">
      <c r="A9310" s="21"/>
      <c r="B9310"/>
      <c r="F9310" s="87"/>
      <c r="H9310" s="87"/>
      <c r="I9310" s="89"/>
    </row>
    <row r="9311" spans="1:9">
      <c r="A9311" s="21"/>
      <c r="B9311"/>
      <c r="F9311" s="87"/>
      <c r="H9311" s="87"/>
      <c r="I9311" s="89"/>
    </row>
    <row r="9312" spans="1:9">
      <c r="A9312" s="21"/>
      <c r="B9312"/>
      <c r="F9312" s="87"/>
      <c r="H9312" s="87"/>
      <c r="I9312" s="89"/>
    </row>
    <row r="9313" spans="1:9">
      <c r="A9313" s="21"/>
      <c r="B9313"/>
      <c r="F9313" s="87"/>
      <c r="H9313" s="87"/>
      <c r="I9313" s="89"/>
    </row>
    <row r="9314" spans="1:9">
      <c r="A9314" s="21"/>
      <c r="B9314"/>
      <c r="F9314" s="87"/>
      <c r="H9314" s="87"/>
      <c r="I9314" s="89"/>
    </row>
    <row r="9315" spans="1:9">
      <c r="A9315" s="21"/>
      <c r="B9315"/>
      <c r="F9315" s="87"/>
      <c r="H9315" s="87"/>
      <c r="I9315" s="89"/>
    </row>
    <row r="9316" spans="1:9">
      <c r="A9316" s="21"/>
      <c r="B9316"/>
      <c r="F9316" s="87"/>
      <c r="H9316" s="87"/>
      <c r="I9316" s="89"/>
    </row>
    <row r="9317" spans="1:9">
      <c r="A9317" s="21"/>
      <c r="B9317"/>
      <c r="F9317" s="87"/>
      <c r="H9317" s="87"/>
      <c r="I9317" s="89"/>
    </row>
    <row r="9318" spans="1:9">
      <c r="A9318" s="21"/>
      <c r="B9318"/>
      <c r="F9318" s="87"/>
      <c r="H9318" s="87"/>
      <c r="I9318" s="89"/>
    </row>
    <row r="9319" spans="1:9">
      <c r="A9319" s="21"/>
      <c r="B9319"/>
      <c r="F9319" s="87"/>
      <c r="H9319" s="87"/>
      <c r="I9319" s="89"/>
    </row>
    <row r="9320" spans="1:9">
      <c r="A9320" s="21"/>
      <c r="B9320"/>
      <c r="F9320" s="87"/>
      <c r="G9320" s="91"/>
      <c r="H9320" s="87"/>
      <c r="I9320" s="108"/>
    </row>
    <row r="9321" spans="1:9">
      <c r="A9321" s="21"/>
      <c r="B9321"/>
      <c r="F9321" s="87"/>
      <c r="G9321" s="91"/>
      <c r="H9321" s="87"/>
      <c r="I9321" s="108"/>
    </row>
    <row r="9322" spans="1:9">
      <c r="A9322" s="21"/>
      <c r="B9322"/>
      <c r="F9322" s="87"/>
      <c r="G9322" s="91"/>
      <c r="H9322" s="87"/>
      <c r="I9322" s="108"/>
    </row>
    <row r="9323" spans="1:9">
      <c r="A9323" s="21"/>
      <c r="B9323"/>
      <c r="F9323" s="87"/>
      <c r="G9323" s="91"/>
      <c r="H9323" s="87"/>
      <c r="I9323" s="108"/>
    </row>
    <row r="9324" spans="1:9">
      <c r="A9324" s="21"/>
      <c r="B9324"/>
      <c r="F9324" s="87"/>
      <c r="G9324" s="91"/>
      <c r="H9324" s="87"/>
      <c r="I9324" s="108"/>
    </row>
    <row r="9325" spans="1:9">
      <c r="A9325" s="21"/>
      <c r="B9325"/>
      <c r="F9325" s="87"/>
      <c r="G9325" s="91"/>
      <c r="H9325" s="87"/>
      <c r="I9325" s="108"/>
    </row>
    <row r="9326" spans="1:9">
      <c r="A9326" s="21"/>
      <c r="B9326"/>
      <c r="F9326" s="87"/>
      <c r="G9326" s="91"/>
      <c r="H9326" s="87"/>
      <c r="I9326" s="108"/>
    </row>
    <row r="9327" spans="1:9">
      <c r="A9327" s="21"/>
      <c r="B9327"/>
      <c r="F9327" s="87"/>
      <c r="G9327" s="91"/>
      <c r="H9327" s="87"/>
      <c r="I9327" s="108"/>
    </row>
    <row r="9328" spans="1:9">
      <c r="A9328" s="21"/>
      <c r="B9328"/>
      <c r="F9328" s="87"/>
      <c r="G9328" s="91"/>
      <c r="H9328" s="87"/>
      <c r="I9328" s="108"/>
    </row>
    <row r="9329" spans="1:9">
      <c r="A9329" s="21"/>
      <c r="B9329"/>
      <c r="F9329" s="87"/>
      <c r="G9329" s="91"/>
      <c r="H9329" s="87"/>
      <c r="I9329" s="108"/>
    </row>
    <row r="9330" spans="1:9">
      <c r="A9330" s="21"/>
      <c r="B9330"/>
      <c r="F9330" s="87"/>
      <c r="G9330" s="91"/>
      <c r="H9330" s="87"/>
      <c r="I9330" s="108"/>
    </row>
    <row r="9331" spans="1:9">
      <c r="A9331" s="21"/>
      <c r="B9331"/>
      <c r="F9331" s="87"/>
      <c r="G9331" s="91"/>
      <c r="H9331" s="87"/>
      <c r="I9331" s="108"/>
    </row>
    <row r="9332" spans="1:9">
      <c r="A9332" s="21"/>
      <c r="B9332"/>
      <c r="F9332" s="87"/>
      <c r="G9332" s="91"/>
      <c r="H9332" s="87"/>
      <c r="I9332" s="108"/>
    </row>
    <row r="9333" spans="1:9">
      <c r="A9333" s="21"/>
      <c r="B9333"/>
      <c r="F9333" s="87"/>
      <c r="G9333" s="91"/>
      <c r="H9333" s="87"/>
      <c r="I9333" s="108"/>
    </row>
    <row r="9334" spans="1:9">
      <c r="A9334" s="21"/>
      <c r="B9334"/>
      <c r="F9334" s="87"/>
      <c r="G9334" s="91"/>
      <c r="H9334" s="87"/>
      <c r="I9334" s="108"/>
    </row>
    <row r="9335" spans="1:9">
      <c r="A9335" s="21"/>
      <c r="B9335"/>
      <c r="F9335" s="87"/>
      <c r="G9335" s="91"/>
      <c r="H9335" s="87"/>
      <c r="I9335" s="108"/>
    </row>
    <row r="9336" spans="1:9">
      <c r="A9336" s="21"/>
      <c r="B9336"/>
      <c r="F9336" s="87"/>
      <c r="G9336" s="91"/>
      <c r="H9336" s="87"/>
      <c r="I9336" s="108"/>
    </row>
    <row r="9337" spans="1:9">
      <c r="A9337" s="21"/>
      <c r="B9337"/>
      <c r="F9337" s="87"/>
      <c r="G9337" s="91"/>
      <c r="H9337" s="87"/>
      <c r="I9337" s="108"/>
    </row>
    <row r="9338" spans="1:9">
      <c r="A9338" s="21"/>
      <c r="B9338"/>
      <c r="C9338"/>
      <c r="D9338" s="90"/>
      <c r="F9338" s="91"/>
      <c r="G9338" s="91"/>
    </row>
    <row r="9339" spans="1:9">
      <c r="A9339" s="21"/>
      <c r="B9339"/>
      <c r="C9339"/>
      <c r="D9339" s="90"/>
      <c r="E9339" s="36"/>
      <c r="F9339" s="91"/>
      <c r="G9339" s="91"/>
    </row>
    <row r="9340" spans="1:9">
      <c r="A9340" s="21"/>
      <c r="B9340"/>
      <c r="C9340"/>
      <c r="D9340" s="90"/>
      <c r="E9340" s="36"/>
      <c r="F9340" s="91"/>
      <c r="G9340" s="91"/>
    </row>
    <row r="9341" spans="1:9">
      <c r="A9341" s="21"/>
      <c r="B9341"/>
      <c r="C9341"/>
      <c r="D9341" s="90"/>
      <c r="E9341" s="36"/>
      <c r="F9341" s="91"/>
      <c r="G9341" s="91"/>
    </row>
    <row r="9342" spans="1:9">
      <c r="A9342" s="21"/>
      <c r="B9342"/>
      <c r="C9342"/>
      <c r="D9342" s="90"/>
      <c r="E9342" s="36"/>
      <c r="F9342" s="91"/>
      <c r="G9342" s="91"/>
    </row>
    <row r="9343" spans="1:9">
      <c r="A9343" s="21"/>
      <c r="B9343"/>
      <c r="C9343"/>
      <c r="D9343" s="90"/>
      <c r="E9343" s="36"/>
      <c r="F9343" s="91"/>
      <c r="G9343" s="91"/>
    </row>
    <row r="9344" spans="1:9">
      <c r="A9344" s="21"/>
      <c r="B9344"/>
      <c r="C9344"/>
      <c r="D9344" s="90"/>
      <c r="E9344" s="36"/>
      <c r="F9344" s="91"/>
      <c r="G9344" s="91"/>
    </row>
    <row r="9345" spans="1:7">
      <c r="A9345" s="21"/>
      <c r="B9345"/>
      <c r="C9345"/>
      <c r="D9345" s="90"/>
      <c r="E9345" s="36"/>
      <c r="F9345" s="91"/>
      <c r="G9345" s="91"/>
    </row>
    <row r="9346" spans="1:7">
      <c r="A9346" s="21"/>
      <c r="B9346"/>
      <c r="C9346"/>
      <c r="D9346" s="90"/>
      <c r="E9346" s="36"/>
      <c r="F9346" s="91"/>
      <c r="G9346" s="91"/>
    </row>
    <row r="9347" spans="1:7">
      <c r="A9347" s="21"/>
      <c r="B9347"/>
      <c r="C9347"/>
      <c r="D9347" s="90"/>
      <c r="E9347" s="36"/>
      <c r="F9347" s="91"/>
      <c r="G9347" s="91"/>
    </row>
    <row r="9348" spans="1:7">
      <c r="A9348" s="21"/>
      <c r="B9348"/>
      <c r="C9348"/>
      <c r="D9348" s="90"/>
      <c r="E9348" s="36"/>
      <c r="F9348" s="91"/>
      <c r="G9348" s="91"/>
    </row>
    <row r="9349" spans="1:7">
      <c r="A9349" s="21"/>
      <c r="B9349"/>
      <c r="C9349"/>
      <c r="D9349" s="90"/>
      <c r="E9349" s="36"/>
      <c r="F9349" s="91"/>
      <c r="G9349" s="91"/>
    </row>
    <row r="9350" spans="1:7">
      <c r="A9350" s="21"/>
      <c r="B9350"/>
      <c r="C9350"/>
      <c r="D9350" s="90"/>
      <c r="E9350" s="36"/>
      <c r="F9350" s="91"/>
      <c r="G9350" s="91"/>
    </row>
    <row r="9351" spans="1:7">
      <c r="A9351" s="21"/>
      <c r="B9351"/>
      <c r="C9351"/>
      <c r="D9351" s="90"/>
      <c r="E9351" s="36"/>
      <c r="F9351" s="91"/>
      <c r="G9351" s="91"/>
    </row>
    <row r="9352" spans="1:7">
      <c r="A9352" s="21"/>
      <c r="B9352"/>
      <c r="C9352"/>
      <c r="D9352" s="90"/>
      <c r="E9352" s="36"/>
      <c r="F9352" s="91"/>
      <c r="G9352" s="91"/>
    </row>
    <row r="9353" spans="1:7">
      <c r="A9353" s="21"/>
      <c r="B9353"/>
      <c r="C9353"/>
      <c r="D9353" s="90"/>
      <c r="E9353" s="36"/>
      <c r="F9353" s="91"/>
      <c r="G9353" s="91"/>
    </row>
    <row r="9354" spans="1:7">
      <c r="A9354" s="21"/>
      <c r="B9354"/>
      <c r="C9354"/>
      <c r="D9354" s="90"/>
      <c r="E9354" s="36"/>
      <c r="F9354" s="91"/>
      <c r="G9354" s="91"/>
    </row>
    <row r="9355" spans="1:7">
      <c r="A9355" s="21"/>
      <c r="B9355"/>
      <c r="C9355"/>
      <c r="D9355" s="90"/>
      <c r="E9355" s="36"/>
      <c r="F9355" s="91"/>
      <c r="G9355" s="91"/>
    </row>
    <row r="9356" spans="1:7">
      <c r="A9356" s="21"/>
      <c r="B9356"/>
      <c r="C9356"/>
      <c r="D9356" s="90"/>
      <c r="F9356" s="91"/>
      <c r="G9356" s="91"/>
    </row>
    <row r="9357" spans="1:7">
      <c r="A9357" s="21"/>
      <c r="B9357"/>
      <c r="C9357"/>
      <c r="D9357" s="90"/>
      <c r="E9357" s="36"/>
      <c r="F9357" s="91"/>
      <c r="G9357" s="91"/>
    </row>
    <row r="9358" spans="1:7">
      <c r="A9358" s="21"/>
      <c r="B9358"/>
      <c r="C9358"/>
      <c r="D9358" s="90"/>
      <c r="E9358" s="36"/>
      <c r="F9358" s="91"/>
      <c r="G9358" s="91"/>
    </row>
    <row r="9359" spans="1:7">
      <c r="A9359" s="21"/>
      <c r="B9359"/>
      <c r="C9359"/>
      <c r="D9359" s="90"/>
      <c r="E9359" s="36"/>
      <c r="F9359" s="91"/>
      <c r="G9359" s="91"/>
    </row>
    <row r="9360" spans="1:7">
      <c r="A9360" s="21"/>
      <c r="B9360"/>
      <c r="C9360"/>
      <c r="D9360" s="90"/>
      <c r="E9360" s="36"/>
      <c r="F9360" s="91"/>
      <c r="G9360" s="91"/>
    </row>
    <row r="9361" spans="1:7">
      <c r="A9361" s="21"/>
      <c r="B9361"/>
      <c r="C9361"/>
      <c r="D9361" s="90"/>
      <c r="E9361" s="36"/>
      <c r="F9361" s="91"/>
      <c r="G9361" s="91"/>
    </row>
    <row r="9362" spans="1:7">
      <c r="A9362" s="21"/>
      <c r="B9362"/>
      <c r="C9362"/>
      <c r="D9362" s="90"/>
      <c r="E9362" s="36"/>
      <c r="F9362" s="91"/>
      <c r="G9362" s="91"/>
    </row>
    <row r="9363" spans="1:7">
      <c r="A9363" s="21"/>
      <c r="B9363"/>
      <c r="C9363"/>
      <c r="D9363" s="90"/>
      <c r="E9363" s="36"/>
      <c r="F9363" s="91"/>
      <c r="G9363" s="91"/>
    </row>
    <row r="9364" spans="1:7">
      <c r="A9364" s="21"/>
      <c r="B9364"/>
      <c r="C9364"/>
      <c r="D9364" s="90"/>
      <c r="E9364" s="36"/>
      <c r="F9364" s="91"/>
      <c r="G9364" s="91"/>
    </row>
    <row r="9365" spans="1:7">
      <c r="A9365" s="21"/>
      <c r="B9365"/>
      <c r="C9365"/>
      <c r="D9365" s="90"/>
      <c r="F9365" s="91"/>
      <c r="G9365" s="91"/>
    </row>
    <row r="9366" spans="1:7">
      <c r="A9366" s="21"/>
      <c r="B9366"/>
      <c r="C9366"/>
      <c r="D9366" s="90"/>
      <c r="E9366" s="36"/>
      <c r="F9366" s="91"/>
      <c r="G9366" s="91"/>
    </row>
    <row r="9367" spans="1:7">
      <c r="A9367" s="21"/>
      <c r="B9367"/>
      <c r="C9367"/>
      <c r="D9367" s="90"/>
      <c r="E9367" s="36"/>
      <c r="F9367" s="91"/>
      <c r="G9367" s="91"/>
    </row>
    <row r="9368" spans="1:7">
      <c r="A9368" s="21"/>
      <c r="B9368"/>
      <c r="C9368"/>
      <c r="D9368" s="90"/>
      <c r="E9368" s="36"/>
      <c r="F9368" s="91"/>
      <c r="G9368" s="91"/>
    </row>
    <row r="9369" spans="1:7">
      <c r="A9369" s="21"/>
      <c r="B9369"/>
      <c r="C9369"/>
      <c r="D9369" s="90"/>
      <c r="E9369" s="36"/>
      <c r="F9369" s="91"/>
      <c r="G9369" s="91"/>
    </row>
    <row r="9370" spans="1:7">
      <c r="A9370" s="21"/>
      <c r="B9370"/>
      <c r="C9370"/>
      <c r="D9370" s="90"/>
      <c r="E9370" s="36"/>
      <c r="F9370" s="91"/>
      <c r="G9370" s="91"/>
    </row>
    <row r="9371" spans="1:7">
      <c r="A9371" s="21"/>
      <c r="B9371"/>
      <c r="C9371"/>
      <c r="D9371" s="90"/>
      <c r="E9371" s="36"/>
      <c r="F9371" s="91"/>
      <c r="G9371" s="91"/>
    </row>
    <row r="9372" spans="1:7">
      <c r="A9372" s="21"/>
      <c r="B9372"/>
      <c r="C9372"/>
      <c r="D9372" s="90"/>
      <c r="E9372" s="36"/>
      <c r="F9372" s="91"/>
      <c r="G9372" s="91"/>
    </row>
    <row r="9373" spans="1:7">
      <c r="A9373" s="21"/>
      <c r="B9373"/>
      <c r="C9373"/>
      <c r="D9373" s="90"/>
      <c r="E9373" s="36"/>
      <c r="F9373" s="91"/>
      <c r="G9373" s="91"/>
    </row>
    <row r="9374" spans="1:7">
      <c r="A9374" s="21"/>
      <c r="B9374"/>
      <c r="C9374"/>
      <c r="D9374" s="90"/>
      <c r="E9374" s="36"/>
      <c r="F9374" s="91"/>
      <c r="G9374" s="91"/>
    </row>
    <row r="9375" spans="1:7">
      <c r="A9375" s="21"/>
      <c r="B9375"/>
      <c r="C9375"/>
      <c r="D9375" s="90"/>
      <c r="F9375" s="91"/>
      <c r="G9375" s="91"/>
    </row>
    <row r="9376" spans="1:7">
      <c r="A9376" s="21"/>
      <c r="B9376"/>
      <c r="C9376"/>
      <c r="D9376" s="90"/>
      <c r="E9376" s="36"/>
      <c r="F9376" s="91"/>
      <c r="G9376" s="91"/>
    </row>
    <row r="9377" spans="1:7">
      <c r="A9377" s="21"/>
      <c r="B9377"/>
      <c r="C9377"/>
      <c r="D9377" s="90"/>
      <c r="E9377" s="36"/>
      <c r="F9377" s="91"/>
      <c r="G9377" s="91"/>
    </row>
    <row r="9378" spans="1:7">
      <c r="A9378" s="21"/>
      <c r="B9378"/>
      <c r="C9378"/>
      <c r="D9378" s="90"/>
      <c r="E9378" s="36"/>
      <c r="F9378" s="91"/>
      <c r="G9378" s="91"/>
    </row>
    <row r="9379" spans="1:7">
      <c r="A9379" s="21"/>
      <c r="B9379"/>
      <c r="C9379"/>
      <c r="D9379" s="90"/>
      <c r="E9379" s="36"/>
      <c r="F9379" s="91"/>
      <c r="G9379" s="91"/>
    </row>
    <row r="9380" spans="1:7">
      <c r="A9380" s="21"/>
      <c r="B9380"/>
      <c r="C9380"/>
      <c r="D9380" s="90"/>
      <c r="E9380" s="36"/>
      <c r="F9380" s="91"/>
      <c r="G9380" s="91"/>
    </row>
    <row r="9381" spans="1:7">
      <c r="A9381" s="21"/>
      <c r="B9381"/>
      <c r="C9381"/>
      <c r="D9381" s="90"/>
      <c r="F9381" s="91"/>
      <c r="G9381" s="91"/>
    </row>
    <row r="9382" spans="1:7">
      <c r="A9382" s="21"/>
      <c r="B9382"/>
      <c r="C9382"/>
      <c r="D9382" s="90"/>
      <c r="E9382" s="36"/>
      <c r="F9382" s="91"/>
      <c r="G9382" s="91"/>
    </row>
    <row r="9383" spans="1:7">
      <c r="A9383" s="21"/>
      <c r="B9383"/>
      <c r="C9383"/>
      <c r="D9383" s="90"/>
      <c r="E9383" s="36"/>
      <c r="F9383" s="91"/>
      <c r="G9383" s="91"/>
    </row>
    <row r="9384" spans="1:7">
      <c r="A9384" s="21"/>
      <c r="B9384"/>
      <c r="C9384"/>
      <c r="D9384" s="90"/>
      <c r="E9384" s="36"/>
      <c r="F9384" s="91"/>
      <c r="G9384" s="91"/>
    </row>
    <row r="9385" spans="1:7">
      <c r="A9385" s="21"/>
      <c r="B9385"/>
      <c r="C9385"/>
      <c r="D9385" s="90"/>
      <c r="E9385" s="36"/>
      <c r="F9385" s="91"/>
      <c r="G9385" s="91"/>
    </row>
    <row r="9386" spans="1:7">
      <c r="A9386" s="21"/>
      <c r="B9386"/>
      <c r="C9386"/>
      <c r="D9386" s="90"/>
      <c r="E9386" s="36"/>
      <c r="F9386" s="91"/>
      <c r="G9386" s="91"/>
    </row>
    <row r="9387" spans="1:7">
      <c r="A9387" s="21"/>
      <c r="B9387"/>
      <c r="C9387"/>
      <c r="D9387" s="90"/>
      <c r="E9387" s="36"/>
      <c r="F9387" s="91"/>
      <c r="G9387" s="91"/>
    </row>
    <row r="9388" spans="1:7">
      <c r="A9388" s="21"/>
      <c r="B9388"/>
      <c r="C9388"/>
      <c r="D9388" s="90"/>
      <c r="E9388" s="36"/>
      <c r="F9388" s="91"/>
      <c r="G9388" s="91"/>
    </row>
    <row r="9389" spans="1:7">
      <c r="A9389" s="21"/>
      <c r="B9389"/>
      <c r="C9389"/>
      <c r="D9389" s="90"/>
      <c r="E9389" s="36"/>
      <c r="F9389" s="91"/>
      <c r="G9389" s="91"/>
    </row>
    <row r="9390" spans="1:7">
      <c r="A9390" s="21"/>
      <c r="B9390"/>
      <c r="C9390"/>
      <c r="D9390" s="90"/>
      <c r="E9390" s="36"/>
      <c r="F9390" s="91"/>
      <c r="G9390" s="91"/>
    </row>
    <row r="9391" spans="1:7">
      <c r="A9391" s="21"/>
      <c r="B9391"/>
      <c r="C9391"/>
      <c r="D9391" s="90"/>
      <c r="E9391" s="36"/>
      <c r="F9391" s="91"/>
      <c r="G9391" s="91"/>
    </row>
    <row r="9392" spans="1:7">
      <c r="A9392" s="21"/>
      <c r="B9392"/>
      <c r="C9392"/>
      <c r="D9392" s="90"/>
      <c r="E9392" s="36"/>
      <c r="F9392" s="91"/>
      <c r="G9392" s="91"/>
    </row>
    <row r="9393" spans="1:7">
      <c r="A9393" s="21"/>
      <c r="B9393"/>
      <c r="C9393"/>
      <c r="D9393" s="90"/>
      <c r="E9393" s="36"/>
      <c r="F9393" s="91"/>
      <c r="G9393" s="91"/>
    </row>
    <row r="9394" spans="1:7">
      <c r="A9394" s="21"/>
      <c r="B9394"/>
      <c r="C9394"/>
      <c r="D9394" s="90"/>
      <c r="E9394" s="36"/>
      <c r="F9394" s="91"/>
      <c r="G9394" s="91"/>
    </row>
    <row r="9395" spans="1:7">
      <c r="A9395" s="21"/>
      <c r="B9395"/>
      <c r="C9395"/>
      <c r="D9395" s="90"/>
      <c r="F9395" s="91"/>
      <c r="G9395" s="91"/>
    </row>
    <row r="9396" spans="1:7">
      <c r="A9396" s="21"/>
      <c r="B9396"/>
      <c r="C9396"/>
      <c r="D9396" s="90"/>
      <c r="E9396" s="36"/>
      <c r="F9396" s="91"/>
      <c r="G9396" s="91"/>
    </row>
    <row r="9397" spans="1:7">
      <c r="A9397" s="21"/>
      <c r="B9397"/>
      <c r="C9397"/>
      <c r="D9397" s="90"/>
      <c r="E9397" s="36"/>
      <c r="F9397" s="91"/>
      <c r="G9397" s="91"/>
    </row>
    <row r="9398" spans="1:7">
      <c r="A9398" s="21"/>
      <c r="B9398"/>
      <c r="C9398"/>
      <c r="D9398" s="90"/>
      <c r="E9398" s="36"/>
      <c r="F9398" s="91"/>
      <c r="G9398" s="91"/>
    </row>
    <row r="9399" spans="1:7">
      <c r="A9399" s="21"/>
      <c r="B9399"/>
      <c r="C9399"/>
      <c r="D9399" s="90"/>
      <c r="E9399" s="36"/>
      <c r="F9399" s="91"/>
      <c r="G9399" s="91"/>
    </row>
    <row r="9400" spans="1:7">
      <c r="A9400" s="21"/>
      <c r="B9400"/>
      <c r="C9400"/>
      <c r="D9400" s="90"/>
      <c r="F9400" s="91"/>
      <c r="G9400" s="91"/>
    </row>
    <row r="9401" spans="1:7">
      <c r="A9401" s="21"/>
      <c r="B9401"/>
      <c r="C9401"/>
      <c r="D9401" s="90"/>
      <c r="E9401" s="36"/>
      <c r="F9401" s="91"/>
      <c r="G9401" s="91"/>
    </row>
    <row r="9402" spans="1:7">
      <c r="A9402" s="21"/>
      <c r="B9402"/>
      <c r="C9402"/>
      <c r="D9402" s="90"/>
      <c r="E9402" s="36"/>
      <c r="F9402" s="91"/>
      <c r="G9402" s="91"/>
    </row>
    <row r="9403" spans="1:7">
      <c r="A9403" s="21"/>
      <c r="B9403"/>
      <c r="C9403"/>
      <c r="D9403" s="90"/>
      <c r="E9403" s="36"/>
      <c r="F9403" s="91"/>
      <c r="G9403" s="91"/>
    </row>
    <row r="9404" spans="1:7">
      <c r="A9404" s="21"/>
      <c r="B9404"/>
      <c r="C9404"/>
      <c r="D9404" s="90"/>
      <c r="E9404" s="36"/>
      <c r="F9404" s="91"/>
      <c r="G9404" s="91"/>
    </row>
    <row r="9405" spans="1:7">
      <c r="A9405" s="21"/>
      <c r="B9405"/>
      <c r="C9405"/>
      <c r="D9405" s="90"/>
      <c r="E9405" s="36"/>
      <c r="F9405" s="91"/>
      <c r="G9405" s="91"/>
    </row>
    <row r="9406" spans="1:7">
      <c r="A9406" s="21"/>
      <c r="B9406"/>
      <c r="C9406"/>
      <c r="D9406" s="90"/>
      <c r="E9406" s="36"/>
      <c r="F9406" s="91"/>
      <c r="G9406" s="91"/>
    </row>
    <row r="9407" spans="1:7">
      <c r="A9407" s="21"/>
      <c r="B9407"/>
      <c r="C9407"/>
      <c r="D9407" s="90"/>
      <c r="E9407" s="36"/>
      <c r="F9407" s="91"/>
      <c r="G9407" s="91"/>
    </row>
    <row r="9408" spans="1:7">
      <c r="A9408" s="21"/>
      <c r="B9408"/>
      <c r="C9408"/>
      <c r="D9408" s="90"/>
      <c r="E9408" s="36"/>
      <c r="F9408" s="91"/>
      <c r="G9408" s="91"/>
    </row>
    <row r="9409" spans="1:7">
      <c r="A9409" s="21"/>
      <c r="B9409"/>
      <c r="C9409"/>
      <c r="D9409" s="90"/>
      <c r="E9409" s="36"/>
      <c r="F9409" s="91"/>
      <c r="G9409" s="91"/>
    </row>
    <row r="9410" spans="1:7">
      <c r="A9410" s="21"/>
      <c r="B9410"/>
      <c r="C9410"/>
      <c r="D9410" s="90"/>
      <c r="F9410" s="91"/>
      <c r="G9410" s="91"/>
    </row>
    <row r="9411" spans="1:7">
      <c r="A9411" s="21"/>
      <c r="B9411"/>
      <c r="C9411"/>
      <c r="D9411" s="90"/>
      <c r="E9411" s="36"/>
      <c r="F9411" s="91"/>
      <c r="G9411" s="91"/>
    </row>
    <row r="9412" spans="1:7">
      <c r="A9412" s="21"/>
      <c r="B9412"/>
      <c r="C9412"/>
      <c r="D9412" s="90"/>
      <c r="E9412" s="36"/>
      <c r="F9412" s="91"/>
      <c r="G9412" s="91"/>
    </row>
    <row r="9413" spans="1:7">
      <c r="A9413" s="21"/>
      <c r="B9413"/>
      <c r="C9413"/>
      <c r="D9413" s="90"/>
      <c r="E9413" s="36"/>
      <c r="F9413" s="91"/>
      <c r="G9413" s="91"/>
    </row>
    <row r="9414" spans="1:7">
      <c r="A9414" s="21"/>
      <c r="B9414"/>
      <c r="C9414"/>
      <c r="D9414" s="90"/>
      <c r="E9414" s="36"/>
      <c r="F9414" s="91"/>
      <c r="G9414" s="91"/>
    </row>
    <row r="9415" spans="1:7">
      <c r="A9415" s="21"/>
      <c r="B9415"/>
      <c r="C9415"/>
      <c r="D9415" s="90"/>
      <c r="E9415" s="36"/>
      <c r="F9415" s="91"/>
      <c r="G9415" s="91"/>
    </row>
    <row r="9416" spans="1:7">
      <c r="A9416" s="21"/>
      <c r="B9416"/>
      <c r="C9416"/>
      <c r="D9416" s="90"/>
      <c r="E9416" s="36"/>
      <c r="F9416" s="91"/>
      <c r="G9416" s="91"/>
    </row>
    <row r="9417" spans="1:7">
      <c r="A9417" s="21"/>
      <c r="B9417"/>
      <c r="C9417"/>
      <c r="D9417" s="90"/>
      <c r="E9417" s="36"/>
      <c r="F9417" s="91"/>
      <c r="G9417" s="91"/>
    </row>
    <row r="9418" spans="1:7">
      <c r="A9418" s="21"/>
      <c r="B9418"/>
      <c r="C9418"/>
      <c r="D9418" s="90"/>
      <c r="E9418" s="36"/>
      <c r="F9418" s="91"/>
      <c r="G9418" s="91"/>
    </row>
    <row r="9419" spans="1:7">
      <c r="A9419" s="21"/>
      <c r="B9419"/>
      <c r="C9419"/>
      <c r="D9419" s="90"/>
      <c r="E9419" s="36"/>
      <c r="F9419" s="91"/>
      <c r="G9419" s="91"/>
    </row>
    <row r="9420" spans="1:7">
      <c r="A9420" s="21"/>
      <c r="B9420"/>
      <c r="C9420"/>
      <c r="D9420" s="90"/>
      <c r="F9420" s="91"/>
      <c r="G9420" s="91"/>
    </row>
    <row r="9421" spans="1:7">
      <c r="A9421" s="21"/>
      <c r="B9421"/>
      <c r="C9421"/>
      <c r="D9421" s="90"/>
      <c r="E9421" s="36"/>
      <c r="F9421" s="91"/>
      <c r="G9421" s="91"/>
    </row>
    <row r="9422" spans="1:7">
      <c r="A9422" s="21"/>
      <c r="B9422"/>
      <c r="C9422"/>
      <c r="D9422" s="90"/>
      <c r="E9422" s="36"/>
      <c r="F9422" s="91"/>
      <c r="G9422" s="91"/>
    </row>
    <row r="9423" spans="1:7">
      <c r="A9423" s="21"/>
      <c r="B9423"/>
      <c r="C9423"/>
      <c r="D9423" s="90"/>
      <c r="E9423" s="36"/>
      <c r="F9423" s="91"/>
      <c r="G9423" s="91"/>
    </row>
    <row r="9424" spans="1:7">
      <c r="A9424" s="21"/>
      <c r="B9424"/>
      <c r="C9424"/>
      <c r="D9424" s="90"/>
      <c r="E9424" s="36"/>
      <c r="F9424" s="91"/>
      <c r="G9424" s="91"/>
    </row>
    <row r="9425" spans="1:7">
      <c r="A9425" s="21"/>
      <c r="B9425"/>
      <c r="C9425"/>
      <c r="D9425" s="90"/>
      <c r="E9425" s="36"/>
      <c r="F9425" s="91"/>
      <c r="G9425" s="91"/>
    </row>
    <row r="9426" spans="1:7">
      <c r="A9426" s="21"/>
      <c r="B9426"/>
      <c r="C9426"/>
      <c r="D9426" s="90"/>
      <c r="E9426" s="36"/>
      <c r="F9426" s="91"/>
      <c r="G9426" s="91"/>
    </row>
    <row r="9427" spans="1:7">
      <c r="A9427" s="21"/>
      <c r="B9427"/>
      <c r="C9427"/>
      <c r="D9427" s="90"/>
      <c r="F9427" s="91"/>
      <c r="G9427" s="91"/>
    </row>
    <row r="9428" spans="1:7">
      <c r="A9428" s="21"/>
      <c r="B9428"/>
      <c r="C9428"/>
      <c r="D9428" s="90"/>
      <c r="E9428" s="36"/>
      <c r="F9428" s="91"/>
      <c r="G9428" s="91"/>
    </row>
    <row r="9429" spans="1:7">
      <c r="A9429" s="21"/>
      <c r="B9429"/>
      <c r="C9429"/>
      <c r="D9429" s="90"/>
      <c r="E9429" s="36"/>
      <c r="F9429" s="91"/>
      <c r="G9429" s="91"/>
    </row>
    <row r="9430" spans="1:7">
      <c r="A9430" s="21"/>
      <c r="B9430"/>
      <c r="C9430"/>
      <c r="D9430" s="90"/>
      <c r="E9430" s="36"/>
      <c r="F9430" s="91"/>
      <c r="G9430" s="91"/>
    </row>
    <row r="9431" spans="1:7">
      <c r="A9431" s="21"/>
      <c r="B9431"/>
      <c r="C9431"/>
      <c r="D9431" s="90"/>
      <c r="E9431" s="36"/>
      <c r="F9431" s="91"/>
      <c r="G9431" s="91"/>
    </row>
    <row r="9432" spans="1:7">
      <c r="A9432" s="21"/>
      <c r="B9432"/>
      <c r="C9432"/>
      <c r="D9432" s="90"/>
      <c r="E9432" s="36"/>
      <c r="F9432" s="91"/>
      <c r="G9432" s="91"/>
    </row>
    <row r="9433" spans="1:7">
      <c r="A9433" s="21"/>
      <c r="B9433"/>
      <c r="C9433"/>
      <c r="D9433" s="90"/>
      <c r="E9433" s="36"/>
      <c r="F9433" s="91"/>
      <c r="G9433" s="91"/>
    </row>
    <row r="9434" spans="1:7">
      <c r="A9434" s="21"/>
      <c r="B9434"/>
      <c r="C9434"/>
      <c r="D9434" s="90"/>
      <c r="E9434" s="36"/>
      <c r="F9434" s="91"/>
      <c r="G9434" s="91"/>
    </row>
    <row r="9435" spans="1:7">
      <c r="A9435" s="21"/>
      <c r="B9435"/>
      <c r="C9435"/>
      <c r="D9435" s="90"/>
      <c r="F9435" s="91"/>
      <c r="G9435" s="91"/>
    </row>
    <row r="9436" spans="1:7">
      <c r="A9436" s="21"/>
      <c r="B9436"/>
      <c r="C9436"/>
      <c r="D9436" s="90"/>
      <c r="E9436" s="36"/>
      <c r="F9436" s="91"/>
      <c r="G9436" s="91"/>
    </row>
    <row r="9437" spans="1:7">
      <c r="A9437" s="21"/>
      <c r="B9437"/>
      <c r="C9437"/>
      <c r="D9437" s="90"/>
      <c r="E9437" s="36"/>
      <c r="F9437" s="91"/>
      <c r="G9437" s="91"/>
    </row>
    <row r="9438" spans="1:7">
      <c r="A9438" s="21"/>
      <c r="B9438"/>
      <c r="C9438"/>
      <c r="D9438" s="90"/>
      <c r="E9438" s="36"/>
      <c r="F9438" s="91"/>
      <c r="G9438" s="91"/>
    </row>
    <row r="9439" spans="1:7">
      <c r="A9439" s="21"/>
      <c r="B9439"/>
      <c r="C9439"/>
      <c r="D9439" s="90"/>
      <c r="E9439" s="36"/>
      <c r="F9439" s="91"/>
      <c r="G9439" s="91"/>
    </row>
    <row r="9440" spans="1:7">
      <c r="A9440" s="21"/>
      <c r="B9440"/>
      <c r="C9440"/>
      <c r="D9440" s="90"/>
      <c r="E9440" s="36"/>
      <c r="F9440" s="91"/>
      <c r="G9440" s="91"/>
    </row>
    <row r="9441" spans="1:7">
      <c r="A9441" s="21"/>
      <c r="B9441"/>
      <c r="C9441"/>
      <c r="D9441" s="90"/>
      <c r="E9441" s="36"/>
      <c r="F9441" s="91"/>
      <c r="G9441" s="91"/>
    </row>
    <row r="9442" spans="1:7">
      <c r="A9442" s="21"/>
      <c r="B9442"/>
      <c r="C9442"/>
      <c r="D9442" s="90"/>
      <c r="E9442" s="36"/>
      <c r="F9442" s="91"/>
      <c r="G9442" s="91"/>
    </row>
    <row r="9443" spans="1:7">
      <c r="A9443" s="21"/>
      <c r="B9443"/>
      <c r="C9443"/>
      <c r="D9443" s="90"/>
      <c r="F9443" s="91"/>
      <c r="G9443" s="91"/>
    </row>
    <row r="9444" spans="1:7">
      <c r="A9444" s="21"/>
      <c r="B9444"/>
      <c r="C9444"/>
      <c r="D9444" s="90"/>
      <c r="E9444" s="36"/>
      <c r="F9444" s="91"/>
      <c r="G9444" s="91"/>
    </row>
    <row r="9445" spans="1:7">
      <c r="A9445" s="21"/>
      <c r="B9445"/>
      <c r="C9445"/>
      <c r="D9445" s="90"/>
      <c r="E9445" s="36"/>
      <c r="F9445" s="91"/>
      <c r="G9445" s="91"/>
    </row>
    <row r="9446" spans="1:7">
      <c r="A9446" s="21"/>
      <c r="B9446"/>
      <c r="C9446"/>
      <c r="D9446" s="90"/>
      <c r="E9446" s="36"/>
      <c r="F9446" s="91"/>
      <c r="G9446" s="91"/>
    </row>
    <row r="9447" spans="1:7">
      <c r="A9447" s="21"/>
      <c r="B9447"/>
      <c r="C9447"/>
      <c r="D9447" s="90"/>
      <c r="E9447" s="36"/>
      <c r="F9447" s="91"/>
      <c r="G9447" s="91"/>
    </row>
    <row r="9448" spans="1:7">
      <c r="A9448" s="21"/>
      <c r="B9448"/>
      <c r="C9448"/>
      <c r="D9448" s="90"/>
      <c r="E9448" s="36"/>
      <c r="F9448" s="91"/>
      <c r="G9448" s="91"/>
    </row>
    <row r="9449" spans="1:7">
      <c r="A9449" s="21"/>
      <c r="B9449"/>
      <c r="C9449"/>
      <c r="D9449" s="90"/>
      <c r="E9449" s="36"/>
      <c r="F9449" s="91"/>
      <c r="G9449" s="91"/>
    </row>
    <row r="9450" spans="1:7">
      <c r="A9450" s="21"/>
      <c r="B9450"/>
      <c r="C9450"/>
      <c r="D9450" s="90"/>
      <c r="E9450" s="36"/>
      <c r="F9450" s="91"/>
      <c r="G9450" s="91"/>
    </row>
    <row r="9451" spans="1:7">
      <c r="A9451" s="21"/>
      <c r="B9451"/>
      <c r="C9451"/>
      <c r="D9451" s="90"/>
      <c r="E9451" s="36"/>
      <c r="F9451" s="91"/>
      <c r="G9451" s="91"/>
    </row>
    <row r="9452" spans="1:7">
      <c r="A9452" s="21"/>
      <c r="B9452"/>
      <c r="C9452"/>
      <c r="D9452" s="90"/>
      <c r="E9452" s="36"/>
      <c r="F9452" s="91"/>
      <c r="G9452" s="91"/>
    </row>
    <row r="9453" spans="1:7">
      <c r="A9453" s="21"/>
      <c r="B9453"/>
      <c r="C9453"/>
      <c r="D9453" s="90"/>
      <c r="F9453" s="91"/>
      <c r="G9453" s="91"/>
    </row>
    <row r="9454" spans="1:7">
      <c r="A9454" s="21"/>
      <c r="B9454"/>
      <c r="C9454"/>
      <c r="D9454" s="90"/>
      <c r="E9454" s="36"/>
      <c r="F9454" s="91"/>
      <c r="G9454" s="91"/>
    </row>
    <row r="9455" spans="1:7">
      <c r="A9455" s="21"/>
      <c r="B9455"/>
      <c r="C9455"/>
      <c r="D9455" s="90"/>
      <c r="E9455" s="36"/>
      <c r="F9455" s="91"/>
      <c r="G9455" s="91"/>
    </row>
    <row r="9456" spans="1:7">
      <c r="A9456" s="21"/>
      <c r="B9456"/>
      <c r="C9456"/>
      <c r="D9456" s="90"/>
      <c r="E9456" s="36"/>
      <c r="F9456" s="91"/>
      <c r="G9456" s="91"/>
    </row>
    <row r="9457" spans="1:7">
      <c r="A9457" s="21"/>
      <c r="B9457"/>
      <c r="C9457"/>
      <c r="D9457" s="90"/>
      <c r="E9457" s="36"/>
      <c r="F9457" s="91"/>
      <c r="G9457" s="91"/>
    </row>
    <row r="9458" spans="1:7">
      <c r="A9458" s="21"/>
      <c r="B9458"/>
      <c r="C9458"/>
      <c r="D9458" s="90"/>
      <c r="E9458" s="36"/>
      <c r="F9458" s="91"/>
      <c r="G9458" s="91"/>
    </row>
    <row r="9459" spans="1:7">
      <c r="A9459" s="21"/>
      <c r="B9459"/>
      <c r="C9459"/>
      <c r="D9459" s="90"/>
      <c r="E9459" s="36"/>
      <c r="F9459" s="91"/>
      <c r="G9459" s="91"/>
    </row>
    <row r="9460" spans="1:7">
      <c r="A9460" s="21"/>
      <c r="B9460"/>
      <c r="C9460"/>
      <c r="D9460" s="90"/>
      <c r="E9460" s="36"/>
      <c r="F9460" s="91"/>
      <c r="G9460" s="91"/>
    </row>
    <row r="9461" spans="1:7">
      <c r="A9461" s="21"/>
      <c r="B9461"/>
      <c r="C9461"/>
      <c r="D9461" s="90"/>
      <c r="E9461" s="36"/>
      <c r="F9461" s="91"/>
      <c r="G9461" s="91"/>
    </row>
    <row r="9462" spans="1:7">
      <c r="A9462" s="21"/>
      <c r="B9462"/>
      <c r="C9462"/>
      <c r="D9462" s="90"/>
      <c r="E9462" s="36"/>
      <c r="F9462" s="91"/>
      <c r="G9462" s="91"/>
    </row>
    <row r="9463" spans="1:7">
      <c r="A9463" s="21"/>
      <c r="B9463"/>
      <c r="C9463"/>
      <c r="D9463" s="90"/>
      <c r="E9463" s="36"/>
      <c r="F9463" s="91"/>
      <c r="G9463" s="91"/>
    </row>
    <row r="9464" spans="1:7">
      <c r="A9464" s="21"/>
      <c r="B9464"/>
      <c r="C9464"/>
      <c r="D9464" s="90"/>
      <c r="E9464" s="36"/>
      <c r="F9464" s="91"/>
      <c r="G9464" s="91"/>
    </row>
    <row r="9465" spans="1:7">
      <c r="A9465" s="21"/>
      <c r="B9465"/>
      <c r="C9465"/>
      <c r="D9465" s="90"/>
      <c r="E9465" s="36"/>
      <c r="F9465" s="91"/>
      <c r="G9465" s="91"/>
    </row>
    <row r="9466" spans="1:7">
      <c r="A9466" s="21"/>
      <c r="B9466"/>
      <c r="C9466"/>
      <c r="D9466" s="90"/>
      <c r="E9466" s="36"/>
      <c r="F9466" s="91"/>
      <c r="G9466" s="91"/>
    </row>
    <row r="9467" spans="1:7">
      <c r="A9467" s="21"/>
      <c r="B9467"/>
      <c r="C9467"/>
      <c r="D9467" s="90"/>
      <c r="E9467" s="36"/>
      <c r="F9467" s="91"/>
      <c r="G9467" s="91"/>
    </row>
    <row r="9468" spans="1:7">
      <c r="A9468" s="21"/>
      <c r="B9468"/>
      <c r="C9468"/>
      <c r="D9468" s="90"/>
      <c r="F9468" s="91"/>
      <c r="G9468" s="91"/>
    </row>
    <row r="9469" spans="1:7">
      <c r="A9469" s="21"/>
      <c r="B9469"/>
      <c r="C9469"/>
      <c r="D9469" s="90"/>
      <c r="E9469" s="36"/>
      <c r="F9469" s="91"/>
      <c r="G9469" s="91"/>
    </row>
    <row r="9470" spans="1:7">
      <c r="A9470" s="21"/>
      <c r="B9470"/>
      <c r="C9470"/>
      <c r="D9470" s="90"/>
      <c r="E9470" s="36"/>
      <c r="F9470" s="91"/>
      <c r="G9470" s="91"/>
    </row>
    <row r="9471" spans="1:7">
      <c r="A9471" s="21"/>
      <c r="B9471"/>
      <c r="C9471"/>
      <c r="D9471" s="90"/>
      <c r="E9471" s="36"/>
      <c r="F9471" s="91"/>
      <c r="G9471" s="91"/>
    </row>
    <row r="9472" spans="1:7">
      <c r="A9472" s="21"/>
      <c r="B9472"/>
      <c r="C9472"/>
      <c r="D9472" s="90"/>
      <c r="E9472" s="36"/>
      <c r="F9472" s="91"/>
      <c r="G9472" s="91"/>
    </row>
    <row r="9473" spans="1:7">
      <c r="A9473" s="21"/>
      <c r="B9473"/>
      <c r="C9473"/>
      <c r="D9473" s="90"/>
      <c r="E9473" s="36"/>
      <c r="F9473" s="91"/>
      <c r="G9473" s="91"/>
    </row>
    <row r="9474" spans="1:7">
      <c r="A9474" s="21"/>
      <c r="B9474"/>
      <c r="C9474"/>
      <c r="D9474" s="90"/>
      <c r="E9474" s="36"/>
      <c r="F9474" s="91"/>
      <c r="G9474" s="91"/>
    </row>
    <row r="9475" spans="1:7">
      <c r="A9475" s="21"/>
      <c r="B9475"/>
      <c r="C9475"/>
      <c r="D9475" s="90"/>
      <c r="E9475" s="36"/>
      <c r="F9475" s="91"/>
      <c r="G9475" s="91"/>
    </row>
    <row r="9476" spans="1:7">
      <c r="A9476" s="21"/>
      <c r="B9476"/>
      <c r="C9476"/>
      <c r="D9476" s="90"/>
      <c r="E9476" s="36"/>
      <c r="F9476" s="91"/>
      <c r="G9476" s="91"/>
    </row>
    <row r="9477" spans="1:7">
      <c r="A9477" s="21"/>
      <c r="B9477"/>
      <c r="C9477"/>
      <c r="D9477" s="90"/>
      <c r="E9477" s="36"/>
      <c r="F9477" s="91"/>
      <c r="G9477" s="91"/>
    </row>
    <row r="9478" spans="1:7">
      <c r="A9478" s="21"/>
      <c r="B9478"/>
      <c r="C9478"/>
      <c r="D9478" s="90"/>
      <c r="E9478" s="36"/>
      <c r="F9478" s="91"/>
      <c r="G9478" s="91"/>
    </row>
    <row r="9479" spans="1:7">
      <c r="A9479" s="21"/>
      <c r="B9479"/>
      <c r="C9479"/>
      <c r="D9479" s="90"/>
      <c r="E9479" s="36"/>
      <c r="F9479" s="91"/>
      <c r="G9479" s="91"/>
    </row>
    <row r="9480" spans="1:7">
      <c r="A9480" s="21"/>
      <c r="B9480"/>
      <c r="C9480"/>
      <c r="D9480" s="90"/>
      <c r="E9480" s="36"/>
      <c r="F9480" s="91"/>
      <c r="G9480" s="91"/>
    </row>
    <row r="9481" spans="1:7">
      <c r="A9481" s="21"/>
      <c r="B9481"/>
      <c r="C9481"/>
      <c r="D9481" s="90"/>
      <c r="E9481" s="36"/>
      <c r="F9481" s="91"/>
      <c r="G9481" s="91"/>
    </row>
    <row r="9482" spans="1:7">
      <c r="A9482" s="21"/>
      <c r="B9482"/>
      <c r="C9482"/>
      <c r="D9482" s="90"/>
      <c r="E9482" s="36"/>
      <c r="F9482" s="91"/>
      <c r="G9482" s="91"/>
    </row>
    <row r="9483" spans="1:7">
      <c r="A9483" s="21"/>
      <c r="B9483"/>
      <c r="C9483"/>
      <c r="D9483" s="90"/>
      <c r="E9483" s="36"/>
      <c r="F9483" s="91"/>
      <c r="G9483" s="91"/>
    </row>
    <row r="9484" spans="1:7">
      <c r="A9484" s="21"/>
      <c r="B9484"/>
      <c r="C9484"/>
      <c r="D9484" s="90"/>
      <c r="F9484" s="91"/>
      <c r="G9484" s="91"/>
    </row>
    <row r="9485" spans="1:7">
      <c r="A9485" s="21"/>
      <c r="B9485"/>
      <c r="C9485"/>
      <c r="D9485" s="90"/>
      <c r="E9485" s="36"/>
      <c r="F9485" s="91"/>
      <c r="G9485" s="91"/>
    </row>
    <row r="9486" spans="1:7">
      <c r="A9486" s="21"/>
      <c r="B9486"/>
      <c r="C9486"/>
      <c r="D9486" s="90"/>
      <c r="E9486" s="36"/>
      <c r="F9486" s="91"/>
      <c r="G9486" s="91"/>
    </row>
    <row r="9487" spans="1:7">
      <c r="A9487" s="21"/>
      <c r="B9487"/>
      <c r="C9487"/>
      <c r="D9487" s="90"/>
      <c r="E9487" s="36"/>
      <c r="F9487" s="91"/>
      <c r="G9487" s="91"/>
    </row>
    <row r="9488" spans="1:7">
      <c r="A9488" s="21"/>
      <c r="B9488"/>
      <c r="C9488"/>
      <c r="D9488" s="90"/>
      <c r="E9488" s="36"/>
      <c r="F9488" s="91"/>
      <c r="G9488" s="91"/>
    </row>
    <row r="9489" spans="1:7">
      <c r="A9489" s="21"/>
      <c r="B9489"/>
      <c r="C9489"/>
      <c r="D9489" s="90"/>
      <c r="E9489" s="36"/>
      <c r="F9489" s="91"/>
      <c r="G9489" s="91"/>
    </row>
    <row r="9490" spans="1:7">
      <c r="A9490" s="21"/>
      <c r="B9490"/>
      <c r="C9490"/>
      <c r="D9490" s="90"/>
      <c r="E9490" s="36"/>
      <c r="F9490" s="91"/>
      <c r="G9490" s="91"/>
    </row>
    <row r="9491" spans="1:7">
      <c r="A9491" s="21"/>
      <c r="B9491"/>
      <c r="C9491"/>
      <c r="D9491" s="90"/>
      <c r="E9491" s="36"/>
      <c r="F9491" s="91"/>
      <c r="G9491" s="91"/>
    </row>
    <row r="9492" spans="1:7">
      <c r="A9492" s="21"/>
      <c r="B9492"/>
      <c r="C9492"/>
      <c r="D9492" s="90"/>
      <c r="E9492" s="36"/>
      <c r="F9492" s="91"/>
      <c r="G9492" s="91"/>
    </row>
    <row r="9493" spans="1:7">
      <c r="A9493" s="21"/>
      <c r="B9493"/>
      <c r="C9493"/>
      <c r="D9493" s="90"/>
      <c r="E9493" s="36"/>
      <c r="F9493" s="91"/>
      <c r="G9493" s="91"/>
    </row>
    <row r="9494" spans="1:7">
      <c r="A9494" s="21"/>
      <c r="B9494"/>
      <c r="C9494"/>
      <c r="D9494" s="90"/>
      <c r="E9494" s="36"/>
      <c r="F9494" s="91"/>
      <c r="G9494" s="91"/>
    </row>
    <row r="9495" spans="1:7">
      <c r="A9495" s="21"/>
      <c r="B9495"/>
      <c r="C9495"/>
      <c r="D9495" s="90"/>
      <c r="E9495" s="36"/>
      <c r="F9495" s="91"/>
      <c r="G9495" s="91"/>
    </row>
    <row r="9496" spans="1:7">
      <c r="A9496" s="21"/>
      <c r="B9496"/>
      <c r="C9496"/>
      <c r="D9496" s="90"/>
      <c r="E9496" s="36"/>
      <c r="F9496" s="91"/>
      <c r="G9496" s="91"/>
    </row>
    <row r="9497" spans="1:7">
      <c r="A9497" s="21"/>
      <c r="B9497"/>
      <c r="C9497"/>
      <c r="D9497" s="90"/>
      <c r="E9497" s="36"/>
      <c r="F9497" s="91"/>
      <c r="G9497" s="91"/>
    </row>
    <row r="9498" spans="1:7">
      <c r="A9498" s="21"/>
      <c r="B9498"/>
      <c r="C9498"/>
      <c r="D9498" s="90"/>
      <c r="E9498" s="36"/>
      <c r="F9498" s="91"/>
      <c r="G9498" s="91"/>
    </row>
    <row r="9499" spans="1:7">
      <c r="A9499" s="21"/>
      <c r="B9499"/>
      <c r="C9499"/>
      <c r="D9499" s="90"/>
      <c r="E9499" s="36"/>
      <c r="F9499" s="91"/>
      <c r="G9499" s="91"/>
    </row>
    <row r="9500" spans="1:7">
      <c r="A9500" s="21"/>
      <c r="B9500"/>
      <c r="C9500"/>
      <c r="D9500" s="90"/>
      <c r="E9500" s="36"/>
      <c r="F9500" s="91"/>
      <c r="G9500" s="91"/>
    </row>
    <row r="9501" spans="1:7">
      <c r="A9501" s="21"/>
      <c r="B9501"/>
      <c r="C9501"/>
      <c r="D9501" s="90"/>
      <c r="E9501" s="36"/>
      <c r="F9501" s="91"/>
      <c r="G9501" s="91"/>
    </row>
    <row r="9502" spans="1:7">
      <c r="A9502" s="21"/>
      <c r="B9502"/>
      <c r="C9502"/>
      <c r="D9502" s="90"/>
      <c r="F9502" s="91"/>
      <c r="G9502" s="91"/>
    </row>
    <row r="9503" spans="1:7">
      <c r="A9503" s="21"/>
      <c r="B9503"/>
      <c r="C9503"/>
      <c r="D9503" s="90"/>
      <c r="E9503" s="36"/>
      <c r="F9503" s="91"/>
      <c r="G9503" s="91"/>
    </row>
    <row r="9504" spans="1:7">
      <c r="A9504" s="21"/>
      <c r="B9504"/>
      <c r="C9504"/>
      <c r="D9504" s="90"/>
      <c r="E9504" s="36"/>
      <c r="F9504" s="91"/>
      <c r="G9504" s="91"/>
    </row>
    <row r="9505" spans="1:7">
      <c r="A9505" s="21"/>
      <c r="B9505"/>
      <c r="C9505"/>
      <c r="D9505" s="90"/>
      <c r="E9505" s="36"/>
      <c r="F9505" s="91"/>
      <c r="G9505" s="91"/>
    </row>
    <row r="9506" spans="1:7">
      <c r="A9506" s="21"/>
      <c r="B9506"/>
      <c r="C9506"/>
      <c r="D9506" s="90"/>
      <c r="E9506" s="36"/>
      <c r="F9506" s="91"/>
      <c r="G9506" s="91"/>
    </row>
    <row r="9507" spans="1:7">
      <c r="A9507" s="21"/>
      <c r="B9507"/>
      <c r="C9507"/>
      <c r="D9507" s="90"/>
      <c r="E9507" s="36"/>
      <c r="F9507" s="91"/>
      <c r="G9507" s="91"/>
    </row>
    <row r="9508" spans="1:7">
      <c r="A9508" s="21"/>
      <c r="B9508"/>
      <c r="C9508"/>
      <c r="D9508" s="90"/>
      <c r="E9508" s="36"/>
      <c r="F9508" s="91"/>
      <c r="G9508" s="91"/>
    </row>
    <row r="9509" spans="1:7">
      <c r="A9509" s="21"/>
      <c r="B9509"/>
      <c r="C9509"/>
      <c r="D9509" s="90"/>
      <c r="E9509" s="36"/>
      <c r="F9509" s="91"/>
      <c r="G9509" s="91"/>
    </row>
    <row r="9510" spans="1:7">
      <c r="A9510" s="21"/>
      <c r="B9510"/>
      <c r="C9510"/>
      <c r="D9510" s="90"/>
      <c r="E9510" s="36"/>
      <c r="F9510" s="91"/>
      <c r="G9510" s="91"/>
    </row>
    <row r="9511" spans="1:7">
      <c r="A9511" s="21"/>
      <c r="B9511"/>
      <c r="C9511"/>
      <c r="D9511" s="90"/>
      <c r="E9511" s="36"/>
      <c r="F9511" s="91"/>
      <c r="G9511" s="91"/>
    </row>
    <row r="9512" spans="1:7">
      <c r="A9512" s="21"/>
      <c r="B9512"/>
      <c r="C9512"/>
      <c r="D9512" s="90"/>
      <c r="E9512" s="36"/>
      <c r="F9512" s="91"/>
      <c r="G9512" s="91"/>
    </row>
    <row r="9513" spans="1:7">
      <c r="A9513" s="21"/>
      <c r="B9513"/>
      <c r="C9513"/>
      <c r="D9513" s="90"/>
      <c r="E9513" s="36"/>
      <c r="F9513" s="91"/>
      <c r="G9513" s="91"/>
    </row>
    <row r="9514" spans="1:7">
      <c r="A9514" s="21"/>
      <c r="B9514"/>
      <c r="C9514"/>
      <c r="D9514" s="90"/>
      <c r="E9514" s="36"/>
      <c r="F9514" s="91"/>
      <c r="G9514" s="91"/>
    </row>
    <row r="9515" spans="1:7">
      <c r="A9515" s="21"/>
      <c r="B9515"/>
      <c r="C9515"/>
      <c r="D9515" s="90"/>
      <c r="E9515" s="36"/>
      <c r="F9515" s="91"/>
      <c r="G9515" s="91"/>
    </row>
    <row r="9516" spans="1:7">
      <c r="A9516" s="21"/>
      <c r="B9516"/>
      <c r="C9516"/>
      <c r="D9516" s="90"/>
      <c r="E9516" s="36"/>
      <c r="F9516" s="91"/>
      <c r="G9516" s="91"/>
    </row>
    <row r="9517" spans="1:7">
      <c r="A9517" s="21"/>
      <c r="B9517"/>
      <c r="C9517"/>
      <c r="D9517" s="90"/>
      <c r="E9517" s="36"/>
      <c r="F9517" s="91"/>
      <c r="G9517" s="91"/>
    </row>
    <row r="9518" spans="1:7">
      <c r="A9518" s="21"/>
      <c r="B9518"/>
      <c r="C9518"/>
      <c r="D9518" s="90"/>
      <c r="E9518" s="36"/>
      <c r="F9518" s="91"/>
      <c r="G9518" s="91"/>
    </row>
    <row r="9519" spans="1:7">
      <c r="A9519" s="21"/>
      <c r="B9519"/>
      <c r="C9519"/>
      <c r="D9519" s="90"/>
      <c r="E9519" s="36"/>
      <c r="F9519" s="91"/>
      <c r="G9519" s="91"/>
    </row>
    <row r="9520" spans="1:7">
      <c r="A9520" s="21"/>
      <c r="B9520"/>
      <c r="C9520"/>
      <c r="D9520" s="90"/>
      <c r="F9520" s="91"/>
      <c r="G9520" s="91"/>
    </row>
    <row r="9521" spans="1:7">
      <c r="A9521" s="21"/>
      <c r="B9521"/>
      <c r="C9521"/>
      <c r="D9521" s="90"/>
      <c r="E9521" s="36"/>
      <c r="F9521" s="91"/>
      <c r="G9521" s="91"/>
    </row>
    <row r="9522" spans="1:7">
      <c r="A9522" s="21"/>
      <c r="B9522"/>
      <c r="C9522"/>
      <c r="D9522" s="90"/>
      <c r="E9522" s="36"/>
      <c r="F9522" s="91"/>
      <c r="G9522" s="91"/>
    </row>
    <row r="9523" spans="1:7">
      <c r="A9523" s="21"/>
      <c r="B9523"/>
      <c r="C9523"/>
      <c r="D9523" s="90"/>
      <c r="E9523" s="36"/>
      <c r="F9523" s="91"/>
      <c r="G9523" s="91"/>
    </row>
    <row r="9524" spans="1:7">
      <c r="A9524" s="21"/>
      <c r="B9524"/>
      <c r="C9524"/>
      <c r="D9524" s="90"/>
      <c r="E9524" s="36"/>
      <c r="F9524" s="91"/>
      <c r="G9524" s="91"/>
    </row>
    <row r="9525" spans="1:7">
      <c r="A9525" s="21"/>
      <c r="B9525"/>
      <c r="C9525"/>
      <c r="D9525" s="90"/>
      <c r="E9525" s="36"/>
      <c r="F9525" s="91"/>
      <c r="G9525" s="91"/>
    </row>
    <row r="9526" spans="1:7">
      <c r="A9526" s="21"/>
      <c r="B9526"/>
      <c r="C9526"/>
      <c r="D9526" s="90"/>
      <c r="E9526" s="36"/>
      <c r="F9526" s="91"/>
      <c r="G9526" s="91"/>
    </row>
    <row r="9527" spans="1:7">
      <c r="A9527" s="21"/>
      <c r="B9527"/>
      <c r="C9527"/>
      <c r="D9527" s="90"/>
      <c r="E9527" s="36"/>
      <c r="F9527" s="91"/>
      <c r="G9527" s="91"/>
    </row>
    <row r="9528" spans="1:7">
      <c r="A9528" s="21"/>
      <c r="B9528"/>
      <c r="C9528"/>
      <c r="D9528" s="90"/>
      <c r="E9528" s="36"/>
      <c r="F9528" s="91"/>
      <c r="G9528" s="91"/>
    </row>
    <row r="9529" spans="1:7">
      <c r="A9529" s="21"/>
      <c r="B9529"/>
      <c r="C9529"/>
      <c r="D9529" s="90"/>
      <c r="E9529" s="36"/>
      <c r="F9529" s="91"/>
      <c r="G9529" s="91"/>
    </row>
    <row r="9530" spans="1:7">
      <c r="A9530" s="21"/>
      <c r="B9530"/>
      <c r="C9530"/>
      <c r="D9530" s="90"/>
      <c r="E9530" s="36"/>
      <c r="F9530" s="91"/>
      <c r="G9530" s="91"/>
    </row>
    <row r="9531" spans="1:7">
      <c r="A9531" s="21"/>
      <c r="B9531"/>
      <c r="C9531"/>
      <c r="D9531" s="90"/>
      <c r="E9531" s="36"/>
      <c r="F9531" s="91"/>
      <c r="G9531" s="91"/>
    </row>
    <row r="9532" spans="1:7">
      <c r="A9532" s="21"/>
      <c r="B9532"/>
      <c r="C9532"/>
      <c r="D9532" s="90"/>
      <c r="E9532" s="36"/>
      <c r="F9532" s="91"/>
      <c r="G9532" s="91"/>
    </row>
    <row r="9533" spans="1:7">
      <c r="A9533" s="21"/>
      <c r="B9533"/>
      <c r="C9533"/>
      <c r="D9533" s="90"/>
      <c r="E9533" s="36"/>
      <c r="F9533" s="91"/>
      <c r="G9533" s="91"/>
    </row>
    <row r="9534" spans="1:7">
      <c r="A9534" s="21"/>
      <c r="B9534"/>
      <c r="C9534"/>
      <c r="D9534" s="90"/>
      <c r="E9534" s="36"/>
      <c r="F9534" s="91"/>
      <c r="G9534" s="91"/>
    </row>
    <row r="9535" spans="1:7">
      <c r="A9535" s="21"/>
      <c r="B9535"/>
      <c r="C9535"/>
      <c r="D9535" s="90"/>
      <c r="F9535" s="91"/>
      <c r="G9535" s="91"/>
    </row>
    <row r="9536" spans="1:7">
      <c r="A9536" s="21"/>
      <c r="B9536"/>
      <c r="C9536"/>
      <c r="D9536" s="90"/>
      <c r="E9536" s="36"/>
      <c r="F9536" s="91"/>
      <c r="G9536" s="91"/>
    </row>
    <row r="9537" spans="1:7">
      <c r="A9537" s="21"/>
      <c r="B9537"/>
      <c r="C9537"/>
      <c r="D9537" s="90"/>
      <c r="E9537" s="36"/>
      <c r="F9537" s="91"/>
      <c r="G9537" s="91"/>
    </row>
    <row r="9538" spans="1:7">
      <c r="A9538" s="21"/>
      <c r="B9538"/>
      <c r="C9538"/>
      <c r="D9538" s="90"/>
      <c r="E9538" s="36"/>
      <c r="F9538" s="91"/>
      <c r="G9538" s="91"/>
    </row>
    <row r="9539" spans="1:7">
      <c r="A9539" s="21"/>
      <c r="B9539"/>
      <c r="C9539"/>
      <c r="D9539" s="90"/>
      <c r="E9539" s="36"/>
      <c r="F9539" s="91"/>
      <c r="G9539" s="91"/>
    </row>
    <row r="9540" spans="1:7">
      <c r="A9540" s="21"/>
      <c r="B9540"/>
      <c r="C9540"/>
      <c r="D9540" s="90"/>
      <c r="E9540" s="36"/>
      <c r="F9540" s="91"/>
      <c r="G9540" s="91"/>
    </row>
    <row r="9541" spans="1:7">
      <c r="A9541" s="21"/>
      <c r="B9541"/>
      <c r="C9541"/>
      <c r="D9541" s="90"/>
      <c r="E9541" s="36"/>
      <c r="F9541" s="91"/>
      <c r="G9541" s="91"/>
    </row>
    <row r="9542" spans="1:7">
      <c r="A9542" s="21"/>
      <c r="B9542"/>
      <c r="C9542"/>
      <c r="D9542" s="90"/>
      <c r="E9542" s="36"/>
      <c r="F9542" s="91"/>
      <c r="G9542" s="91"/>
    </row>
    <row r="9543" spans="1:7">
      <c r="A9543" s="21"/>
      <c r="B9543"/>
      <c r="C9543"/>
      <c r="D9543" s="90"/>
      <c r="E9543" s="36"/>
      <c r="F9543" s="91"/>
      <c r="G9543" s="91"/>
    </row>
    <row r="9544" spans="1:7">
      <c r="A9544" s="21"/>
      <c r="B9544"/>
      <c r="C9544"/>
      <c r="D9544" s="90"/>
      <c r="E9544" s="36"/>
      <c r="F9544" s="91"/>
      <c r="G9544" s="91"/>
    </row>
    <row r="9545" spans="1:7">
      <c r="A9545" s="21"/>
      <c r="B9545"/>
      <c r="C9545"/>
      <c r="D9545" s="90"/>
      <c r="E9545" s="36"/>
      <c r="F9545" s="91"/>
      <c r="G9545" s="91"/>
    </row>
    <row r="9546" spans="1:7">
      <c r="A9546" s="21"/>
      <c r="B9546"/>
      <c r="C9546"/>
      <c r="D9546" s="90"/>
      <c r="E9546" s="36"/>
      <c r="F9546" s="91"/>
      <c r="G9546" s="91"/>
    </row>
    <row r="9547" spans="1:7">
      <c r="A9547" s="21"/>
      <c r="B9547"/>
      <c r="C9547"/>
      <c r="D9547" s="90"/>
      <c r="E9547" s="36"/>
      <c r="F9547" s="91"/>
      <c r="G9547" s="91"/>
    </row>
    <row r="9548" spans="1:7">
      <c r="A9548" s="21"/>
      <c r="B9548"/>
      <c r="C9548"/>
      <c r="D9548" s="90"/>
      <c r="E9548" s="36"/>
      <c r="F9548" s="91"/>
      <c r="G9548" s="91"/>
    </row>
    <row r="9549" spans="1:7">
      <c r="A9549" s="21"/>
      <c r="B9549"/>
      <c r="C9549"/>
      <c r="D9549" s="90"/>
      <c r="E9549" s="36"/>
      <c r="F9549" s="91"/>
      <c r="G9549" s="91"/>
    </row>
    <row r="9550" spans="1:7">
      <c r="A9550" s="21"/>
      <c r="B9550"/>
      <c r="C9550"/>
      <c r="D9550" s="90"/>
      <c r="E9550" s="36"/>
      <c r="F9550" s="91"/>
      <c r="G9550" s="91"/>
    </row>
    <row r="9551" spans="1:7">
      <c r="A9551" s="21"/>
      <c r="B9551"/>
      <c r="C9551"/>
      <c r="D9551" s="90"/>
      <c r="E9551" s="36"/>
      <c r="F9551" s="91"/>
      <c r="G9551" s="91"/>
    </row>
    <row r="9552" spans="1:7">
      <c r="A9552" s="21"/>
      <c r="B9552"/>
      <c r="C9552"/>
      <c r="D9552" s="90"/>
      <c r="E9552" s="36"/>
      <c r="F9552" s="91"/>
      <c r="G9552" s="91"/>
    </row>
    <row r="9553" spans="1:7">
      <c r="A9553" s="21"/>
      <c r="B9553"/>
      <c r="C9553"/>
      <c r="D9553" s="90"/>
      <c r="F9553" s="91"/>
      <c r="G9553" s="91"/>
    </row>
    <row r="9554" spans="1:7">
      <c r="A9554" s="21"/>
      <c r="B9554"/>
      <c r="C9554"/>
      <c r="D9554" s="90"/>
      <c r="E9554" s="36"/>
      <c r="F9554" s="91"/>
      <c r="G9554" s="91"/>
    </row>
    <row r="9555" spans="1:7">
      <c r="A9555" s="21"/>
      <c r="B9555"/>
      <c r="C9555"/>
      <c r="D9555" s="90"/>
      <c r="E9555" s="36"/>
      <c r="F9555" s="91"/>
      <c r="G9555" s="91"/>
    </row>
    <row r="9556" spans="1:7">
      <c r="A9556" s="21"/>
      <c r="B9556"/>
      <c r="C9556"/>
      <c r="D9556" s="90"/>
      <c r="E9556" s="36"/>
      <c r="F9556" s="91"/>
      <c r="G9556" s="91"/>
    </row>
    <row r="9557" spans="1:7">
      <c r="A9557" s="21"/>
      <c r="B9557"/>
      <c r="C9557"/>
      <c r="D9557" s="90"/>
      <c r="E9557" s="36"/>
      <c r="F9557" s="91"/>
      <c r="G9557" s="91"/>
    </row>
    <row r="9558" spans="1:7">
      <c r="A9558" s="21"/>
      <c r="B9558"/>
      <c r="C9558"/>
      <c r="D9558" s="90"/>
      <c r="E9558" s="36"/>
      <c r="F9558" s="91"/>
      <c r="G9558" s="91"/>
    </row>
    <row r="9559" spans="1:7">
      <c r="A9559" s="21"/>
      <c r="B9559"/>
      <c r="C9559"/>
      <c r="D9559" s="90"/>
      <c r="E9559" s="36"/>
      <c r="F9559" s="91"/>
      <c r="G9559" s="91"/>
    </row>
    <row r="9560" spans="1:7">
      <c r="A9560" s="21"/>
      <c r="B9560"/>
      <c r="C9560"/>
      <c r="D9560" s="90"/>
      <c r="E9560" s="36"/>
      <c r="F9560" s="91"/>
      <c r="G9560" s="91"/>
    </row>
    <row r="9561" spans="1:7">
      <c r="A9561" s="21"/>
      <c r="B9561"/>
      <c r="C9561"/>
      <c r="D9561" s="90"/>
      <c r="E9561" s="36"/>
      <c r="F9561" s="91"/>
      <c r="G9561" s="91"/>
    </row>
    <row r="9562" spans="1:7">
      <c r="A9562" s="21"/>
      <c r="B9562"/>
      <c r="C9562"/>
      <c r="D9562" s="90"/>
      <c r="E9562" s="36"/>
      <c r="F9562" s="91"/>
      <c r="G9562" s="91"/>
    </row>
    <row r="9563" spans="1:7">
      <c r="A9563" s="21"/>
      <c r="B9563"/>
      <c r="C9563"/>
      <c r="D9563" s="90"/>
      <c r="E9563" s="36"/>
      <c r="F9563" s="91"/>
      <c r="G9563" s="91"/>
    </row>
    <row r="9564" spans="1:7">
      <c r="A9564" s="21"/>
      <c r="B9564"/>
      <c r="C9564"/>
      <c r="D9564" s="90"/>
      <c r="E9564" s="36"/>
      <c r="F9564" s="91"/>
      <c r="G9564" s="91"/>
    </row>
    <row r="9565" spans="1:7">
      <c r="A9565" s="21"/>
      <c r="B9565"/>
      <c r="C9565"/>
      <c r="D9565" s="90"/>
      <c r="E9565" s="36"/>
      <c r="F9565" s="91"/>
      <c r="G9565" s="91"/>
    </row>
    <row r="9566" spans="1:7">
      <c r="A9566" s="21"/>
      <c r="B9566"/>
      <c r="C9566"/>
      <c r="D9566" s="90"/>
      <c r="E9566" s="36"/>
      <c r="F9566" s="91"/>
      <c r="G9566" s="91"/>
    </row>
    <row r="9567" spans="1:7">
      <c r="A9567" s="21"/>
      <c r="B9567"/>
      <c r="C9567"/>
      <c r="D9567" s="90"/>
      <c r="E9567" s="36"/>
      <c r="F9567" s="91"/>
      <c r="G9567" s="91"/>
    </row>
    <row r="9568" spans="1:7">
      <c r="A9568" s="21"/>
      <c r="B9568"/>
      <c r="C9568"/>
      <c r="D9568" s="90"/>
      <c r="F9568" s="91"/>
      <c r="G9568" s="91"/>
    </row>
    <row r="9569" spans="1:7">
      <c r="A9569" s="21"/>
      <c r="B9569"/>
      <c r="C9569"/>
      <c r="D9569" s="90"/>
      <c r="E9569" s="36"/>
      <c r="F9569" s="91"/>
      <c r="G9569" s="91"/>
    </row>
    <row r="9570" spans="1:7">
      <c r="A9570" s="21"/>
      <c r="B9570"/>
      <c r="C9570"/>
      <c r="D9570" s="90"/>
      <c r="E9570" s="36"/>
      <c r="F9570" s="91"/>
      <c r="G9570" s="91"/>
    </row>
    <row r="9571" spans="1:7">
      <c r="A9571" s="21"/>
      <c r="B9571"/>
      <c r="C9571"/>
      <c r="D9571" s="90"/>
      <c r="E9571" s="36"/>
      <c r="F9571" s="91"/>
      <c r="G9571" s="91"/>
    </row>
    <row r="9572" spans="1:7">
      <c r="A9572" s="21"/>
      <c r="B9572"/>
      <c r="C9572"/>
      <c r="D9572" s="90"/>
      <c r="E9572" s="36"/>
      <c r="F9572" s="91"/>
      <c r="G9572" s="91"/>
    </row>
    <row r="9573" spans="1:7">
      <c r="A9573" s="21"/>
      <c r="B9573"/>
      <c r="C9573"/>
      <c r="D9573" s="90"/>
      <c r="E9573" s="36"/>
      <c r="F9573" s="91"/>
      <c r="G9573" s="91"/>
    </row>
    <row r="9574" spans="1:7">
      <c r="A9574" s="21"/>
      <c r="B9574"/>
      <c r="C9574"/>
      <c r="D9574" s="90"/>
      <c r="E9574" s="36"/>
      <c r="F9574" s="91"/>
      <c r="G9574" s="91"/>
    </row>
    <row r="9575" spans="1:7">
      <c r="A9575" s="21"/>
      <c r="B9575"/>
      <c r="C9575"/>
      <c r="D9575" s="90"/>
      <c r="E9575" s="36"/>
      <c r="F9575" s="91"/>
      <c r="G9575" s="91"/>
    </row>
    <row r="9576" spans="1:7">
      <c r="A9576" s="21"/>
      <c r="B9576"/>
      <c r="C9576"/>
      <c r="D9576" s="90"/>
      <c r="E9576" s="36"/>
      <c r="F9576" s="91"/>
      <c r="G9576" s="91"/>
    </row>
    <row r="9577" spans="1:7">
      <c r="A9577" s="21"/>
      <c r="B9577"/>
      <c r="C9577"/>
      <c r="D9577" s="90"/>
      <c r="E9577" s="36"/>
      <c r="F9577" s="91"/>
      <c r="G9577" s="91"/>
    </row>
    <row r="9578" spans="1:7">
      <c r="A9578" s="21"/>
      <c r="B9578"/>
      <c r="C9578"/>
      <c r="D9578" s="90"/>
      <c r="E9578" s="36"/>
      <c r="F9578" s="91"/>
      <c r="G9578" s="91"/>
    </row>
    <row r="9579" spans="1:7">
      <c r="A9579" s="21"/>
      <c r="B9579"/>
      <c r="C9579"/>
      <c r="D9579" s="90"/>
      <c r="E9579" s="36"/>
      <c r="F9579" s="91"/>
      <c r="G9579" s="91"/>
    </row>
    <row r="9580" spans="1:7">
      <c r="A9580" s="21"/>
      <c r="B9580"/>
      <c r="C9580"/>
      <c r="D9580" s="90"/>
      <c r="E9580" s="36"/>
      <c r="F9580" s="91"/>
      <c r="G9580" s="91"/>
    </row>
    <row r="9581" spans="1:7">
      <c r="A9581" s="21"/>
      <c r="B9581"/>
      <c r="C9581"/>
      <c r="D9581" s="90"/>
      <c r="E9581" s="36"/>
      <c r="F9581" s="91"/>
      <c r="G9581" s="91"/>
    </row>
    <row r="9582" spans="1:7">
      <c r="A9582" s="21"/>
      <c r="B9582"/>
      <c r="C9582"/>
      <c r="D9582" s="90"/>
      <c r="F9582" s="91"/>
      <c r="G9582" s="91"/>
    </row>
    <row r="9583" spans="1:7">
      <c r="A9583" s="21"/>
      <c r="B9583"/>
      <c r="C9583"/>
      <c r="D9583" s="90"/>
      <c r="E9583" s="36"/>
      <c r="F9583" s="91"/>
      <c r="G9583" s="91"/>
    </row>
    <row r="9584" spans="1:7">
      <c r="A9584" s="21"/>
      <c r="B9584"/>
      <c r="C9584"/>
      <c r="D9584" s="90"/>
      <c r="E9584" s="36"/>
      <c r="F9584" s="91"/>
      <c r="G9584" s="91"/>
    </row>
    <row r="9585" spans="1:7">
      <c r="A9585" s="21"/>
      <c r="B9585"/>
      <c r="C9585"/>
      <c r="D9585" s="90"/>
      <c r="E9585" s="36"/>
      <c r="F9585" s="91"/>
      <c r="G9585" s="91"/>
    </row>
    <row r="9586" spans="1:7">
      <c r="A9586" s="21"/>
      <c r="B9586"/>
      <c r="C9586"/>
      <c r="D9586" s="90"/>
      <c r="E9586" s="36"/>
      <c r="F9586" s="91"/>
      <c r="G9586" s="91"/>
    </row>
    <row r="9587" spans="1:7">
      <c r="A9587" s="21"/>
      <c r="B9587"/>
      <c r="C9587"/>
      <c r="D9587" s="90"/>
      <c r="E9587" s="36"/>
      <c r="F9587" s="91"/>
      <c r="G9587" s="91"/>
    </row>
    <row r="9588" spans="1:7">
      <c r="A9588" s="21"/>
      <c r="B9588"/>
      <c r="C9588"/>
      <c r="D9588" s="90"/>
      <c r="E9588" s="36"/>
      <c r="F9588" s="91"/>
      <c r="G9588" s="91"/>
    </row>
    <row r="9589" spans="1:7">
      <c r="A9589" s="21"/>
      <c r="B9589"/>
      <c r="C9589"/>
      <c r="D9589" s="90"/>
      <c r="E9589" s="36"/>
      <c r="F9589" s="91"/>
      <c r="G9589" s="91"/>
    </row>
    <row r="9590" spans="1:7">
      <c r="A9590" s="21"/>
      <c r="B9590"/>
      <c r="C9590"/>
      <c r="D9590" s="90"/>
      <c r="E9590" s="36"/>
      <c r="F9590" s="91"/>
      <c r="G9590" s="91"/>
    </row>
    <row r="9591" spans="1:7">
      <c r="A9591" s="21"/>
      <c r="B9591"/>
      <c r="C9591"/>
      <c r="D9591" s="90"/>
      <c r="E9591" s="36"/>
      <c r="F9591" s="91"/>
      <c r="G9591" s="91"/>
    </row>
    <row r="9592" spans="1:7">
      <c r="A9592" s="21"/>
      <c r="B9592"/>
      <c r="C9592"/>
      <c r="D9592" s="90"/>
      <c r="E9592" s="36"/>
      <c r="F9592" s="91"/>
      <c r="G9592" s="91"/>
    </row>
    <row r="9593" spans="1:7">
      <c r="A9593" s="21"/>
      <c r="B9593"/>
      <c r="C9593"/>
      <c r="D9593" s="90"/>
      <c r="E9593" s="36"/>
      <c r="F9593" s="91"/>
      <c r="G9593" s="91"/>
    </row>
    <row r="9594" spans="1:7">
      <c r="A9594" s="21"/>
      <c r="B9594"/>
      <c r="C9594"/>
      <c r="D9594" s="90"/>
      <c r="E9594" s="36"/>
      <c r="F9594" s="91"/>
      <c r="G9594" s="91"/>
    </row>
    <row r="9595" spans="1:7">
      <c r="A9595" s="21"/>
      <c r="B9595"/>
      <c r="C9595"/>
      <c r="D9595" s="90"/>
      <c r="E9595" s="36"/>
      <c r="F9595" s="91"/>
      <c r="G9595" s="91"/>
    </row>
    <row r="9596" spans="1:7">
      <c r="A9596" s="21"/>
      <c r="B9596"/>
      <c r="C9596"/>
      <c r="D9596" s="90"/>
      <c r="E9596" s="36"/>
      <c r="F9596" s="91"/>
      <c r="G9596" s="91"/>
    </row>
    <row r="9597" spans="1:7">
      <c r="A9597" s="21"/>
      <c r="B9597"/>
      <c r="C9597"/>
      <c r="D9597" s="90"/>
      <c r="F9597" s="91"/>
      <c r="G9597" s="91"/>
    </row>
    <row r="9598" spans="1:7">
      <c r="A9598" s="21"/>
      <c r="B9598"/>
      <c r="C9598"/>
      <c r="D9598" s="90"/>
      <c r="E9598" s="36"/>
      <c r="F9598" s="91"/>
      <c r="G9598" s="91"/>
    </row>
    <row r="9599" spans="1:7">
      <c r="A9599" s="21"/>
      <c r="B9599"/>
      <c r="C9599"/>
      <c r="D9599" s="90"/>
      <c r="E9599" s="36"/>
      <c r="F9599" s="91"/>
      <c r="G9599" s="91"/>
    </row>
    <row r="9600" spans="1:7">
      <c r="A9600" s="21"/>
      <c r="B9600"/>
      <c r="C9600"/>
      <c r="D9600" s="90"/>
      <c r="E9600" s="36"/>
      <c r="F9600" s="91"/>
      <c r="G9600" s="91"/>
    </row>
    <row r="9601" spans="1:7">
      <c r="A9601" s="21"/>
      <c r="B9601"/>
      <c r="C9601"/>
      <c r="D9601" s="90"/>
      <c r="E9601" s="36"/>
      <c r="F9601" s="91"/>
      <c r="G9601" s="91"/>
    </row>
    <row r="9602" spans="1:7">
      <c r="A9602" s="21"/>
      <c r="B9602"/>
      <c r="C9602"/>
      <c r="D9602" s="90"/>
      <c r="E9602" s="36"/>
      <c r="F9602" s="91"/>
      <c r="G9602" s="91"/>
    </row>
    <row r="9603" spans="1:7">
      <c r="A9603" s="21"/>
      <c r="B9603"/>
      <c r="C9603"/>
      <c r="D9603" s="90"/>
      <c r="E9603" s="36"/>
      <c r="F9603" s="91"/>
      <c r="G9603" s="91"/>
    </row>
    <row r="9604" spans="1:7">
      <c r="A9604" s="21"/>
      <c r="B9604"/>
      <c r="C9604"/>
      <c r="D9604" s="90"/>
      <c r="E9604" s="36"/>
      <c r="F9604" s="91"/>
      <c r="G9604" s="91"/>
    </row>
    <row r="9605" spans="1:7">
      <c r="A9605" s="21"/>
      <c r="B9605"/>
      <c r="C9605"/>
      <c r="D9605" s="90"/>
      <c r="E9605" s="36"/>
      <c r="F9605" s="91"/>
      <c r="G9605" s="91"/>
    </row>
    <row r="9606" spans="1:7">
      <c r="A9606" s="21"/>
      <c r="B9606"/>
      <c r="C9606"/>
      <c r="D9606" s="90"/>
      <c r="E9606" s="36"/>
      <c r="F9606" s="91"/>
      <c r="G9606" s="91"/>
    </row>
    <row r="9607" spans="1:7">
      <c r="A9607" s="21"/>
      <c r="B9607"/>
      <c r="C9607"/>
      <c r="D9607" s="90"/>
      <c r="E9607" s="36"/>
      <c r="F9607" s="91"/>
      <c r="G9607" s="91"/>
    </row>
    <row r="9608" spans="1:7">
      <c r="A9608" s="21"/>
      <c r="B9608"/>
      <c r="C9608"/>
      <c r="D9608" s="90"/>
      <c r="E9608" s="36"/>
      <c r="F9608" s="91"/>
      <c r="G9608" s="91"/>
    </row>
    <row r="9609" spans="1:7">
      <c r="A9609" s="21"/>
      <c r="B9609"/>
      <c r="C9609"/>
      <c r="D9609" s="90"/>
      <c r="E9609" s="36"/>
      <c r="F9609" s="91"/>
      <c r="G9609" s="91"/>
    </row>
    <row r="9610" spans="1:7">
      <c r="A9610" s="21"/>
      <c r="B9610"/>
      <c r="C9610"/>
      <c r="D9610" s="90"/>
      <c r="E9610" s="36"/>
      <c r="F9610" s="91"/>
      <c r="G9610" s="91"/>
    </row>
    <row r="9611" spans="1:7">
      <c r="A9611" s="21"/>
      <c r="B9611"/>
      <c r="C9611"/>
      <c r="D9611" s="90"/>
      <c r="E9611" s="36"/>
      <c r="F9611" s="91"/>
      <c r="G9611" s="91"/>
    </row>
    <row r="9612" spans="1:7">
      <c r="A9612" s="21"/>
      <c r="B9612"/>
      <c r="C9612"/>
      <c r="D9612" s="90"/>
      <c r="F9612" s="91"/>
      <c r="G9612" s="91"/>
    </row>
    <row r="9613" spans="1:7">
      <c r="A9613" s="21"/>
      <c r="B9613"/>
      <c r="C9613"/>
      <c r="D9613" s="90"/>
      <c r="E9613" s="36"/>
      <c r="F9613" s="91"/>
      <c r="G9613" s="91"/>
    </row>
    <row r="9614" spans="1:7">
      <c r="A9614" s="21"/>
      <c r="B9614"/>
      <c r="C9614"/>
      <c r="D9614" s="90"/>
      <c r="E9614" s="36"/>
      <c r="F9614" s="91"/>
      <c r="G9614" s="91"/>
    </row>
    <row r="9615" spans="1:7">
      <c r="A9615" s="21"/>
      <c r="B9615"/>
      <c r="C9615"/>
      <c r="D9615" s="90"/>
      <c r="E9615" s="36"/>
      <c r="F9615" s="91"/>
      <c r="G9615" s="91"/>
    </row>
    <row r="9616" spans="1:7">
      <c r="A9616" s="21"/>
      <c r="B9616"/>
      <c r="C9616"/>
      <c r="D9616" s="90"/>
      <c r="E9616" s="36"/>
      <c r="F9616" s="91"/>
      <c r="G9616" s="91"/>
    </row>
    <row r="9617" spans="1:7">
      <c r="A9617" s="21"/>
      <c r="B9617"/>
      <c r="C9617"/>
      <c r="D9617" s="90"/>
      <c r="E9617" s="36"/>
      <c r="F9617" s="91"/>
      <c r="G9617" s="91"/>
    </row>
    <row r="9618" spans="1:7">
      <c r="A9618" s="21"/>
      <c r="B9618"/>
      <c r="C9618"/>
      <c r="D9618" s="90"/>
      <c r="E9618" s="36"/>
      <c r="F9618" s="91"/>
      <c r="G9618" s="91"/>
    </row>
    <row r="9619" spans="1:7">
      <c r="A9619" s="21"/>
      <c r="B9619"/>
      <c r="C9619"/>
      <c r="D9619" s="90"/>
      <c r="E9619" s="36"/>
      <c r="F9619" s="91"/>
      <c r="G9619" s="91"/>
    </row>
    <row r="9620" spans="1:7">
      <c r="A9620" s="21"/>
      <c r="B9620"/>
      <c r="C9620"/>
      <c r="D9620" s="90"/>
      <c r="E9620" s="36"/>
      <c r="F9620" s="91"/>
      <c r="G9620" s="91"/>
    </row>
    <row r="9621" spans="1:7">
      <c r="A9621" s="21"/>
      <c r="B9621"/>
      <c r="C9621"/>
      <c r="D9621" s="90"/>
      <c r="E9621" s="36"/>
      <c r="F9621" s="91"/>
      <c r="G9621" s="91"/>
    </row>
    <row r="9622" spans="1:7">
      <c r="A9622" s="21"/>
      <c r="B9622"/>
      <c r="C9622"/>
      <c r="D9622" s="90"/>
      <c r="E9622" s="36"/>
      <c r="F9622" s="91"/>
      <c r="G9622" s="91"/>
    </row>
    <row r="9623" spans="1:7">
      <c r="A9623" s="21"/>
      <c r="B9623"/>
      <c r="C9623"/>
      <c r="D9623" s="90"/>
      <c r="E9623" s="36"/>
      <c r="F9623" s="91"/>
      <c r="G9623" s="91"/>
    </row>
    <row r="9624" spans="1:7">
      <c r="A9624" s="21"/>
      <c r="B9624"/>
      <c r="C9624"/>
      <c r="D9624" s="90"/>
      <c r="E9624" s="36"/>
      <c r="F9624" s="91"/>
      <c r="G9624" s="91"/>
    </row>
    <row r="9625" spans="1:7">
      <c r="A9625" s="21"/>
      <c r="B9625"/>
      <c r="C9625"/>
      <c r="D9625" s="90"/>
      <c r="E9625" s="36"/>
      <c r="F9625" s="91"/>
      <c r="G9625" s="91"/>
    </row>
    <row r="9626" spans="1:7">
      <c r="A9626" s="21"/>
      <c r="B9626"/>
      <c r="C9626"/>
      <c r="D9626" s="90"/>
      <c r="E9626" s="36"/>
      <c r="F9626" s="91"/>
      <c r="G9626" s="91"/>
    </row>
    <row r="9627" spans="1:7">
      <c r="A9627" s="21"/>
      <c r="B9627"/>
      <c r="C9627"/>
      <c r="D9627" s="90"/>
      <c r="E9627" s="36"/>
      <c r="F9627" s="91"/>
      <c r="G9627" s="91"/>
    </row>
    <row r="9628" spans="1:7">
      <c r="A9628" s="21"/>
      <c r="B9628"/>
      <c r="C9628"/>
      <c r="D9628" s="90"/>
      <c r="E9628" s="36"/>
      <c r="F9628" s="91"/>
      <c r="G9628" s="91"/>
    </row>
    <row r="9629" spans="1:7">
      <c r="A9629" s="21"/>
      <c r="B9629"/>
      <c r="C9629"/>
      <c r="D9629" s="90"/>
      <c r="E9629" s="36"/>
      <c r="F9629" s="91"/>
      <c r="G9629" s="91"/>
    </row>
    <row r="9630" spans="1:7">
      <c r="A9630" s="21"/>
      <c r="B9630"/>
      <c r="C9630"/>
      <c r="D9630" s="90"/>
      <c r="F9630" s="91"/>
      <c r="G9630" s="91"/>
    </row>
    <row r="9631" spans="1:7">
      <c r="A9631" s="21"/>
      <c r="B9631"/>
      <c r="C9631"/>
      <c r="D9631" s="90"/>
      <c r="E9631" s="36"/>
      <c r="F9631" s="91"/>
      <c r="G9631" s="91"/>
    </row>
    <row r="9632" spans="1:7">
      <c r="A9632" s="21"/>
      <c r="B9632"/>
      <c r="C9632"/>
      <c r="D9632" s="90"/>
      <c r="E9632" s="36"/>
      <c r="F9632" s="91"/>
      <c r="G9632" s="91"/>
    </row>
    <row r="9633" spans="1:7">
      <c r="A9633" s="21"/>
      <c r="B9633"/>
      <c r="C9633"/>
      <c r="D9633" s="90"/>
      <c r="E9633" s="36"/>
      <c r="F9633" s="91"/>
      <c r="G9633" s="91"/>
    </row>
    <row r="9634" spans="1:7">
      <c r="A9634" s="21"/>
      <c r="B9634"/>
      <c r="C9634"/>
      <c r="D9634" s="90"/>
      <c r="E9634" s="36"/>
      <c r="F9634" s="91"/>
      <c r="G9634" s="91"/>
    </row>
    <row r="9635" spans="1:7">
      <c r="A9635" s="21"/>
      <c r="B9635"/>
      <c r="C9635"/>
      <c r="D9635" s="90"/>
      <c r="E9635" s="36"/>
      <c r="F9635" s="91"/>
      <c r="G9635" s="91"/>
    </row>
    <row r="9636" spans="1:7">
      <c r="A9636" s="21"/>
      <c r="B9636"/>
      <c r="C9636"/>
      <c r="D9636" s="90"/>
      <c r="E9636" s="36"/>
      <c r="F9636" s="91"/>
      <c r="G9636" s="91"/>
    </row>
    <row r="9637" spans="1:7">
      <c r="A9637" s="21"/>
      <c r="B9637"/>
      <c r="C9637"/>
      <c r="D9637" s="90"/>
      <c r="E9637" s="36"/>
      <c r="F9637" s="91"/>
      <c r="G9637" s="91"/>
    </row>
    <row r="9638" spans="1:7">
      <c r="A9638" s="21"/>
      <c r="B9638"/>
      <c r="C9638"/>
      <c r="D9638" s="90"/>
      <c r="E9638" s="36"/>
      <c r="F9638" s="91"/>
      <c r="G9638" s="91"/>
    </row>
    <row r="9639" spans="1:7">
      <c r="A9639" s="21"/>
      <c r="B9639"/>
      <c r="C9639"/>
      <c r="D9639" s="90"/>
      <c r="E9639" s="36"/>
      <c r="F9639" s="91"/>
      <c r="G9639" s="91"/>
    </row>
    <row r="9640" spans="1:7">
      <c r="A9640" s="21"/>
      <c r="B9640"/>
      <c r="C9640"/>
      <c r="D9640" s="90"/>
      <c r="E9640" s="36"/>
      <c r="F9640" s="91"/>
      <c r="G9640" s="91"/>
    </row>
    <row r="9641" spans="1:7">
      <c r="A9641" s="21"/>
      <c r="B9641"/>
      <c r="C9641"/>
      <c r="D9641" s="90"/>
      <c r="E9641" s="36"/>
      <c r="F9641" s="91"/>
      <c r="G9641" s="91"/>
    </row>
    <row r="9642" spans="1:7">
      <c r="A9642" s="21"/>
      <c r="B9642"/>
      <c r="C9642"/>
      <c r="D9642" s="90"/>
      <c r="E9642" s="36"/>
      <c r="F9642" s="91"/>
      <c r="G9642" s="91"/>
    </row>
    <row r="9643" spans="1:7">
      <c r="A9643" s="21"/>
      <c r="B9643"/>
      <c r="C9643"/>
      <c r="D9643" s="90"/>
      <c r="E9643" s="36"/>
      <c r="F9643" s="91"/>
      <c r="G9643" s="91"/>
    </row>
    <row r="9644" spans="1:7">
      <c r="A9644" s="21"/>
      <c r="B9644"/>
      <c r="C9644"/>
      <c r="D9644" s="90"/>
      <c r="E9644" s="36"/>
      <c r="F9644" s="91"/>
      <c r="G9644" s="91"/>
    </row>
    <row r="9645" spans="1:7">
      <c r="A9645" s="21"/>
      <c r="B9645"/>
      <c r="C9645"/>
      <c r="D9645" s="90"/>
      <c r="E9645" s="36"/>
      <c r="F9645" s="91"/>
      <c r="G9645" s="91"/>
    </row>
    <row r="9646" spans="1:7">
      <c r="A9646" s="21"/>
      <c r="B9646"/>
      <c r="C9646"/>
      <c r="D9646" s="90"/>
      <c r="E9646" s="36"/>
      <c r="F9646" s="91"/>
      <c r="G9646" s="91"/>
    </row>
    <row r="9647" spans="1:7">
      <c r="A9647" s="21"/>
      <c r="B9647"/>
      <c r="C9647"/>
      <c r="D9647" s="90"/>
      <c r="E9647" s="36"/>
      <c r="F9647" s="91"/>
      <c r="G9647" s="91"/>
    </row>
    <row r="9648" spans="1:7">
      <c r="A9648" s="21"/>
      <c r="B9648"/>
      <c r="C9648"/>
      <c r="D9648" s="90"/>
      <c r="F9648" s="91"/>
      <c r="G9648" s="91"/>
    </row>
    <row r="9649" spans="1:7">
      <c r="A9649" s="21"/>
      <c r="B9649"/>
      <c r="C9649"/>
      <c r="D9649" s="90"/>
      <c r="E9649" s="36"/>
      <c r="F9649" s="91"/>
      <c r="G9649" s="91"/>
    </row>
    <row r="9650" spans="1:7">
      <c r="A9650" s="21"/>
      <c r="B9650"/>
      <c r="C9650"/>
      <c r="D9650" s="90"/>
      <c r="E9650" s="36"/>
      <c r="F9650" s="91"/>
      <c r="G9650" s="91"/>
    </row>
    <row r="9651" spans="1:7">
      <c r="A9651" s="21"/>
      <c r="B9651"/>
      <c r="C9651"/>
      <c r="D9651" s="90"/>
      <c r="E9651" s="36"/>
      <c r="F9651" s="91"/>
      <c r="G9651" s="91"/>
    </row>
    <row r="9652" spans="1:7">
      <c r="A9652" s="21"/>
      <c r="B9652"/>
      <c r="C9652"/>
      <c r="D9652" s="90"/>
      <c r="E9652" s="36"/>
      <c r="F9652" s="91"/>
      <c r="G9652" s="91"/>
    </row>
    <row r="9653" spans="1:7">
      <c r="A9653" s="21"/>
      <c r="B9653"/>
      <c r="C9653"/>
      <c r="D9653" s="90"/>
      <c r="E9653" s="36"/>
      <c r="F9653" s="91"/>
      <c r="G9653" s="91"/>
    </row>
    <row r="9654" spans="1:7">
      <c r="A9654" s="21"/>
      <c r="B9654"/>
      <c r="C9654"/>
      <c r="D9654" s="90"/>
      <c r="E9654" s="36"/>
      <c r="F9654" s="91"/>
      <c r="G9654" s="91"/>
    </row>
    <row r="9655" spans="1:7">
      <c r="A9655" s="21"/>
      <c r="B9655"/>
      <c r="C9655"/>
      <c r="D9655" s="90"/>
      <c r="E9655" s="36"/>
      <c r="F9655" s="91"/>
      <c r="G9655" s="91"/>
    </row>
    <row r="9656" spans="1:7">
      <c r="A9656" s="21"/>
      <c r="B9656"/>
      <c r="C9656"/>
      <c r="D9656" s="90"/>
      <c r="E9656" s="36"/>
      <c r="F9656" s="91"/>
      <c r="G9656" s="91"/>
    </row>
    <row r="9657" spans="1:7">
      <c r="A9657" s="21"/>
      <c r="B9657"/>
      <c r="C9657"/>
      <c r="D9657" s="90"/>
      <c r="E9657" s="36"/>
      <c r="F9657" s="91"/>
      <c r="G9657" s="91"/>
    </row>
    <row r="9658" spans="1:7">
      <c r="A9658" s="21"/>
      <c r="B9658"/>
      <c r="C9658"/>
      <c r="D9658" s="90"/>
      <c r="E9658" s="36"/>
      <c r="F9658" s="91"/>
      <c r="G9658" s="91"/>
    </row>
    <row r="9659" spans="1:7">
      <c r="A9659" s="21"/>
      <c r="B9659"/>
      <c r="C9659"/>
      <c r="D9659" s="90"/>
      <c r="E9659" s="36"/>
      <c r="F9659" s="91"/>
      <c r="G9659" s="91"/>
    </row>
    <row r="9660" spans="1:7">
      <c r="A9660" s="21"/>
      <c r="B9660"/>
      <c r="C9660"/>
      <c r="D9660" s="90"/>
      <c r="E9660" s="36"/>
      <c r="F9660" s="91"/>
      <c r="G9660" s="91"/>
    </row>
    <row r="9661" spans="1:7">
      <c r="A9661" s="21"/>
      <c r="B9661"/>
      <c r="C9661"/>
      <c r="D9661" s="90"/>
      <c r="E9661" s="36"/>
      <c r="F9661" s="91"/>
      <c r="G9661" s="91"/>
    </row>
    <row r="9662" spans="1:7">
      <c r="A9662" s="21"/>
      <c r="B9662"/>
      <c r="C9662"/>
      <c r="D9662" s="90"/>
      <c r="E9662" s="36"/>
      <c r="F9662" s="91"/>
      <c r="G9662" s="91"/>
    </row>
    <row r="9663" spans="1:7">
      <c r="A9663" s="21"/>
      <c r="B9663"/>
      <c r="C9663"/>
      <c r="D9663" s="90"/>
      <c r="E9663" s="36"/>
      <c r="F9663" s="91"/>
      <c r="G9663" s="91"/>
    </row>
    <row r="9664" spans="1:7">
      <c r="A9664" s="21"/>
      <c r="B9664"/>
      <c r="C9664"/>
      <c r="D9664" s="90"/>
      <c r="E9664" s="36"/>
      <c r="F9664" s="91"/>
      <c r="G9664" s="91"/>
    </row>
    <row r="9665" spans="1:7">
      <c r="A9665" s="21"/>
      <c r="B9665"/>
      <c r="C9665"/>
      <c r="D9665" s="90"/>
      <c r="E9665" s="36"/>
      <c r="F9665" s="91"/>
      <c r="G9665" s="91"/>
    </row>
    <row r="9666" spans="1:7">
      <c r="A9666" s="21"/>
      <c r="B9666"/>
      <c r="C9666"/>
      <c r="D9666" s="90"/>
      <c r="E9666" s="36"/>
      <c r="F9666" s="91"/>
      <c r="G9666" s="91"/>
    </row>
    <row r="9667" spans="1:7">
      <c r="A9667" s="21"/>
      <c r="B9667"/>
      <c r="C9667"/>
      <c r="D9667" s="90"/>
      <c r="F9667" s="91"/>
      <c r="G9667" s="91"/>
    </row>
    <row r="9668" spans="1:7">
      <c r="A9668" s="21"/>
      <c r="B9668"/>
      <c r="C9668"/>
      <c r="D9668" s="90"/>
      <c r="E9668" s="36"/>
      <c r="F9668" s="91"/>
      <c r="G9668" s="91"/>
    </row>
    <row r="9669" spans="1:7">
      <c r="A9669" s="21"/>
      <c r="B9669"/>
      <c r="C9669"/>
      <c r="D9669" s="90"/>
      <c r="E9669" s="36"/>
      <c r="F9669" s="91"/>
      <c r="G9669" s="91"/>
    </row>
    <row r="9670" spans="1:7">
      <c r="A9670" s="21"/>
      <c r="B9670"/>
      <c r="C9670"/>
      <c r="D9670" s="90"/>
      <c r="E9670" s="36"/>
      <c r="F9670" s="91"/>
      <c r="G9670" s="91"/>
    </row>
    <row r="9671" spans="1:7">
      <c r="A9671" s="21"/>
      <c r="B9671"/>
      <c r="C9671"/>
      <c r="D9671" s="90"/>
      <c r="E9671" s="36"/>
      <c r="F9671" s="91"/>
      <c r="G9671" s="91"/>
    </row>
    <row r="9672" spans="1:7">
      <c r="A9672" s="21"/>
      <c r="B9672"/>
      <c r="C9672"/>
      <c r="D9672" s="90"/>
      <c r="E9672" s="36"/>
      <c r="F9672" s="91"/>
      <c r="G9672" s="91"/>
    </row>
    <row r="9673" spans="1:7">
      <c r="A9673" s="21"/>
      <c r="B9673"/>
      <c r="C9673"/>
      <c r="D9673" s="90"/>
      <c r="E9673" s="36"/>
      <c r="F9673" s="91"/>
      <c r="G9673" s="91"/>
    </row>
    <row r="9674" spans="1:7">
      <c r="A9674" s="21"/>
      <c r="B9674"/>
      <c r="C9674"/>
      <c r="D9674" s="90"/>
      <c r="E9674" s="36"/>
      <c r="F9674" s="91"/>
      <c r="G9674" s="91"/>
    </row>
    <row r="9675" spans="1:7">
      <c r="A9675" s="21"/>
      <c r="B9675"/>
      <c r="C9675"/>
      <c r="D9675" s="90"/>
      <c r="E9675" s="36"/>
      <c r="F9675" s="91"/>
      <c r="G9675" s="91"/>
    </row>
    <row r="9676" spans="1:7">
      <c r="A9676" s="21"/>
      <c r="B9676"/>
      <c r="C9676"/>
      <c r="D9676" s="90"/>
      <c r="E9676" s="36"/>
      <c r="F9676" s="91"/>
      <c r="G9676" s="91"/>
    </row>
    <row r="9677" spans="1:7">
      <c r="A9677" s="21"/>
      <c r="B9677"/>
      <c r="C9677"/>
      <c r="D9677" s="90"/>
      <c r="E9677" s="36"/>
      <c r="F9677" s="91"/>
      <c r="G9677" s="91"/>
    </row>
    <row r="9678" spans="1:7">
      <c r="A9678" s="21"/>
      <c r="B9678"/>
      <c r="C9678"/>
      <c r="D9678" s="90"/>
      <c r="E9678" s="36"/>
      <c r="F9678" s="91"/>
      <c r="G9678" s="91"/>
    </row>
    <row r="9679" spans="1:7">
      <c r="A9679" s="21"/>
      <c r="B9679"/>
      <c r="C9679"/>
      <c r="D9679" s="90"/>
      <c r="E9679" s="36"/>
      <c r="F9679" s="91"/>
      <c r="G9679" s="91"/>
    </row>
    <row r="9680" spans="1:7">
      <c r="A9680" s="21"/>
      <c r="B9680"/>
      <c r="C9680"/>
      <c r="D9680" s="90"/>
      <c r="E9680" s="36"/>
      <c r="F9680" s="91"/>
      <c r="G9680" s="91"/>
    </row>
    <row r="9681" spans="1:7">
      <c r="A9681" s="21"/>
      <c r="B9681"/>
      <c r="C9681"/>
      <c r="D9681" s="90"/>
      <c r="E9681" s="36"/>
      <c r="F9681" s="91"/>
      <c r="G9681" s="91"/>
    </row>
    <row r="9682" spans="1:7">
      <c r="A9682" s="21"/>
      <c r="B9682"/>
      <c r="C9682"/>
      <c r="D9682" s="90"/>
      <c r="E9682" s="36"/>
      <c r="F9682" s="91"/>
      <c r="G9682" s="91"/>
    </row>
    <row r="9683" spans="1:7">
      <c r="A9683" s="21"/>
      <c r="B9683"/>
      <c r="C9683"/>
      <c r="D9683" s="90"/>
      <c r="E9683" s="36"/>
      <c r="F9683" s="91"/>
      <c r="G9683" s="91"/>
    </row>
    <row r="9684" spans="1:7">
      <c r="A9684" s="21"/>
      <c r="B9684"/>
      <c r="C9684"/>
      <c r="D9684" s="90"/>
      <c r="E9684" s="36"/>
      <c r="F9684" s="91"/>
      <c r="G9684" s="91"/>
    </row>
    <row r="9685" spans="1:7">
      <c r="A9685" s="21"/>
      <c r="B9685"/>
      <c r="C9685"/>
      <c r="D9685" s="90"/>
      <c r="E9685" s="36"/>
      <c r="F9685" s="91"/>
      <c r="G9685" s="91"/>
    </row>
    <row r="9686" spans="1:7">
      <c r="A9686" s="21"/>
      <c r="B9686"/>
      <c r="C9686"/>
      <c r="D9686" s="90"/>
      <c r="F9686" s="91"/>
      <c r="G9686" s="91"/>
    </row>
    <row r="9687" spans="1:7">
      <c r="A9687" s="21"/>
      <c r="B9687"/>
      <c r="C9687"/>
      <c r="D9687" s="90"/>
      <c r="E9687" s="36"/>
      <c r="F9687" s="91"/>
      <c r="G9687" s="91"/>
    </row>
    <row r="9688" spans="1:7">
      <c r="A9688" s="21"/>
      <c r="B9688"/>
      <c r="C9688"/>
      <c r="D9688" s="90"/>
      <c r="E9688" s="36"/>
      <c r="F9688" s="91"/>
      <c r="G9688" s="91"/>
    </row>
    <row r="9689" spans="1:7">
      <c r="A9689" s="21"/>
      <c r="B9689"/>
      <c r="C9689"/>
      <c r="D9689" s="90"/>
      <c r="E9689" s="36"/>
      <c r="F9689" s="91"/>
      <c r="G9689" s="91"/>
    </row>
    <row r="9690" spans="1:7">
      <c r="A9690" s="21"/>
      <c r="B9690"/>
      <c r="C9690"/>
      <c r="D9690" s="90"/>
      <c r="E9690" s="36"/>
      <c r="F9690" s="91"/>
      <c r="G9690" s="91"/>
    </row>
    <row r="9691" spans="1:7">
      <c r="A9691" s="21"/>
      <c r="B9691"/>
      <c r="C9691"/>
      <c r="D9691" s="90"/>
      <c r="E9691" s="36"/>
      <c r="F9691" s="91"/>
      <c r="G9691" s="91"/>
    </row>
    <row r="9692" spans="1:7">
      <c r="A9692" s="21"/>
      <c r="B9692"/>
      <c r="C9692"/>
      <c r="D9692" s="90"/>
      <c r="E9692" s="36"/>
      <c r="F9692" s="91"/>
      <c r="G9692" s="91"/>
    </row>
    <row r="9693" spans="1:7">
      <c r="A9693" s="21"/>
      <c r="B9693"/>
      <c r="C9693"/>
      <c r="D9693" s="90"/>
      <c r="E9693" s="36"/>
      <c r="F9693" s="91"/>
      <c r="G9693" s="91"/>
    </row>
    <row r="9694" spans="1:7">
      <c r="A9694" s="21"/>
      <c r="B9694"/>
      <c r="C9694"/>
      <c r="D9694" s="90"/>
      <c r="E9694" s="36"/>
      <c r="F9694" s="91"/>
      <c r="G9694" s="91"/>
    </row>
    <row r="9695" spans="1:7">
      <c r="A9695" s="21"/>
      <c r="B9695"/>
      <c r="C9695"/>
      <c r="D9695" s="90"/>
      <c r="E9695" s="36"/>
      <c r="F9695" s="91"/>
      <c r="G9695" s="91"/>
    </row>
    <row r="9696" spans="1:7">
      <c r="A9696" s="21"/>
      <c r="B9696"/>
      <c r="C9696"/>
      <c r="D9696" s="90"/>
      <c r="E9696" s="36"/>
      <c r="F9696" s="91"/>
      <c r="G9696" s="91"/>
    </row>
    <row r="9697" spans="1:7">
      <c r="A9697" s="21"/>
      <c r="B9697"/>
      <c r="C9697"/>
      <c r="D9697" s="90"/>
      <c r="E9697" s="36"/>
      <c r="F9697" s="91"/>
      <c r="G9697" s="91"/>
    </row>
    <row r="9698" spans="1:7">
      <c r="A9698" s="21"/>
      <c r="B9698"/>
      <c r="C9698"/>
      <c r="D9698" s="90"/>
      <c r="E9698" s="36"/>
      <c r="F9698" s="91"/>
      <c r="G9698" s="91"/>
    </row>
    <row r="9699" spans="1:7">
      <c r="A9699" s="21"/>
      <c r="B9699"/>
      <c r="C9699"/>
      <c r="D9699" s="90"/>
      <c r="E9699" s="36"/>
      <c r="F9699" s="91"/>
      <c r="G9699" s="91"/>
    </row>
    <row r="9700" spans="1:7">
      <c r="A9700" s="21"/>
      <c r="B9700"/>
      <c r="C9700"/>
      <c r="D9700" s="90"/>
      <c r="E9700" s="36"/>
      <c r="F9700" s="91"/>
      <c r="G9700" s="91"/>
    </row>
    <row r="9701" spans="1:7">
      <c r="A9701" s="21"/>
      <c r="B9701"/>
      <c r="C9701"/>
      <c r="D9701" s="90"/>
      <c r="E9701" s="36"/>
      <c r="F9701" s="91"/>
      <c r="G9701" s="91"/>
    </row>
    <row r="9702" spans="1:7">
      <c r="A9702" s="21"/>
      <c r="B9702"/>
      <c r="C9702"/>
      <c r="D9702" s="90"/>
      <c r="E9702" s="36"/>
      <c r="F9702" s="91"/>
      <c r="G9702" s="91"/>
    </row>
    <row r="9703" spans="1:7">
      <c r="A9703" s="21"/>
      <c r="B9703"/>
      <c r="C9703"/>
      <c r="D9703" s="90"/>
      <c r="F9703" s="91"/>
      <c r="G9703" s="91"/>
    </row>
    <row r="9704" spans="1:7">
      <c r="A9704" s="21"/>
      <c r="B9704"/>
      <c r="C9704"/>
      <c r="D9704" s="90"/>
      <c r="E9704" s="36"/>
      <c r="F9704" s="91"/>
      <c r="G9704" s="91"/>
    </row>
    <row r="9705" spans="1:7">
      <c r="A9705" s="21"/>
      <c r="B9705"/>
      <c r="C9705"/>
      <c r="D9705" s="90"/>
      <c r="E9705" s="36"/>
      <c r="F9705" s="91"/>
      <c r="G9705" s="91"/>
    </row>
    <row r="9706" spans="1:7">
      <c r="A9706" s="21"/>
      <c r="B9706"/>
      <c r="C9706"/>
      <c r="D9706" s="90"/>
      <c r="E9706" s="36"/>
      <c r="F9706" s="91"/>
      <c r="G9706" s="91"/>
    </row>
    <row r="9707" spans="1:7">
      <c r="A9707" s="21"/>
      <c r="B9707"/>
      <c r="C9707"/>
      <c r="D9707" s="90"/>
      <c r="E9707" s="36"/>
      <c r="F9707" s="91"/>
      <c r="G9707" s="91"/>
    </row>
    <row r="9708" spans="1:7">
      <c r="A9708" s="21"/>
      <c r="B9708"/>
      <c r="C9708"/>
      <c r="D9708" s="90"/>
      <c r="E9708" s="36"/>
      <c r="F9708" s="91"/>
      <c r="G9708" s="91"/>
    </row>
    <row r="9709" spans="1:7">
      <c r="A9709" s="21"/>
      <c r="B9709"/>
      <c r="C9709"/>
      <c r="D9709" s="90"/>
      <c r="E9709" s="36"/>
      <c r="F9709" s="91"/>
      <c r="G9709" s="91"/>
    </row>
    <row r="9710" spans="1:7">
      <c r="A9710" s="21"/>
      <c r="B9710"/>
      <c r="C9710"/>
      <c r="D9710" s="90"/>
      <c r="E9710" s="36"/>
      <c r="F9710" s="91"/>
      <c r="G9710" s="91"/>
    </row>
    <row r="9711" spans="1:7">
      <c r="A9711" s="21"/>
      <c r="B9711"/>
      <c r="C9711"/>
      <c r="D9711" s="90"/>
      <c r="E9711" s="36"/>
      <c r="F9711" s="91"/>
      <c r="G9711" s="91"/>
    </row>
    <row r="9712" spans="1:7">
      <c r="A9712" s="21"/>
      <c r="B9712"/>
      <c r="C9712"/>
      <c r="D9712" s="90"/>
      <c r="E9712" s="36"/>
      <c r="F9712" s="91"/>
      <c r="G9712" s="91"/>
    </row>
    <row r="9713" spans="1:7">
      <c r="A9713" s="21"/>
      <c r="B9713"/>
      <c r="C9713"/>
      <c r="D9713" s="90"/>
      <c r="E9713" s="36"/>
      <c r="F9713" s="91"/>
      <c r="G9713" s="91"/>
    </row>
    <row r="9714" spans="1:7">
      <c r="A9714" s="21"/>
      <c r="B9714"/>
      <c r="C9714"/>
      <c r="D9714" s="90"/>
      <c r="E9714" s="36"/>
      <c r="F9714" s="91"/>
      <c r="G9714" s="91"/>
    </row>
    <row r="9715" spans="1:7">
      <c r="A9715" s="21"/>
      <c r="B9715"/>
      <c r="C9715"/>
      <c r="D9715" s="90"/>
      <c r="E9715" s="36"/>
      <c r="F9715" s="91"/>
      <c r="G9715" s="91"/>
    </row>
    <row r="9716" spans="1:7">
      <c r="A9716" s="21"/>
      <c r="B9716"/>
      <c r="C9716"/>
      <c r="D9716" s="90"/>
      <c r="E9716" s="36"/>
      <c r="F9716" s="91"/>
      <c r="G9716" s="91"/>
    </row>
    <row r="9717" spans="1:7">
      <c r="A9717" s="21"/>
      <c r="B9717"/>
      <c r="C9717"/>
      <c r="D9717" s="90"/>
      <c r="E9717" s="36"/>
      <c r="F9717" s="91"/>
      <c r="G9717" s="91"/>
    </row>
    <row r="9718" spans="1:7">
      <c r="A9718" s="21"/>
      <c r="B9718"/>
      <c r="C9718"/>
      <c r="D9718" s="90"/>
      <c r="E9718" s="36"/>
      <c r="F9718" s="91"/>
      <c r="G9718" s="91"/>
    </row>
    <row r="9719" spans="1:7">
      <c r="A9719" s="21"/>
      <c r="B9719"/>
      <c r="C9719"/>
      <c r="D9719" s="90"/>
      <c r="E9719" s="36"/>
      <c r="F9719" s="91"/>
      <c r="G9719" s="91"/>
    </row>
    <row r="9720" spans="1:7">
      <c r="A9720" s="21"/>
      <c r="B9720"/>
      <c r="C9720"/>
      <c r="D9720" s="90"/>
      <c r="E9720" s="36"/>
      <c r="F9720" s="91"/>
      <c r="G9720" s="91"/>
    </row>
    <row r="9721" spans="1:7">
      <c r="A9721" s="21"/>
      <c r="B9721"/>
      <c r="C9721"/>
      <c r="D9721" s="90"/>
      <c r="E9721" s="36"/>
      <c r="F9721" s="91"/>
      <c r="G9721" s="91"/>
    </row>
    <row r="9722" spans="1:7">
      <c r="A9722" s="21"/>
      <c r="B9722"/>
      <c r="C9722"/>
      <c r="D9722" s="90"/>
      <c r="E9722" s="36"/>
      <c r="F9722" s="91"/>
      <c r="G9722" s="91"/>
    </row>
    <row r="9723" spans="1:7">
      <c r="A9723" s="21"/>
      <c r="B9723"/>
      <c r="C9723"/>
      <c r="D9723" s="90"/>
      <c r="F9723" s="91"/>
      <c r="G9723" s="91"/>
    </row>
    <row r="9724" spans="1:7">
      <c r="A9724" s="21"/>
      <c r="B9724"/>
      <c r="C9724"/>
      <c r="D9724" s="90"/>
      <c r="E9724" s="36"/>
      <c r="F9724" s="91"/>
      <c r="G9724" s="91"/>
    </row>
    <row r="9725" spans="1:7">
      <c r="A9725" s="21"/>
      <c r="B9725"/>
      <c r="C9725"/>
      <c r="D9725" s="90"/>
      <c r="E9725" s="36"/>
      <c r="F9725" s="91"/>
      <c r="G9725" s="91"/>
    </row>
    <row r="9726" spans="1:7">
      <c r="A9726" s="21"/>
      <c r="B9726"/>
      <c r="C9726"/>
      <c r="D9726" s="90"/>
      <c r="E9726" s="36"/>
      <c r="F9726" s="91"/>
      <c r="G9726" s="91"/>
    </row>
    <row r="9727" spans="1:7">
      <c r="A9727" s="21"/>
      <c r="B9727"/>
      <c r="C9727"/>
      <c r="D9727" s="90"/>
      <c r="E9727" s="36"/>
      <c r="F9727" s="91"/>
      <c r="G9727" s="91"/>
    </row>
    <row r="9728" spans="1:7">
      <c r="A9728" s="21"/>
      <c r="B9728"/>
      <c r="C9728"/>
      <c r="D9728" s="90"/>
      <c r="E9728" s="36"/>
      <c r="F9728" s="91"/>
      <c r="G9728" s="91"/>
    </row>
    <row r="9729" spans="1:7">
      <c r="A9729" s="21"/>
      <c r="B9729"/>
      <c r="C9729"/>
      <c r="D9729" s="90"/>
      <c r="E9729" s="36"/>
      <c r="F9729" s="91"/>
      <c r="G9729" s="91"/>
    </row>
    <row r="9730" spans="1:7">
      <c r="A9730" s="21"/>
      <c r="B9730"/>
      <c r="C9730"/>
      <c r="D9730" s="90"/>
      <c r="E9730" s="36"/>
      <c r="F9730" s="91"/>
      <c r="G9730" s="91"/>
    </row>
    <row r="9731" spans="1:7">
      <c r="A9731" s="21"/>
      <c r="B9731"/>
      <c r="C9731"/>
      <c r="D9731" s="90"/>
      <c r="E9731" s="36"/>
      <c r="F9731" s="91"/>
      <c r="G9731" s="91"/>
    </row>
    <row r="9732" spans="1:7">
      <c r="A9732" s="21"/>
      <c r="B9732"/>
      <c r="C9732"/>
      <c r="D9732" s="90"/>
      <c r="E9732" s="36"/>
      <c r="F9732" s="91"/>
      <c r="G9732" s="91"/>
    </row>
    <row r="9733" spans="1:7">
      <c r="A9733" s="21"/>
      <c r="B9733"/>
      <c r="C9733"/>
      <c r="D9733" s="90"/>
      <c r="E9733" s="36"/>
      <c r="F9733" s="91"/>
      <c r="G9733" s="91"/>
    </row>
    <row r="9734" spans="1:7">
      <c r="A9734" s="21"/>
      <c r="B9734"/>
      <c r="C9734"/>
      <c r="D9734" s="90"/>
      <c r="E9734" s="36"/>
      <c r="F9734" s="91"/>
      <c r="G9734" s="91"/>
    </row>
    <row r="9735" spans="1:7">
      <c r="A9735" s="21"/>
      <c r="B9735"/>
      <c r="C9735"/>
      <c r="D9735" s="90"/>
      <c r="E9735" s="36"/>
      <c r="F9735" s="91"/>
      <c r="G9735" s="91"/>
    </row>
    <row r="9736" spans="1:7">
      <c r="A9736" s="21"/>
      <c r="B9736"/>
      <c r="C9736"/>
      <c r="D9736" s="90"/>
      <c r="E9736" s="36"/>
      <c r="F9736" s="91"/>
      <c r="G9736" s="91"/>
    </row>
    <row r="9737" spans="1:7">
      <c r="A9737" s="21"/>
      <c r="B9737"/>
      <c r="C9737"/>
      <c r="D9737" s="90"/>
      <c r="E9737" s="36"/>
      <c r="F9737" s="91"/>
      <c r="G9737" s="91"/>
    </row>
    <row r="9738" spans="1:7">
      <c r="A9738" s="21"/>
      <c r="B9738"/>
      <c r="C9738"/>
      <c r="D9738" s="90"/>
      <c r="E9738" s="36"/>
      <c r="F9738" s="91"/>
      <c r="G9738" s="91"/>
    </row>
    <row r="9739" spans="1:7">
      <c r="A9739" s="21"/>
      <c r="B9739"/>
      <c r="C9739"/>
      <c r="D9739" s="90"/>
      <c r="E9739" s="36"/>
      <c r="F9739" s="91"/>
      <c r="G9739" s="91"/>
    </row>
    <row r="9740" spans="1:7">
      <c r="A9740" s="21"/>
      <c r="B9740"/>
      <c r="C9740"/>
      <c r="D9740" s="90"/>
      <c r="E9740" s="36"/>
      <c r="F9740" s="91"/>
      <c r="G9740" s="91"/>
    </row>
    <row r="9741" spans="1:7">
      <c r="A9741" s="21"/>
      <c r="B9741"/>
      <c r="C9741"/>
      <c r="D9741" s="90"/>
      <c r="E9741" s="36"/>
      <c r="F9741" s="91"/>
      <c r="G9741" s="91"/>
    </row>
    <row r="9742" spans="1:7">
      <c r="A9742" s="21"/>
      <c r="B9742"/>
      <c r="C9742"/>
      <c r="D9742" s="90"/>
      <c r="E9742" s="36"/>
      <c r="F9742" s="91"/>
      <c r="G9742" s="91"/>
    </row>
    <row r="9743" spans="1:7">
      <c r="A9743" s="21"/>
      <c r="B9743"/>
      <c r="C9743"/>
      <c r="D9743" s="90"/>
      <c r="F9743" s="91"/>
      <c r="G9743" s="91"/>
    </row>
    <row r="9744" spans="1:7">
      <c r="A9744" s="21"/>
      <c r="B9744"/>
      <c r="C9744"/>
      <c r="D9744" s="90"/>
      <c r="E9744" s="36"/>
      <c r="F9744" s="91"/>
      <c r="G9744" s="91"/>
    </row>
    <row r="9745" spans="1:7">
      <c r="A9745" s="21"/>
      <c r="B9745"/>
      <c r="C9745"/>
      <c r="D9745" s="90"/>
      <c r="E9745" s="36"/>
      <c r="F9745" s="91"/>
      <c r="G9745" s="91"/>
    </row>
    <row r="9746" spans="1:7">
      <c r="A9746" s="21"/>
      <c r="B9746"/>
      <c r="C9746"/>
      <c r="D9746" s="90"/>
      <c r="E9746" s="36"/>
      <c r="F9746" s="91"/>
      <c r="G9746" s="91"/>
    </row>
    <row r="9747" spans="1:7">
      <c r="A9747" s="21"/>
      <c r="B9747"/>
      <c r="C9747"/>
      <c r="D9747" s="90"/>
      <c r="E9747" s="36"/>
      <c r="F9747" s="91"/>
      <c r="G9747" s="91"/>
    </row>
    <row r="9748" spans="1:7">
      <c r="A9748" s="21"/>
      <c r="B9748"/>
      <c r="C9748"/>
      <c r="D9748" s="90"/>
      <c r="E9748" s="36"/>
      <c r="F9748" s="91"/>
      <c r="G9748" s="91"/>
    </row>
    <row r="9749" spans="1:7">
      <c r="A9749" s="21"/>
      <c r="B9749"/>
      <c r="C9749"/>
      <c r="D9749" s="90"/>
      <c r="E9749" s="36"/>
      <c r="F9749" s="91"/>
      <c r="G9749" s="91"/>
    </row>
    <row r="9750" spans="1:7">
      <c r="A9750" s="21"/>
      <c r="B9750"/>
      <c r="C9750"/>
      <c r="D9750" s="90"/>
      <c r="E9750" s="36"/>
      <c r="F9750" s="91"/>
      <c r="G9750" s="91"/>
    </row>
    <row r="9751" spans="1:7">
      <c r="A9751" s="21"/>
      <c r="B9751"/>
      <c r="C9751"/>
      <c r="D9751" s="90"/>
      <c r="E9751" s="36"/>
      <c r="F9751" s="91"/>
      <c r="G9751" s="91"/>
    </row>
    <row r="9752" spans="1:7">
      <c r="A9752" s="21"/>
      <c r="B9752"/>
      <c r="C9752"/>
      <c r="D9752" s="90"/>
      <c r="E9752" s="36"/>
      <c r="F9752" s="91"/>
      <c r="G9752" s="91"/>
    </row>
    <row r="9753" spans="1:7">
      <c r="A9753" s="21"/>
      <c r="B9753"/>
      <c r="C9753"/>
      <c r="D9753" s="90"/>
      <c r="E9753" s="36"/>
      <c r="F9753" s="91"/>
      <c r="G9753" s="91"/>
    </row>
    <row r="9754" spans="1:7">
      <c r="A9754" s="21"/>
      <c r="B9754"/>
      <c r="C9754"/>
      <c r="D9754" s="90"/>
      <c r="E9754" s="36"/>
      <c r="F9754" s="91"/>
      <c r="G9754" s="91"/>
    </row>
    <row r="9755" spans="1:7">
      <c r="A9755" s="21"/>
      <c r="B9755"/>
      <c r="C9755"/>
      <c r="D9755" s="90"/>
      <c r="E9755" s="36"/>
      <c r="F9755" s="91"/>
      <c r="G9755" s="91"/>
    </row>
    <row r="9756" spans="1:7">
      <c r="A9756" s="21"/>
      <c r="B9756"/>
      <c r="C9756"/>
      <c r="D9756" s="90"/>
      <c r="E9756" s="36"/>
      <c r="F9756" s="91"/>
      <c r="G9756" s="91"/>
    </row>
    <row r="9757" spans="1:7">
      <c r="A9757" s="21"/>
      <c r="B9757"/>
      <c r="C9757"/>
      <c r="D9757" s="90"/>
      <c r="E9757" s="36"/>
      <c r="F9757" s="91"/>
      <c r="G9757" s="91"/>
    </row>
    <row r="9758" spans="1:7">
      <c r="A9758" s="21"/>
      <c r="B9758"/>
      <c r="C9758"/>
      <c r="D9758" s="90"/>
      <c r="E9758" s="36"/>
      <c r="F9758" s="91"/>
      <c r="G9758" s="91"/>
    </row>
    <row r="9759" spans="1:7">
      <c r="A9759" s="21"/>
      <c r="B9759"/>
      <c r="C9759"/>
      <c r="D9759" s="90"/>
      <c r="E9759" s="36"/>
      <c r="F9759" s="91"/>
      <c r="G9759" s="91"/>
    </row>
    <row r="9760" spans="1:7">
      <c r="A9760" s="21"/>
      <c r="B9760"/>
      <c r="C9760"/>
      <c r="D9760" s="90"/>
      <c r="F9760" s="91"/>
      <c r="G9760" s="91"/>
    </row>
    <row r="9761" spans="1:7">
      <c r="A9761" s="21"/>
      <c r="B9761"/>
      <c r="C9761"/>
      <c r="D9761" s="90"/>
      <c r="E9761" s="36"/>
      <c r="F9761" s="91"/>
      <c r="G9761" s="91"/>
    </row>
    <row r="9762" spans="1:7">
      <c r="A9762" s="21"/>
      <c r="B9762"/>
      <c r="C9762"/>
      <c r="D9762" s="90"/>
      <c r="E9762" s="36"/>
      <c r="F9762" s="91"/>
      <c r="G9762" s="91"/>
    </row>
    <row r="9763" spans="1:7">
      <c r="A9763" s="21"/>
      <c r="B9763"/>
      <c r="C9763"/>
      <c r="D9763" s="90"/>
      <c r="E9763" s="36"/>
      <c r="F9763" s="91"/>
      <c r="G9763" s="91"/>
    </row>
    <row r="9764" spans="1:7">
      <c r="A9764" s="21"/>
      <c r="B9764"/>
      <c r="C9764"/>
      <c r="D9764" s="90"/>
      <c r="E9764" s="36"/>
      <c r="F9764" s="91"/>
      <c r="G9764" s="91"/>
    </row>
    <row r="9765" spans="1:7">
      <c r="A9765" s="21"/>
      <c r="B9765"/>
      <c r="C9765"/>
      <c r="D9765" s="90"/>
      <c r="E9765" s="36"/>
      <c r="F9765" s="91"/>
      <c r="G9765" s="91"/>
    </row>
    <row r="9766" spans="1:7">
      <c r="A9766" s="21"/>
      <c r="B9766"/>
      <c r="C9766"/>
      <c r="D9766" s="90"/>
      <c r="E9766" s="36"/>
      <c r="F9766" s="91"/>
      <c r="G9766" s="91"/>
    </row>
    <row r="9767" spans="1:7">
      <c r="A9767" s="21"/>
      <c r="B9767"/>
      <c r="C9767"/>
      <c r="D9767" s="90"/>
      <c r="E9767" s="36"/>
      <c r="F9767" s="91"/>
      <c r="G9767" s="91"/>
    </row>
    <row r="9768" spans="1:7">
      <c r="A9768" s="21"/>
      <c r="B9768"/>
      <c r="C9768"/>
      <c r="D9768" s="90"/>
      <c r="E9768" s="36"/>
      <c r="F9768" s="91"/>
      <c r="G9768" s="91"/>
    </row>
    <row r="9769" spans="1:7">
      <c r="A9769" s="21"/>
      <c r="B9769"/>
      <c r="C9769"/>
      <c r="D9769" s="90"/>
      <c r="E9769" s="36"/>
      <c r="F9769" s="91"/>
      <c r="G9769" s="91"/>
    </row>
    <row r="9770" spans="1:7">
      <c r="A9770" s="21"/>
      <c r="B9770"/>
      <c r="C9770"/>
      <c r="D9770" s="90"/>
      <c r="E9770" s="36"/>
      <c r="F9770" s="91"/>
      <c r="G9770" s="91"/>
    </row>
    <row r="9771" spans="1:7">
      <c r="A9771" s="21"/>
      <c r="B9771"/>
      <c r="C9771"/>
      <c r="D9771" s="90"/>
      <c r="E9771" s="36"/>
      <c r="F9771" s="91"/>
      <c r="G9771" s="91"/>
    </row>
    <row r="9772" spans="1:7">
      <c r="A9772" s="21"/>
      <c r="B9772"/>
      <c r="C9772"/>
      <c r="D9772" s="90"/>
      <c r="E9772" s="36"/>
      <c r="F9772" s="91"/>
      <c r="G9772" s="91"/>
    </row>
    <row r="9773" spans="1:7">
      <c r="A9773" s="21"/>
      <c r="B9773"/>
      <c r="C9773"/>
      <c r="D9773" s="90"/>
      <c r="E9773" s="36"/>
      <c r="F9773" s="91"/>
      <c r="G9773" s="91"/>
    </row>
    <row r="9774" spans="1:7">
      <c r="A9774" s="21"/>
      <c r="B9774"/>
      <c r="C9774"/>
      <c r="D9774" s="90"/>
      <c r="E9774" s="36"/>
      <c r="F9774" s="91"/>
      <c r="G9774" s="91"/>
    </row>
    <row r="9775" spans="1:7">
      <c r="A9775" s="21"/>
      <c r="B9775"/>
      <c r="C9775"/>
      <c r="D9775" s="90"/>
      <c r="E9775" s="36"/>
      <c r="F9775" s="91"/>
      <c r="G9775" s="91"/>
    </row>
    <row r="9776" spans="1:7">
      <c r="A9776" s="21"/>
      <c r="B9776"/>
      <c r="C9776"/>
      <c r="D9776" s="90"/>
      <c r="E9776" s="36"/>
      <c r="F9776" s="91"/>
      <c r="G9776" s="91"/>
    </row>
    <row r="9777" spans="1:7">
      <c r="A9777" s="21"/>
      <c r="B9777"/>
      <c r="C9777"/>
      <c r="D9777" s="90"/>
      <c r="E9777" s="36"/>
      <c r="F9777" s="91"/>
      <c r="G9777" s="91"/>
    </row>
    <row r="9778" spans="1:7">
      <c r="A9778" s="21"/>
      <c r="B9778"/>
      <c r="C9778"/>
      <c r="D9778" s="90"/>
      <c r="E9778" s="36"/>
      <c r="F9778" s="91"/>
      <c r="G9778" s="91"/>
    </row>
    <row r="9779" spans="1:7">
      <c r="A9779" s="21"/>
      <c r="B9779"/>
      <c r="C9779"/>
      <c r="D9779" s="90"/>
      <c r="E9779" s="36"/>
      <c r="F9779" s="91"/>
      <c r="G9779" s="91"/>
    </row>
    <row r="9780" spans="1:7">
      <c r="A9780" s="21"/>
      <c r="B9780"/>
      <c r="C9780"/>
      <c r="D9780" s="90"/>
      <c r="E9780" s="36"/>
      <c r="F9780" s="91"/>
      <c r="G9780" s="91"/>
    </row>
    <row r="9781" spans="1:7">
      <c r="A9781" s="21"/>
      <c r="B9781"/>
      <c r="C9781"/>
      <c r="D9781" s="90"/>
      <c r="E9781" s="36"/>
      <c r="F9781" s="91"/>
      <c r="G9781" s="91"/>
    </row>
    <row r="9782" spans="1:7">
      <c r="A9782" s="21"/>
      <c r="B9782"/>
      <c r="C9782"/>
      <c r="D9782" s="90"/>
      <c r="E9782" s="36"/>
      <c r="F9782" s="91"/>
      <c r="G9782" s="91"/>
    </row>
    <row r="9783" spans="1:7">
      <c r="A9783" s="21"/>
      <c r="B9783"/>
      <c r="C9783"/>
      <c r="D9783" s="90"/>
      <c r="F9783" s="91"/>
      <c r="G9783" s="91"/>
    </row>
    <row r="9784" spans="1:7">
      <c r="A9784" s="21"/>
      <c r="B9784"/>
      <c r="C9784"/>
      <c r="D9784" s="90"/>
      <c r="E9784" s="36"/>
      <c r="F9784" s="91"/>
      <c r="G9784" s="91"/>
    </row>
    <row r="9785" spans="1:7">
      <c r="A9785" s="21"/>
      <c r="B9785"/>
      <c r="C9785"/>
      <c r="D9785" s="90"/>
      <c r="E9785" s="36"/>
      <c r="F9785" s="91"/>
      <c r="G9785" s="91"/>
    </row>
    <row r="9786" spans="1:7">
      <c r="A9786" s="21"/>
      <c r="B9786"/>
      <c r="C9786"/>
      <c r="D9786" s="90"/>
      <c r="E9786" s="36"/>
      <c r="F9786" s="91"/>
      <c r="G9786" s="91"/>
    </row>
    <row r="9787" spans="1:7">
      <c r="A9787" s="21"/>
      <c r="B9787"/>
      <c r="C9787"/>
      <c r="D9787" s="90"/>
      <c r="E9787" s="36"/>
      <c r="F9787" s="91"/>
      <c r="G9787" s="91"/>
    </row>
    <row r="9788" spans="1:7">
      <c r="A9788" s="21"/>
      <c r="B9788"/>
      <c r="C9788"/>
      <c r="D9788" s="90"/>
      <c r="E9788" s="36"/>
      <c r="F9788" s="91"/>
      <c r="G9788" s="91"/>
    </row>
    <row r="9789" spans="1:7">
      <c r="A9789" s="21"/>
      <c r="B9789"/>
      <c r="C9789"/>
      <c r="D9789" s="90"/>
      <c r="E9789" s="36"/>
      <c r="F9789" s="91"/>
      <c r="G9789" s="91"/>
    </row>
    <row r="9790" spans="1:7">
      <c r="A9790" s="21"/>
      <c r="B9790"/>
      <c r="C9790"/>
      <c r="D9790" s="90"/>
      <c r="E9790" s="36"/>
      <c r="F9790" s="91"/>
      <c r="G9790" s="91"/>
    </row>
    <row r="9791" spans="1:7">
      <c r="A9791" s="21"/>
      <c r="B9791"/>
      <c r="C9791"/>
      <c r="D9791" s="90"/>
      <c r="E9791" s="36"/>
      <c r="F9791" s="91"/>
      <c r="G9791" s="91"/>
    </row>
    <row r="9792" spans="1:7">
      <c r="A9792" s="21"/>
      <c r="B9792"/>
      <c r="C9792"/>
      <c r="D9792" s="90"/>
      <c r="E9792" s="36"/>
      <c r="F9792" s="91"/>
      <c r="G9792" s="91"/>
    </row>
    <row r="9793" spans="1:7">
      <c r="A9793" s="21"/>
      <c r="B9793"/>
      <c r="C9793"/>
      <c r="D9793" s="90"/>
      <c r="E9793" s="36"/>
      <c r="F9793" s="91"/>
      <c r="G9793" s="91"/>
    </row>
    <row r="9794" spans="1:7">
      <c r="A9794" s="21"/>
      <c r="B9794"/>
      <c r="C9794"/>
      <c r="D9794" s="90"/>
      <c r="E9794" s="36"/>
      <c r="F9794" s="91"/>
      <c r="G9794" s="91"/>
    </row>
    <row r="9795" spans="1:7">
      <c r="A9795" s="21"/>
      <c r="B9795"/>
      <c r="C9795"/>
      <c r="D9795" s="90"/>
      <c r="E9795" s="36"/>
      <c r="F9795" s="91"/>
      <c r="G9795" s="91"/>
    </row>
    <row r="9796" spans="1:7">
      <c r="A9796" s="21"/>
      <c r="B9796"/>
      <c r="C9796"/>
      <c r="D9796" s="90"/>
      <c r="E9796" s="36"/>
      <c r="F9796" s="91"/>
      <c r="G9796" s="91"/>
    </row>
    <row r="9797" spans="1:7">
      <c r="A9797" s="21"/>
      <c r="B9797"/>
      <c r="C9797"/>
      <c r="D9797" s="90"/>
      <c r="E9797" s="36"/>
      <c r="F9797" s="91"/>
      <c r="G9797" s="91"/>
    </row>
    <row r="9798" spans="1:7">
      <c r="A9798" s="21"/>
      <c r="B9798"/>
      <c r="C9798"/>
      <c r="D9798" s="90"/>
      <c r="E9798" s="36"/>
      <c r="F9798" s="91"/>
      <c r="G9798" s="91"/>
    </row>
    <row r="9799" spans="1:7">
      <c r="A9799" s="21"/>
      <c r="B9799"/>
      <c r="C9799"/>
      <c r="D9799" s="90"/>
      <c r="E9799" s="36"/>
      <c r="F9799" s="91"/>
      <c r="G9799" s="91"/>
    </row>
    <row r="9800" spans="1:7">
      <c r="A9800" s="21"/>
      <c r="B9800"/>
      <c r="C9800"/>
      <c r="D9800" s="90"/>
      <c r="E9800" s="36"/>
      <c r="F9800" s="91"/>
      <c r="G9800" s="91"/>
    </row>
    <row r="9801" spans="1:7">
      <c r="A9801" s="21"/>
      <c r="B9801"/>
      <c r="C9801"/>
      <c r="D9801" s="90"/>
      <c r="E9801" s="36"/>
      <c r="F9801" s="91"/>
      <c r="G9801" s="91"/>
    </row>
    <row r="9802" spans="1:7">
      <c r="A9802" s="21"/>
      <c r="B9802"/>
      <c r="C9802"/>
      <c r="D9802" s="90"/>
      <c r="E9802" s="36"/>
      <c r="F9802" s="91"/>
      <c r="G9802" s="91"/>
    </row>
    <row r="9803" spans="1:7">
      <c r="A9803" s="21"/>
      <c r="B9803"/>
      <c r="C9803"/>
      <c r="D9803" s="90"/>
      <c r="E9803" s="36"/>
      <c r="F9803" s="91"/>
      <c r="G9803" s="91"/>
    </row>
    <row r="9804" spans="1:7">
      <c r="A9804" s="21"/>
      <c r="B9804"/>
      <c r="C9804"/>
      <c r="D9804" s="90"/>
      <c r="E9804" s="36"/>
      <c r="F9804" s="91"/>
      <c r="G9804" s="91"/>
    </row>
    <row r="9805" spans="1:7">
      <c r="A9805" s="21"/>
      <c r="B9805"/>
      <c r="C9805"/>
      <c r="D9805" s="90"/>
      <c r="E9805" s="36"/>
      <c r="F9805" s="91"/>
      <c r="G9805" s="91"/>
    </row>
    <row r="9806" spans="1:7">
      <c r="A9806" s="21"/>
      <c r="B9806"/>
      <c r="C9806"/>
      <c r="D9806" s="90"/>
      <c r="F9806" s="91"/>
      <c r="G9806" s="91"/>
    </row>
    <row r="9807" spans="1:7">
      <c r="A9807" s="21"/>
      <c r="B9807"/>
      <c r="C9807"/>
      <c r="D9807" s="90"/>
      <c r="E9807" s="36"/>
      <c r="F9807" s="91"/>
      <c r="G9807" s="91"/>
    </row>
    <row r="9808" spans="1:7">
      <c r="A9808" s="21"/>
      <c r="B9808"/>
      <c r="C9808"/>
      <c r="D9808" s="90"/>
      <c r="E9808" s="36"/>
      <c r="F9808" s="91"/>
      <c r="G9808" s="91"/>
    </row>
    <row r="9809" spans="1:7">
      <c r="A9809" s="21"/>
      <c r="B9809"/>
      <c r="C9809"/>
      <c r="D9809" s="90"/>
      <c r="E9809" s="36"/>
      <c r="F9809" s="91"/>
      <c r="G9809" s="91"/>
    </row>
    <row r="9810" spans="1:7">
      <c r="A9810" s="21"/>
      <c r="B9810"/>
      <c r="C9810"/>
      <c r="D9810" s="90"/>
      <c r="E9810" s="36"/>
      <c r="F9810" s="91"/>
      <c r="G9810" s="91"/>
    </row>
    <row r="9811" spans="1:7">
      <c r="A9811" s="21"/>
      <c r="B9811"/>
      <c r="C9811"/>
      <c r="D9811" s="90"/>
      <c r="E9811" s="36"/>
      <c r="F9811" s="91"/>
      <c r="G9811" s="91"/>
    </row>
    <row r="9812" spans="1:7">
      <c r="A9812" s="21"/>
      <c r="B9812"/>
      <c r="C9812"/>
      <c r="D9812" s="90"/>
      <c r="E9812" s="36"/>
      <c r="F9812" s="91"/>
      <c r="G9812" s="91"/>
    </row>
    <row r="9813" spans="1:7">
      <c r="A9813" s="21"/>
      <c r="B9813"/>
      <c r="C9813"/>
      <c r="D9813" s="90"/>
      <c r="E9813" s="36"/>
      <c r="F9813" s="91"/>
      <c r="G9813" s="91"/>
    </row>
    <row r="9814" spans="1:7">
      <c r="A9814" s="21"/>
      <c r="B9814"/>
      <c r="C9814"/>
      <c r="D9814" s="90"/>
      <c r="E9814" s="36"/>
      <c r="F9814" s="91"/>
      <c r="G9814" s="91"/>
    </row>
    <row r="9815" spans="1:7">
      <c r="A9815" s="21"/>
      <c r="B9815"/>
      <c r="C9815"/>
      <c r="D9815" s="90"/>
      <c r="E9815" s="36"/>
      <c r="F9815" s="91"/>
      <c r="G9815" s="91"/>
    </row>
    <row r="9816" spans="1:7">
      <c r="A9816" s="21"/>
      <c r="B9816"/>
      <c r="C9816"/>
      <c r="D9816" s="90"/>
      <c r="E9816" s="36"/>
      <c r="F9816" s="91"/>
      <c r="G9816" s="91"/>
    </row>
    <row r="9817" spans="1:7">
      <c r="A9817" s="21"/>
      <c r="B9817"/>
      <c r="C9817"/>
      <c r="D9817" s="90"/>
      <c r="E9817" s="36"/>
      <c r="F9817" s="91"/>
      <c r="G9817" s="91"/>
    </row>
    <row r="9818" spans="1:7">
      <c r="A9818" s="21"/>
      <c r="B9818"/>
      <c r="C9818"/>
      <c r="D9818" s="90"/>
      <c r="E9818" s="36"/>
      <c r="F9818" s="91"/>
      <c r="G9818" s="91"/>
    </row>
    <row r="9819" spans="1:7">
      <c r="A9819" s="21"/>
      <c r="B9819"/>
      <c r="C9819"/>
      <c r="D9819" s="90"/>
      <c r="E9819" s="36"/>
      <c r="F9819" s="91"/>
      <c r="G9819" s="91"/>
    </row>
    <row r="9820" spans="1:7">
      <c r="A9820" s="21"/>
      <c r="B9820"/>
      <c r="C9820"/>
      <c r="D9820" s="90"/>
      <c r="E9820" s="36"/>
      <c r="F9820" s="91"/>
      <c r="G9820" s="91"/>
    </row>
    <row r="9821" spans="1:7">
      <c r="A9821" s="21"/>
      <c r="B9821"/>
      <c r="C9821"/>
      <c r="D9821" s="90"/>
      <c r="F9821" s="91"/>
      <c r="G9821" s="91"/>
    </row>
    <row r="9822" spans="1:7">
      <c r="A9822" s="21"/>
      <c r="B9822"/>
      <c r="C9822"/>
      <c r="D9822" s="90"/>
      <c r="E9822" s="36"/>
      <c r="F9822" s="91"/>
      <c r="G9822" s="91"/>
    </row>
    <row r="9823" spans="1:7">
      <c r="A9823" s="21"/>
      <c r="B9823"/>
      <c r="C9823"/>
      <c r="D9823" s="90"/>
      <c r="E9823" s="36"/>
      <c r="F9823" s="91"/>
      <c r="G9823" s="91"/>
    </row>
    <row r="9824" spans="1:7">
      <c r="A9824" s="21"/>
      <c r="B9824"/>
      <c r="C9824"/>
      <c r="D9824" s="90"/>
      <c r="E9824" s="36"/>
      <c r="F9824" s="91"/>
      <c r="G9824" s="91"/>
    </row>
    <row r="9825" spans="1:7">
      <c r="A9825" s="21"/>
      <c r="B9825"/>
      <c r="C9825"/>
      <c r="D9825" s="90"/>
      <c r="E9825" s="36"/>
      <c r="F9825" s="91"/>
      <c r="G9825" s="91"/>
    </row>
    <row r="9826" spans="1:7">
      <c r="A9826" s="21"/>
      <c r="B9826"/>
      <c r="C9826"/>
      <c r="D9826" s="90"/>
      <c r="E9826" s="36"/>
      <c r="F9826" s="91"/>
      <c r="G9826" s="91"/>
    </row>
    <row r="9827" spans="1:7">
      <c r="A9827" s="21"/>
      <c r="B9827"/>
      <c r="C9827"/>
      <c r="D9827" s="90"/>
      <c r="E9827" s="36"/>
      <c r="F9827" s="91"/>
      <c r="G9827" s="91"/>
    </row>
    <row r="9828" spans="1:7">
      <c r="A9828" s="21"/>
      <c r="B9828"/>
      <c r="C9828"/>
      <c r="D9828" s="90"/>
      <c r="E9828" s="36"/>
      <c r="F9828" s="91"/>
      <c r="G9828" s="91"/>
    </row>
    <row r="9829" spans="1:7">
      <c r="A9829" s="21"/>
      <c r="B9829"/>
      <c r="C9829"/>
      <c r="D9829" s="90"/>
      <c r="E9829" s="36"/>
      <c r="F9829" s="91"/>
      <c r="G9829" s="91"/>
    </row>
    <row r="9830" spans="1:7">
      <c r="A9830" s="21"/>
      <c r="B9830"/>
      <c r="C9830"/>
      <c r="D9830" s="90"/>
      <c r="E9830" s="36"/>
      <c r="F9830" s="91"/>
      <c r="G9830" s="91"/>
    </row>
    <row r="9831" spans="1:7">
      <c r="A9831" s="21"/>
      <c r="B9831"/>
      <c r="C9831"/>
      <c r="D9831" s="90"/>
      <c r="E9831" s="36"/>
      <c r="F9831" s="91"/>
      <c r="G9831" s="91"/>
    </row>
    <row r="9832" spans="1:7">
      <c r="A9832" s="21"/>
      <c r="B9832"/>
      <c r="C9832"/>
      <c r="D9832" s="90"/>
      <c r="E9832" s="36"/>
      <c r="F9832" s="91"/>
      <c r="G9832" s="91"/>
    </row>
    <row r="9833" spans="1:7">
      <c r="A9833" s="21"/>
      <c r="B9833"/>
      <c r="C9833"/>
      <c r="D9833" s="90"/>
      <c r="E9833" s="36"/>
      <c r="F9833" s="91"/>
      <c r="G9833" s="91"/>
    </row>
    <row r="9834" spans="1:7">
      <c r="A9834" s="21"/>
      <c r="B9834"/>
      <c r="C9834"/>
      <c r="D9834" s="90"/>
      <c r="E9834" s="36"/>
      <c r="F9834" s="91"/>
      <c r="G9834" s="91"/>
    </row>
    <row r="9835" spans="1:7">
      <c r="A9835" s="21"/>
      <c r="B9835"/>
      <c r="C9835"/>
      <c r="D9835" s="90"/>
      <c r="E9835" s="36"/>
      <c r="F9835" s="91"/>
      <c r="G9835" s="91"/>
    </row>
    <row r="9836" spans="1:7">
      <c r="A9836" s="21"/>
      <c r="B9836"/>
      <c r="C9836"/>
      <c r="D9836" s="90"/>
      <c r="E9836" s="36"/>
      <c r="F9836" s="91"/>
      <c r="G9836" s="91"/>
    </row>
    <row r="9837" spans="1:7">
      <c r="A9837" s="21"/>
      <c r="B9837"/>
      <c r="C9837"/>
      <c r="D9837" s="90"/>
      <c r="E9837" s="36"/>
      <c r="F9837" s="91"/>
      <c r="G9837" s="91"/>
    </row>
    <row r="9838" spans="1:7">
      <c r="A9838" s="21"/>
      <c r="B9838"/>
      <c r="C9838"/>
      <c r="D9838" s="90"/>
      <c r="E9838" s="36"/>
      <c r="F9838" s="91"/>
      <c r="G9838" s="91"/>
    </row>
    <row r="9839" spans="1:7">
      <c r="A9839" s="21"/>
      <c r="B9839"/>
      <c r="C9839"/>
      <c r="D9839" s="90"/>
      <c r="E9839" s="36"/>
      <c r="F9839" s="91"/>
      <c r="G9839" s="91"/>
    </row>
    <row r="9840" spans="1:7">
      <c r="A9840" s="21"/>
      <c r="B9840"/>
      <c r="C9840"/>
      <c r="D9840" s="90"/>
      <c r="E9840" s="36"/>
      <c r="F9840" s="91"/>
      <c r="G9840" s="91"/>
    </row>
    <row r="9841" spans="1:7">
      <c r="A9841" s="21"/>
      <c r="B9841"/>
      <c r="C9841"/>
      <c r="D9841" s="90"/>
      <c r="E9841" s="36"/>
      <c r="F9841" s="91"/>
      <c r="G9841" s="91"/>
    </row>
    <row r="9842" spans="1:7">
      <c r="A9842" s="21"/>
      <c r="B9842"/>
      <c r="C9842"/>
      <c r="D9842" s="90"/>
      <c r="E9842" s="36"/>
      <c r="F9842" s="91"/>
      <c r="G9842" s="91"/>
    </row>
    <row r="9843" spans="1:7">
      <c r="A9843" s="21"/>
      <c r="B9843"/>
      <c r="C9843"/>
      <c r="D9843" s="90"/>
      <c r="E9843" s="36"/>
      <c r="F9843" s="91"/>
      <c r="G9843" s="91"/>
    </row>
    <row r="9844" spans="1:7">
      <c r="A9844" s="21"/>
      <c r="B9844"/>
      <c r="C9844"/>
      <c r="D9844" s="90"/>
      <c r="E9844" s="36"/>
      <c r="F9844" s="91"/>
      <c r="G9844" s="91"/>
    </row>
    <row r="9845" spans="1:7">
      <c r="A9845" s="21"/>
      <c r="B9845"/>
      <c r="C9845"/>
      <c r="D9845" s="90"/>
      <c r="F9845" s="91"/>
      <c r="G9845" s="91"/>
    </row>
    <row r="9846" spans="1:7">
      <c r="A9846" s="21"/>
      <c r="B9846"/>
      <c r="C9846"/>
      <c r="D9846" s="90"/>
      <c r="E9846" s="36"/>
      <c r="F9846" s="91"/>
      <c r="G9846" s="91"/>
    </row>
    <row r="9847" spans="1:7">
      <c r="A9847" s="21"/>
      <c r="B9847"/>
      <c r="C9847"/>
      <c r="D9847" s="90"/>
      <c r="E9847" s="36"/>
      <c r="F9847" s="91"/>
      <c r="G9847" s="91"/>
    </row>
    <row r="9848" spans="1:7">
      <c r="A9848" s="21"/>
      <c r="B9848"/>
      <c r="C9848"/>
      <c r="D9848" s="90"/>
      <c r="E9848" s="36"/>
      <c r="F9848" s="91"/>
      <c r="G9848" s="91"/>
    </row>
    <row r="9849" spans="1:7">
      <c r="A9849" s="21"/>
      <c r="B9849"/>
      <c r="C9849"/>
      <c r="D9849" s="90"/>
      <c r="E9849" s="36"/>
      <c r="F9849" s="91"/>
      <c r="G9849" s="91"/>
    </row>
    <row r="9850" spans="1:7">
      <c r="A9850" s="21"/>
      <c r="B9850"/>
      <c r="C9850"/>
      <c r="D9850" s="90"/>
      <c r="E9850" s="36"/>
      <c r="F9850" s="91"/>
      <c r="G9850" s="91"/>
    </row>
    <row r="9851" spans="1:7">
      <c r="A9851" s="21"/>
      <c r="B9851"/>
      <c r="C9851"/>
      <c r="D9851" s="90"/>
      <c r="E9851" s="36"/>
      <c r="F9851" s="91"/>
      <c r="G9851" s="91"/>
    </row>
    <row r="9852" spans="1:7">
      <c r="A9852" s="21"/>
      <c r="B9852"/>
      <c r="C9852"/>
      <c r="D9852" s="90"/>
      <c r="E9852" s="36"/>
      <c r="F9852" s="91"/>
      <c r="G9852" s="91"/>
    </row>
    <row r="9853" spans="1:7">
      <c r="A9853" s="21"/>
      <c r="B9853"/>
      <c r="C9853"/>
      <c r="D9853" s="90"/>
      <c r="E9853" s="36"/>
      <c r="F9853" s="91"/>
      <c r="G9853" s="91"/>
    </row>
    <row r="9854" spans="1:7">
      <c r="A9854" s="21"/>
      <c r="B9854"/>
      <c r="C9854"/>
      <c r="D9854" s="90"/>
      <c r="E9854" s="36"/>
      <c r="F9854" s="91"/>
      <c r="G9854" s="91"/>
    </row>
    <row r="9855" spans="1:7">
      <c r="A9855" s="21"/>
      <c r="B9855"/>
      <c r="C9855"/>
      <c r="D9855" s="90"/>
      <c r="E9855" s="36"/>
      <c r="F9855" s="91"/>
      <c r="G9855" s="91"/>
    </row>
    <row r="9856" spans="1:7">
      <c r="A9856" s="21"/>
      <c r="B9856"/>
      <c r="C9856"/>
      <c r="D9856" s="90"/>
      <c r="E9856" s="36"/>
      <c r="F9856" s="91"/>
      <c r="G9856" s="91"/>
    </row>
    <row r="9857" spans="1:7">
      <c r="A9857" s="21"/>
      <c r="B9857"/>
      <c r="C9857"/>
      <c r="D9857" s="90"/>
      <c r="E9857" s="36"/>
      <c r="F9857" s="91"/>
      <c r="G9857" s="91"/>
    </row>
    <row r="9858" spans="1:7">
      <c r="A9858" s="21"/>
      <c r="B9858"/>
      <c r="C9858"/>
      <c r="D9858" s="90"/>
      <c r="E9858" s="36"/>
      <c r="F9858" s="91"/>
      <c r="G9858" s="91"/>
    </row>
    <row r="9859" spans="1:7">
      <c r="A9859" s="21"/>
      <c r="B9859"/>
      <c r="C9859"/>
      <c r="D9859" s="90"/>
      <c r="E9859" s="36"/>
      <c r="F9859" s="91"/>
      <c r="G9859" s="91"/>
    </row>
    <row r="9860" spans="1:7">
      <c r="A9860" s="21"/>
      <c r="B9860"/>
      <c r="C9860"/>
      <c r="D9860" s="90"/>
      <c r="E9860" s="36"/>
      <c r="F9860" s="91"/>
      <c r="G9860" s="91"/>
    </row>
    <row r="9861" spans="1:7">
      <c r="A9861" s="21"/>
      <c r="B9861"/>
      <c r="C9861"/>
      <c r="D9861" s="90"/>
      <c r="E9861" s="36"/>
      <c r="F9861" s="91"/>
      <c r="G9861" s="91"/>
    </row>
    <row r="9862" spans="1:7">
      <c r="A9862" s="21"/>
      <c r="B9862"/>
      <c r="C9862"/>
      <c r="D9862" s="90"/>
      <c r="E9862" s="36"/>
      <c r="F9862" s="91"/>
      <c r="G9862" s="91"/>
    </row>
    <row r="9863" spans="1:7">
      <c r="A9863" s="21"/>
      <c r="B9863"/>
      <c r="C9863"/>
      <c r="D9863" s="90"/>
      <c r="E9863" s="36"/>
      <c r="F9863" s="91"/>
      <c r="G9863" s="91"/>
    </row>
    <row r="9864" spans="1:7">
      <c r="A9864" s="21"/>
      <c r="B9864"/>
      <c r="C9864"/>
      <c r="D9864" s="90"/>
      <c r="E9864" s="36"/>
      <c r="F9864" s="91"/>
      <c r="G9864" s="91"/>
    </row>
    <row r="9865" spans="1:7">
      <c r="A9865" s="21"/>
      <c r="B9865"/>
      <c r="C9865"/>
      <c r="D9865" s="90"/>
      <c r="E9865" s="36"/>
      <c r="F9865" s="91"/>
      <c r="G9865" s="91"/>
    </row>
    <row r="9866" spans="1:7">
      <c r="A9866" s="21"/>
      <c r="B9866"/>
      <c r="C9866"/>
      <c r="D9866" s="90"/>
      <c r="E9866" s="36"/>
      <c r="F9866" s="91"/>
      <c r="G9866" s="91"/>
    </row>
    <row r="9867" spans="1:7">
      <c r="A9867" s="21"/>
      <c r="B9867"/>
      <c r="C9867"/>
      <c r="D9867" s="90"/>
      <c r="E9867" s="36"/>
      <c r="F9867" s="91"/>
      <c r="G9867" s="91"/>
    </row>
    <row r="9868" spans="1:7">
      <c r="A9868" s="21"/>
      <c r="B9868"/>
      <c r="C9868"/>
      <c r="D9868" s="90"/>
      <c r="E9868" s="36"/>
      <c r="F9868" s="91"/>
      <c r="G9868" s="91"/>
    </row>
    <row r="9869" spans="1:7">
      <c r="A9869" s="21"/>
      <c r="B9869"/>
      <c r="C9869"/>
      <c r="D9869" s="90"/>
      <c r="E9869" s="36"/>
      <c r="F9869" s="91"/>
      <c r="G9869" s="91"/>
    </row>
    <row r="9870" spans="1:7">
      <c r="A9870" s="21"/>
      <c r="B9870"/>
      <c r="C9870"/>
      <c r="D9870" s="90"/>
      <c r="E9870" s="36"/>
      <c r="F9870" s="91"/>
      <c r="G9870" s="91"/>
    </row>
    <row r="9871" spans="1:7">
      <c r="A9871" s="21"/>
      <c r="B9871"/>
      <c r="C9871"/>
      <c r="D9871" s="90"/>
      <c r="E9871" s="36"/>
      <c r="F9871" s="91"/>
      <c r="G9871" s="91"/>
    </row>
    <row r="9872" spans="1:7">
      <c r="A9872" s="21"/>
      <c r="B9872"/>
      <c r="C9872"/>
      <c r="D9872" s="90"/>
      <c r="E9872" s="36"/>
      <c r="F9872" s="91"/>
      <c r="G9872" s="91"/>
    </row>
    <row r="9873" spans="1:7">
      <c r="A9873" s="21"/>
      <c r="B9873"/>
      <c r="C9873"/>
      <c r="D9873" s="90"/>
      <c r="E9873" s="36"/>
      <c r="F9873" s="91"/>
      <c r="G9873" s="91"/>
    </row>
    <row r="9874" spans="1:7">
      <c r="A9874" s="21"/>
      <c r="B9874"/>
      <c r="C9874"/>
      <c r="D9874" s="90"/>
      <c r="E9874" s="36"/>
      <c r="F9874" s="91"/>
      <c r="G9874" s="91"/>
    </row>
    <row r="9875" spans="1:7">
      <c r="A9875" s="21"/>
      <c r="B9875"/>
      <c r="C9875"/>
      <c r="D9875" s="90"/>
      <c r="F9875" s="91"/>
      <c r="G9875" s="91"/>
    </row>
    <row r="9876" spans="1:7">
      <c r="A9876" s="21"/>
      <c r="B9876"/>
      <c r="C9876"/>
      <c r="D9876" s="90"/>
      <c r="E9876" s="36"/>
      <c r="F9876" s="91"/>
      <c r="G9876" s="91"/>
    </row>
    <row r="9877" spans="1:7">
      <c r="A9877" s="21"/>
      <c r="B9877"/>
      <c r="C9877"/>
      <c r="D9877" s="90"/>
      <c r="E9877" s="36"/>
      <c r="F9877" s="91"/>
      <c r="G9877" s="91"/>
    </row>
    <row r="9878" spans="1:7">
      <c r="A9878" s="21"/>
      <c r="B9878"/>
      <c r="C9878"/>
      <c r="D9878" s="90"/>
      <c r="E9878" s="36"/>
      <c r="F9878" s="91"/>
      <c r="G9878" s="91"/>
    </row>
    <row r="9879" spans="1:7">
      <c r="A9879" s="21"/>
      <c r="B9879"/>
      <c r="C9879"/>
      <c r="D9879" s="90"/>
      <c r="E9879" s="36"/>
      <c r="F9879" s="91"/>
      <c r="G9879" s="91"/>
    </row>
    <row r="9880" spans="1:7">
      <c r="A9880" s="21"/>
      <c r="B9880"/>
      <c r="C9880"/>
      <c r="D9880" s="90"/>
      <c r="E9880" s="36"/>
      <c r="F9880" s="91"/>
      <c r="G9880" s="91"/>
    </row>
    <row r="9881" spans="1:7">
      <c r="A9881" s="21"/>
      <c r="B9881"/>
      <c r="C9881"/>
      <c r="D9881" s="90"/>
      <c r="E9881" s="36"/>
      <c r="F9881" s="91"/>
      <c r="G9881" s="91"/>
    </row>
    <row r="9882" spans="1:7">
      <c r="A9882" s="21"/>
      <c r="B9882"/>
      <c r="C9882"/>
      <c r="D9882" s="90"/>
      <c r="E9882" s="36"/>
      <c r="F9882" s="91"/>
      <c r="G9882" s="91"/>
    </row>
    <row r="9883" spans="1:7">
      <c r="A9883" s="21"/>
      <c r="B9883"/>
      <c r="C9883"/>
      <c r="D9883" s="90"/>
      <c r="E9883" s="36"/>
      <c r="F9883" s="91"/>
      <c r="G9883" s="91"/>
    </row>
    <row r="9884" spans="1:7">
      <c r="A9884" s="21"/>
      <c r="B9884"/>
      <c r="C9884"/>
      <c r="D9884" s="90"/>
      <c r="E9884" s="36"/>
      <c r="F9884" s="91"/>
      <c r="G9884" s="91"/>
    </row>
    <row r="9885" spans="1:7">
      <c r="A9885" s="21"/>
      <c r="B9885"/>
      <c r="C9885"/>
      <c r="D9885" s="90"/>
      <c r="E9885" s="36"/>
      <c r="F9885" s="91"/>
      <c r="G9885" s="91"/>
    </row>
    <row r="9886" spans="1:7">
      <c r="A9886" s="21"/>
      <c r="B9886"/>
      <c r="C9886"/>
      <c r="D9886" s="90"/>
      <c r="E9886" s="36"/>
      <c r="F9886" s="91"/>
      <c r="G9886" s="91"/>
    </row>
    <row r="9887" spans="1:7">
      <c r="A9887" s="21"/>
      <c r="B9887"/>
      <c r="C9887"/>
      <c r="D9887" s="90"/>
      <c r="E9887" s="36"/>
      <c r="F9887" s="91"/>
      <c r="G9887" s="91"/>
    </row>
    <row r="9888" spans="1:7">
      <c r="A9888" s="21"/>
      <c r="B9888"/>
      <c r="C9888"/>
      <c r="D9888" s="90"/>
      <c r="E9888" s="36"/>
      <c r="F9888" s="91"/>
      <c r="G9888" s="91"/>
    </row>
    <row r="9889" spans="1:7">
      <c r="A9889" s="21"/>
      <c r="B9889"/>
      <c r="C9889"/>
      <c r="D9889" s="90"/>
      <c r="E9889" s="36"/>
      <c r="F9889" s="91"/>
      <c r="G9889" s="91"/>
    </row>
    <row r="9890" spans="1:7">
      <c r="A9890" s="21"/>
      <c r="B9890"/>
      <c r="C9890"/>
      <c r="D9890" s="90"/>
      <c r="E9890" s="36"/>
      <c r="F9890" s="91"/>
      <c r="G9890" s="91"/>
    </row>
    <row r="9891" spans="1:7">
      <c r="A9891" s="21"/>
      <c r="B9891"/>
      <c r="C9891"/>
      <c r="D9891" s="90"/>
      <c r="E9891" s="36"/>
      <c r="F9891" s="91"/>
      <c r="G9891" s="91"/>
    </row>
    <row r="9892" spans="1:7">
      <c r="A9892" s="21"/>
      <c r="B9892"/>
      <c r="C9892"/>
      <c r="D9892" s="90"/>
      <c r="F9892" s="91"/>
      <c r="G9892" s="91"/>
    </row>
    <row r="9893" spans="1:7">
      <c r="A9893" s="21"/>
      <c r="B9893"/>
      <c r="C9893"/>
      <c r="D9893" s="90"/>
      <c r="E9893" s="36"/>
      <c r="F9893" s="91"/>
      <c r="G9893" s="91"/>
    </row>
    <row r="9894" spans="1:7">
      <c r="A9894" s="21"/>
      <c r="B9894"/>
      <c r="C9894"/>
      <c r="D9894" s="90"/>
      <c r="E9894" s="36"/>
      <c r="F9894" s="91"/>
      <c r="G9894" s="91"/>
    </row>
    <row r="9895" spans="1:7">
      <c r="A9895" s="21"/>
      <c r="B9895"/>
      <c r="C9895"/>
      <c r="D9895" s="90"/>
      <c r="E9895" s="36"/>
      <c r="F9895" s="91"/>
      <c r="G9895" s="91"/>
    </row>
    <row r="9896" spans="1:7">
      <c r="A9896" s="21"/>
      <c r="B9896"/>
      <c r="C9896"/>
      <c r="D9896" s="90"/>
      <c r="E9896" s="36"/>
      <c r="F9896" s="91"/>
      <c r="G9896" s="91"/>
    </row>
    <row r="9897" spans="1:7">
      <c r="A9897" s="21"/>
      <c r="B9897"/>
      <c r="C9897"/>
      <c r="D9897" s="90"/>
      <c r="E9897" s="36"/>
      <c r="F9897" s="91"/>
      <c r="G9897" s="91"/>
    </row>
    <row r="9898" spans="1:7">
      <c r="A9898" s="21"/>
      <c r="B9898"/>
      <c r="C9898"/>
      <c r="D9898" s="90"/>
      <c r="E9898" s="36"/>
      <c r="F9898" s="91"/>
      <c r="G9898" s="91"/>
    </row>
    <row r="9899" spans="1:7">
      <c r="A9899" s="21"/>
      <c r="B9899"/>
      <c r="C9899"/>
      <c r="D9899" s="90"/>
      <c r="E9899" s="36"/>
      <c r="F9899" s="91"/>
      <c r="G9899" s="91"/>
    </row>
    <row r="9900" spans="1:7">
      <c r="A9900" s="21"/>
      <c r="B9900"/>
      <c r="C9900"/>
      <c r="D9900" s="90"/>
      <c r="E9900" s="36"/>
      <c r="F9900" s="91"/>
      <c r="G9900" s="91"/>
    </row>
    <row r="9901" spans="1:7">
      <c r="A9901" s="21"/>
      <c r="B9901"/>
      <c r="C9901"/>
      <c r="D9901" s="90"/>
      <c r="E9901" s="36"/>
      <c r="F9901" s="91"/>
      <c r="G9901" s="91"/>
    </row>
    <row r="9902" spans="1:7">
      <c r="A9902" s="21"/>
      <c r="B9902"/>
      <c r="C9902"/>
      <c r="D9902" s="90"/>
      <c r="E9902" s="36"/>
      <c r="F9902" s="91"/>
      <c r="G9902" s="91"/>
    </row>
    <row r="9903" spans="1:7">
      <c r="A9903" s="21"/>
      <c r="B9903"/>
      <c r="C9903"/>
      <c r="D9903" s="90"/>
      <c r="E9903" s="36"/>
      <c r="F9903" s="91"/>
      <c r="G9903" s="91"/>
    </row>
    <row r="9904" spans="1:7">
      <c r="A9904" s="21"/>
      <c r="B9904"/>
      <c r="C9904"/>
      <c r="D9904" s="90"/>
      <c r="F9904" s="91"/>
      <c r="G9904" s="91"/>
    </row>
    <row r="9905" spans="1:7">
      <c r="A9905" s="21"/>
      <c r="B9905"/>
      <c r="C9905"/>
      <c r="D9905" s="90"/>
      <c r="E9905" s="36"/>
      <c r="F9905" s="91"/>
      <c r="G9905" s="91"/>
    </row>
    <row r="9906" spans="1:7">
      <c r="A9906" s="21"/>
      <c r="B9906"/>
      <c r="C9906"/>
      <c r="D9906" s="90"/>
      <c r="E9906" s="36"/>
      <c r="F9906" s="91"/>
      <c r="G9906" s="91"/>
    </row>
    <row r="9907" spans="1:7">
      <c r="A9907" s="21"/>
      <c r="B9907"/>
      <c r="C9907"/>
      <c r="D9907" s="90"/>
      <c r="E9907" s="36"/>
      <c r="F9907" s="91"/>
      <c r="G9907" s="91"/>
    </row>
    <row r="9908" spans="1:7">
      <c r="A9908" s="21"/>
      <c r="B9908"/>
      <c r="C9908"/>
      <c r="D9908" s="90"/>
      <c r="E9908" s="36"/>
      <c r="F9908" s="91"/>
      <c r="G9908" s="91"/>
    </row>
    <row r="9909" spans="1:7">
      <c r="A9909" s="21"/>
      <c r="B9909"/>
      <c r="C9909"/>
      <c r="D9909" s="90"/>
      <c r="E9909" s="36"/>
      <c r="F9909" s="91"/>
      <c r="G9909" s="91"/>
    </row>
    <row r="9910" spans="1:7">
      <c r="A9910" s="21"/>
      <c r="B9910"/>
      <c r="C9910"/>
      <c r="D9910" s="90"/>
      <c r="E9910" s="36"/>
      <c r="F9910" s="91"/>
      <c r="G9910" s="91"/>
    </row>
    <row r="9911" spans="1:7">
      <c r="A9911" s="21"/>
      <c r="B9911"/>
      <c r="C9911"/>
      <c r="D9911" s="90"/>
      <c r="E9911" s="36"/>
      <c r="F9911" s="91"/>
      <c r="G9911" s="91"/>
    </row>
    <row r="9912" spans="1:7">
      <c r="A9912" s="21"/>
      <c r="B9912"/>
      <c r="C9912"/>
      <c r="D9912" s="90"/>
      <c r="E9912" s="36"/>
      <c r="F9912" s="91"/>
      <c r="G9912" s="91"/>
    </row>
    <row r="9913" spans="1:7">
      <c r="A9913" s="21"/>
      <c r="B9913"/>
      <c r="C9913"/>
      <c r="D9913" s="90"/>
      <c r="E9913" s="36"/>
      <c r="F9913" s="91"/>
      <c r="G9913" s="91"/>
    </row>
    <row r="9914" spans="1:7">
      <c r="A9914" s="21"/>
      <c r="B9914"/>
      <c r="C9914"/>
      <c r="D9914" s="90"/>
      <c r="E9914" s="36"/>
      <c r="F9914" s="91"/>
      <c r="G9914" s="91"/>
    </row>
    <row r="9915" spans="1:7">
      <c r="A9915" s="21"/>
      <c r="B9915"/>
      <c r="C9915"/>
      <c r="D9915" s="90"/>
      <c r="E9915" s="36"/>
      <c r="F9915" s="91"/>
      <c r="G9915" s="91"/>
    </row>
    <row r="9916" spans="1:7">
      <c r="A9916" s="21"/>
      <c r="B9916"/>
      <c r="C9916"/>
      <c r="D9916" s="90"/>
      <c r="F9916" s="91"/>
      <c r="G9916" s="91"/>
    </row>
    <row r="9917" spans="1:7">
      <c r="A9917" s="21"/>
      <c r="B9917"/>
      <c r="C9917"/>
      <c r="D9917" s="90"/>
      <c r="E9917" s="36"/>
      <c r="F9917" s="91"/>
      <c r="G9917" s="91"/>
    </row>
    <row r="9918" spans="1:7">
      <c r="A9918" s="21"/>
      <c r="B9918"/>
      <c r="C9918"/>
      <c r="D9918" s="90"/>
      <c r="E9918" s="36"/>
      <c r="F9918" s="91"/>
      <c r="G9918" s="91"/>
    </row>
    <row r="9919" spans="1:7">
      <c r="A9919" s="21"/>
      <c r="B9919"/>
      <c r="C9919"/>
      <c r="D9919" s="90"/>
      <c r="E9919" s="36"/>
      <c r="F9919" s="91"/>
      <c r="G9919" s="91"/>
    </row>
    <row r="9920" spans="1:7">
      <c r="A9920" s="21"/>
      <c r="B9920"/>
      <c r="C9920"/>
      <c r="D9920" s="90"/>
      <c r="E9920" s="36"/>
      <c r="F9920" s="91"/>
      <c r="G9920" s="91"/>
    </row>
    <row r="9921" spans="1:7">
      <c r="A9921" s="21"/>
      <c r="B9921"/>
      <c r="C9921"/>
      <c r="D9921" s="90"/>
      <c r="E9921" s="36"/>
      <c r="F9921" s="91"/>
      <c r="G9921" s="91"/>
    </row>
    <row r="9922" spans="1:7">
      <c r="A9922" s="21"/>
      <c r="B9922"/>
      <c r="C9922"/>
      <c r="D9922" s="90"/>
      <c r="E9922" s="36"/>
      <c r="F9922" s="91"/>
      <c r="G9922" s="91"/>
    </row>
    <row r="9923" spans="1:7">
      <c r="A9923" s="21"/>
      <c r="B9923"/>
      <c r="C9923"/>
      <c r="D9923" s="90"/>
      <c r="E9923" s="36"/>
      <c r="F9923" s="91"/>
      <c r="G9923" s="91"/>
    </row>
    <row r="9924" spans="1:7">
      <c r="A9924" s="21"/>
      <c r="B9924"/>
      <c r="C9924"/>
      <c r="D9924" s="90"/>
      <c r="E9924" s="36"/>
      <c r="F9924" s="91"/>
      <c r="G9924" s="91"/>
    </row>
    <row r="9925" spans="1:7">
      <c r="A9925" s="21"/>
      <c r="B9925"/>
      <c r="C9925"/>
      <c r="D9925" s="90"/>
      <c r="E9925" s="36"/>
      <c r="F9925" s="91"/>
      <c r="G9925" s="91"/>
    </row>
    <row r="9926" spans="1:7">
      <c r="A9926" s="21"/>
      <c r="B9926"/>
      <c r="C9926"/>
      <c r="D9926" s="90"/>
      <c r="E9926" s="36"/>
      <c r="F9926" s="91"/>
      <c r="G9926" s="91"/>
    </row>
    <row r="9927" spans="1:7">
      <c r="A9927" s="21"/>
      <c r="B9927"/>
      <c r="C9927"/>
      <c r="D9927" s="90"/>
      <c r="E9927" s="36"/>
      <c r="F9927" s="91"/>
      <c r="G9927" s="91"/>
    </row>
    <row r="9928" spans="1:7">
      <c r="A9928" s="21"/>
      <c r="B9928"/>
      <c r="C9928"/>
      <c r="D9928" s="90"/>
      <c r="E9928" s="36"/>
      <c r="F9928" s="91"/>
      <c r="G9928" s="91"/>
    </row>
    <row r="9929" spans="1:7">
      <c r="A9929" s="21"/>
      <c r="B9929"/>
      <c r="C9929"/>
      <c r="D9929" s="90"/>
      <c r="F9929" s="91"/>
      <c r="G9929" s="91"/>
    </row>
    <row r="9930" spans="1:7">
      <c r="A9930" s="21"/>
      <c r="B9930"/>
      <c r="C9930"/>
      <c r="D9930" s="90"/>
      <c r="E9930" s="36"/>
      <c r="F9930" s="91"/>
      <c r="G9930" s="91"/>
    </row>
    <row r="9931" spans="1:7">
      <c r="A9931" s="21"/>
      <c r="B9931"/>
      <c r="C9931"/>
      <c r="D9931" s="90"/>
      <c r="E9931" s="36"/>
      <c r="F9931" s="91"/>
      <c r="G9931" s="91"/>
    </row>
    <row r="9932" spans="1:7">
      <c r="A9932" s="21"/>
      <c r="B9932"/>
      <c r="C9932"/>
      <c r="D9932" s="90"/>
      <c r="E9932" s="36"/>
      <c r="F9932" s="91"/>
      <c r="G9932" s="91"/>
    </row>
    <row r="9933" spans="1:7">
      <c r="A9933" s="21"/>
      <c r="B9933"/>
      <c r="C9933"/>
      <c r="D9933" s="90"/>
      <c r="E9933" s="36"/>
      <c r="F9933" s="91"/>
      <c r="G9933" s="91"/>
    </row>
    <row r="9934" spans="1:7">
      <c r="A9934" s="21"/>
      <c r="B9934"/>
      <c r="C9934"/>
      <c r="D9934" s="90"/>
      <c r="E9934" s="36"/>
      <c r="F9934" s="91"/>
      <c r="G9934" s="91"/>
    </row>
    <row r="9935" spans="1:7">
      <c r="A9935" s="21"/>
      <c r="B9935"/>
      <c r="C9935"/>
      <c r="D9935" s="90"/>
      <c r="E9935" s="36"/>
      <c r="F9935" s="91"/>
      <c r="G9935" s="91"/>
    </row>
    <row r="9936" spans="1:7">
      <c r="A9936" s="21"/>
      <c r="B9936"/>
      <c r="C9936"/>
      <c r="D9936" s="90"/>
      <c r="E9936" s="36"/>
      <c r="F9936" s="91"/>
      <c r="G9936" s="91"/>
    </row>
    <row r="9937" spans="1:7">
      <c r="A9937" s="21"/>
      <c r="B9937"/>
      <c r="C9937"/>
      <c r="D9937" s="90"/>
      <c r="E9937" s="36"/>
      <c r="F9937" s="91"/>
      <c r="G9937" s="91"/>
    </row>
    <row r="9938" spans="1:7">
      <c r="A9938" s="21"/>
      <c r="B9938"/>
      <c r="C9938"/>
      <c r="D9938" s="90"/>
      <c r="E9938" s="36"/>
      <c r="F9938" s="91"/>
      <c r="G9938" s="91"/>
    </row>
    <row r="9939" spans="1:7">
      <c r="A9939" s="21"/>
      <c r="B9939"/>
      <c r="C9939"/>
      <c r="D9939" s="90"/>
      <c r="E9939" s="36"/>
      <c r="F9939" s="91"/>
      <c r="G9939" s="91"/>
    </row>
    <row r="9940" spans="1:7">
      <c r="A9940" s="21"/>
      <c r="B9940"/>
      <c r="C9940"/>
      <c r="D9940" s="90"/>
      <c r="E9940" s="36"/>
      <c r="F9940" s="91"/>
      <c r="G9940" s="91"/>
    </row>
    <row r="9941" spans="1:7">
      <c r="A9941" s="21"/>
      <c r="B9941"/>
      <c r="C9941"/>
      <c r="D9941" s="90"/>
      <c r="F9941" s="91"/>
      <c r="G9941" s="91"/>
    </row>
    <row r="9942" spans="1:7">
      <c r="A9942" s="21"/>
      <c r="B9942"/>
      <c r="C9942"/>
      <c r="D9942" s="90"/>
      <c r="E9942" s="36"/>
      <c r="F9942" s="91"/>
      <c r="G9942" s="91"/>
    </row>
    <row r="9943" spans="1:7">
      <c r="A9943" s="21"/>
      <c r="B9943"/>
      <c r="C9943"/>
      <c r="D9943" s="90"/>
      <c r="E9943" s="36"/>
      <c r="F9943" s="91"/>
      <c r="G9943" s="91"/>
    </row>
    <row r="9944" spans="1:7">
      <c r="A9944" s="21"/>
      <c r="B9944"/>
      <c r="C9944"/>
      <c r="D9944" s="90"/>
      <c r="E9944" s="36"/>
      <c r="F9944" s="91"/>
      <c r="G9944" s="91"/>
    </row>
    <row r="9945" spans="1:7">
      <c r="A9945" s="21"/>
      <c r="B9945"/>
      <c r="C9945"/>
      <c r="D9945" s="90"/>
      <c r="E9945" s="36"/>
      <c r="F9945" s="91"/>
      <c r="G9945" s="91"/>
    </row>
    <row r="9946" spans="1:7">
      <c r="A9946" s="21"/>
      <c r="B9946"/>
      <c r="C9946"/>
      <c r="D9946" s="90"/>
      <c r="E9946" s="36"/>
      <c r="F9946" s="91"/>
      <c r="G9946" s="91"/>
    </row>
    <row r="9947" spans="1:7">
      <c r="A9947" s="21"/>
      <c r="B9947"/>
      <c r="C9947"/>
      <c r="D9947" s="90"/>
      <c r="E9947" s="36"/>
      <c r="F9947" s="91"/>
      <c r="G9947" s="91"/>
    </row>
    <row r="9948" spans="1:7">
      <c r="A9948" s="21"/>
      <c r="B9948"/>
      <c r="C9948"/>
      <c r="D9948" s="90"/>
      <c r="E9948" s="36"/>
      <c r="F9948" s="91"/>
      <c r="G9948" s="91"/>
    </row>
    <row r="9949" spans="1:7">
      <c r="A9949" s="21"/>
      <c r="B9949"/>
      <c r="C9949"/>
      <c r="D9949" s="90"/>
      <c r="E9949" s="36"/>
      <c r="F9949" s="91"/>
      <c r="G9949" s="91"/>
    </row>
    <row r="9950" spans="1:7">
      <c r="A9950" s="21"/>
      <c r="B9950"/>
      <c r="C9950"/>
      <c r="D9950" s="90"/>
      <c r="E9950" s="36"/>
      <c r="F9950" s="91"/>
      <c r="G9950" s="91"/>
    </row>
    <row r="9951" spans="1:7">
      <c r="A9951" s="21"/>
      <c r="B9951"/>
      <c r="C9951"/>
      <c r="D9951" s="90"/>
      <c r="E9951" s="36"/>
      <c r="F9951" s="91"/>
      <c r="G9951" s="91"/>
    </row>
    <row r="9952" spans="1:7">
      <c r="A9952" s="21"/>
      <c r="B9952"/>
      <c r="C9952"/>
      <c r="D9952" s="90"/>
      <c r="E9952" s="36"/>
      <c r="F9952" s="91"/>
      <c r="G9952" s="91"/>
    </row>
    <row r="9953" spans="1:7">
      <c r="A9953" s="21"/>
      <c r="B9953"/>
      <c r="C9953"/>
      <c r="D9953" s="90"/>
      <c r="F9953" s="91"/>
      <c r="G9953" s="91"/>
    </row>
    <row r="9954" spans="1:7">
      <c r="A9954" s="21"/>
      <c r="B9954"/>
      <c r="C9954"/>
      <c r="D9954" s="90"/>
      <c r="E9954" s="36"/>
      <c r="F9954" s="91"/>
      <c r="G9954" s="91"/>
    </row>
    <row r="9955" spans="1:7">
      <c r="A9955" s="21"/>
      <c r="B9955"/>
      <c r="C9955"/>
      <c r="D9955" s="90"/>
      <c r="E9955" s="36"/>
      <c r="F9955" s="91"/>
      <c r="G9955" s="91"/>
    </row>
    <row r="9956" spans="1:7">
      <c r="A9956" s="21"/>
      <c r="B9956"/>
      <c r="C9956"/>
      <c r="D9956" s="90"/>
      <c r="E9956" s="36"/>
      <c r="F9956" s="91"/>
      <c r="G9956" s="91"/>
    </row>
    <row r="9957" spans="1:7">
      <c r="A9957" s="21"/>
      <c r="B9957"/>
      <c r="C9957"/>
      <c r="D9957" s="90"/>
      <c r="E9957" s="36"/>
      <c r="F9957" s="91"/>
      <c r="G9957" s="91"/>
    </row>
    <row r="9958" spans="1:7">
      <c r="A9958" s="21"/>
      <c r="B9958"/>
      <c r="C9958"/>
      <c r="D9958" s="90"/>
      <c r="E9958" s="36"/>
      <c r="F9958" s="91"/>
      <c r="G9958" s="91"/>
    </row>
    <row r="9959" spans="1:7">
      <c r="A9959" s="21"/>
      <c r="B9959"/>
      <c r="C9959"/>
      <c r="D9959" s="90"/>
      <c r="E9959" s="36"/>
      <c r="F9959" s="91"/>
      <c r="G9959" s="91"/>
    </row>
    <row r="9960" spans="1:7">
      <c r="A9960" s="21"/>
      <c r="B9960"/>
      <c r="C9960"/>
      <c r="D9960" s="90"/>
      <c r="E9960" s="36"/>
      <c r="F9960" s="91"/>
      <c r="G9960" s="91"/>
    </row>
    <row r="9961" spans="1:7">
      <c r="A9961" s="21"/>
      <c r="B9961"/>
      <c r="C9961"/>
      <c r="D9961" s="90"/>
      <c r="E9961" s="36"/>
      <c r="F9961" s="91"/>
      <c r="G9961" s="91"/>
    </row>
    <row r="9962" spans="1:7">
      <c r="A9962" s="21"/>
      <c r="B9962"/>
      <c r="C9962"/>
      <c r="D9962" s="90"/>
      <c r="E9962" s="36"/>
      <c r="F9962" s="91"/>
      <c r="G9962" s="91"/>
    </row>
    <row r="9963" spans="1:7">
      <c r="A9963" s="21"/>
      <c r="B9963"/>
      <c r="C9963"/>
      <c r="D9963" s="90"/>
      <c r="E9963" s="36"/>
      <c r="F9963" s="91"/>
      <c r="G9963" s="91"/>
    </row>
    <row r="9964" spans="1:7">
      <c r="A9964" s="21"/>
      <c r="B9964"/>
      <c r="C9964"/>
      <c r="D9964" s="90"/>
      <c r="E9964" s="36"/>
      <c r="F9964" s="91"/>
      <c r="G9964" s="91"/>
    </row>
    <row r="9965" spans="1:7">
      <c r="A9965" s="21"/>
      <c r="B9965"/>
      <c r="C9965"/>
      <c r="D9965" s="90"/>
      <c r="E9965" s="36"/>
      <c r="F9965" s="91"/>
      <c r="G9965" s="91"/>
    </row>
    <row r="9966" spans="1:7">
      <c r="A9966" s="21"/>
      <c r="B9966"/>
      <c r="C9966"/>
      <c r="D9966" s="90"/>
      <c r="E9966" s="36"/>
      <c r="F9966" s="91"/>
      <c r="G9966" s="91"/>
    </row>
    <row r="9967" spans="1:7">
      <c r="A9967" s="21"/>
      <c r="B9967"/>
      <c r="C9967"/>
      <c r="D9967" s="90"/>
      <c r="F9967" s="91"/>
      <c r="G9967" s="91"/>
    </row>
    <row r="9968" spans="1:7">
      <c r="A9968" s="21"/>
      <c r="B9968"/>
      <c r="C9968"/>
      <c r="D9968" s="90"/>
      <c r="E9968" s="36"/>
      <c r="F9968" s="91"/>
      <c r="G9968" s="91"/>
    </row>
    <row r="9969" spans="1:7">
      <c r="A9969" s="21"/>
      <c r="B9969"/>
      <c r="C9969"/>
      <c r="D9969" s="90"/>
      <c r="E9969" s="36"/>
      <c r="F9969" s="91"/>
      <c r="G9969" s="91"/>
    </row>
    <row r="9970" spans="1:7">
      <c r="A9970" s="21"/>
      <c r="B9970"/>
      <c r="C9970"/>
      <c r="D9970" s="90"/>
      <c r="E9970" s="36"/>
      <c r="F9970" s="91"/>
      <c r="G9970" s="91"/>
    </row>
    <row r="9971" spans="1:7">
      <c r="A9971" s="21"/>
      <c r="B9971"/>
      <c r="C9971"/>
      <c r="D9971" s="90"/>
      <c r="E9971" s="36"/>
      <c r="F9971" s="91"/>
      <c r="G9971" s="91"/>
    </row>
    <row r="9972" spans="1:7">
      <c r="A9972" s="21"/>
      <c r="B9972"/>
      <c r="C9972"/>
      <c r="D9972" s="90"/>
      <c r="E9972" s="36"/>
      <c r="F9972" s="91"/>
      <c r="G9972" s="91"/>
    </row>
    <row r="9973" spans="1:7">
      <c r="A9973" s="21"/>
      <c r="B9973"/>
      <c r="C9973"/>
      <c r="D9973" s="90"/>
      <c r="E9973" s="36"/>
      <c r="F9973" s="91"/>
      <c r="G9973" s="91"/>
    </row>
    <row r="9974" spans="1:7">
      <c r="A9974" s="21"/>
      <c r="B9974"/>
      <c r="C9974"/>
      <c r="D9974" s="90"/>
      <c r="E9974" s="36"/>
      <c r="F9974" s="91"/>
      <c r="G9974" s="91"/>
    </row>
    <row r="9975" spans="1:7">
      <c r="A9975" s="21"/>
      <c r="B9975"/>
      <c r="C9975"/>
      <c r="D9975" s="90"/>
      <c r="E9975" s="36"/>
      <c r="F9975" s="91"/>
      <c r="G9975" s="91"/>
    </row>
    <row r="9976" spans="1:7">
      <c r="A9976" s="21"/>
      <c r="B9976"/>
      <c r="C9976"/>
      <c r="D9976" s="90"/>
      <c r="E9976" s="36"/>
      <c r="F9976" s="91"/>
      <c r="G9976" s="91"/>
    </row>
    <row r="9977" spans="1:7">
      <c r="A9977" s="21"/>
      <c r="B9977"/>
      <c r="C9977"/>
      <c r="D9977" s="90"/>
      <c r="E9977" s="36"/>
      <c r="F9977" s="91"/>
      <c r="G9977" s="91"/>
    </row>
    <row r="9978" spans="1:7">
      <c r="A9978" s="21"/>
      <c r="B9978"/>
      <c r="C9978"/>
      <c r="D9978" s="90"/>
      <c r="E9978" s="36"/>
      <c r="F9978" s="91"/>
      <c r="G9978" s="91"/>
    </row>
    <row r="9979" spans="1:7">
      <c r="A9979" s="21"/>
      <c r="B9979"/>
      <c r="C9979"/>
      <c r="D9979" s="90"/>
      <c r="E9979" s="36"/>
      <c r="F9979" s="91"/>
      <c r="G9979" s="91"/>
    </row>
    <row r="9980" spans="1:7">
      <c r="A9980" s="21"/>
      <c r="B9980"/>
      <c r="C9980"/>
      <c r="D9980" s="90"/>
      <c r="E9980" s="36"/>
      <c r="F9980" s="91"/>
      <c r="G9980" s="91"/>
    </row>
    <row r="9981" spans="1:7">
      <c r="A9981" s="21"/>
      <c r="B9981"/>
      <c r="C9981"/>
      <c r="D9981" s="90"/>
      <c r="E9981" s="36"/>
      <c r="F9981" s="91"/>
      <c r="G9981" s="91"/>
    </row>
    <row r="9982" spans="1:7">
      <c r="A9982" s="21"/>
      <c r="B9982"/>
      <c r="C9982"/>
      <c r="D9982" s="90"/>
      <c r="E9982" s="36"/>
      <c r="F9982" s="91"/>
      <c r="G9982" s="91"/>
    </row>
    <row r="9983" spans="1:7">
      <c r="A9983" s="21"/>
      <c r="B9983"/>
      <c r="C9983"/>
      <c r="D9983" s="90"/>
      <c r="E9983" s="36"/>
      <c r="F9983" s="91"/>
      <c r="G9983" s="91"/>
    </row>
    <row r="9984" spans="1:7">
      <c r="A9984" s="21"/>
      <c r="B9984"/>
      <c r="C9984"/>
      <c r="D9984" s="90"/>
      <c r="E9984" s="36"/>
      <c r="F9984" s="91"/>
      <c r="G9984" s="91"/>
    </row>
    <row r="9985" spans="1:7">
      <c r="A9985" s="21"/>
      <c r="B9985"/>
      <c r="C9985"/>
      <c r="D9985" s="90"/>
      <c r="E9985" s="36"/>
      <c r="F9985" s="91"/>
      <c r="G9985" s="91"/>
    </row>
    <row r="9986" spans="1:7">
      <c r="A9986" s="21"/>
      <c r="B9986"/>
      <c r="C9986"/>
      <c r="D9986" s="90"/>
      <c r="E9986" s="36"/>
      <c r="F9986" s="91"/>
      <c r="G9986" s="91"/>
    </row>
    <row r="9987" spans="1:7">
      <c r="A9987" s="21"/>
      <c r="B9987"/>
      <c r="C9987"/>
      <c r="D9987" s="90"/>
      <c r="E9987" s="36"/>
      <c r="F9987" s="91"/>
      <c r="G9987" s="91"/>
    </row>
    <row r="9988" spans="1:7">
      <c r="A9988" s="21"/>
      <c r="B9988"/>
      <c r="C9988"/>
      <c r="D9988" s="90"/>
      <c r="E9988" s="36"/>
      <c r="F9988" s="91"/>
      <c r="G9988" s="91"/>
    </row>
    <row r="9989" spans="1:7">
      <c r="A9989" s="21"/>
      <c r="B9989"/>
      <c r="C9989"/>
      <c r="D9989" s="90"/>
      <c r="E9989" s="36"/>
      <c r="F9989" s="91"/>
      <c r="G9989" s="91"/>
    </row>
    <row r="9990" spans="1:7">
      <c r="A9990" s="21"/>
      <c r="B9990"/>
      <c r="C9990"/>
      <c r="D9990" s="90"/>
      <c r="F9990" s="91"/>
      <c r="G9990" s="91"/>
    </row>
    <row r="9991" spans="1:7">
      <c r="A9991" s="21"/>
      <c r="B9991"/>
      <c r="C9991"/>
      <c r="D9991" s="90"/>
      <c r="E9991" s="36"/>
      <c r="F9991" s="91"/>
      <c r="G9991" s="91"/>
    </row>
    <row r="9992" spans="1:7">
      <c r="A9992" s="21"/>
      <c r="B9992"/>
      <c r="C9992"/>
      <c r="D9992" s="90"/>
      <c r="E9992" s="36"/>
      <c r="F9992" s="91"/>
      <c r="G9992" s="91"/>
    </row>
    <row r="9993" spans="1:7">
      <c r="A9993" s="21"/>
      <c r="B9993"/>
      <c r="C9993"/>
      <c r="D9993" s="90"/>
      <c r="E9993" s="36"/>
      <c r="F9993" s="91"/>
      <c r="G9993" s="91"/>
    </row>
    <row r="9994" spans="1:7">
      <c r="A9994" s="21"/>
      <c r="B9994"/>
      <c r="C9994"/>
      <c r="D9994" s="90"/>
      <c r="E9994" s="36"/>
      <c r="F9994" s="91"/>
      <c r="G9994" s="91"/>
    </row>
    <row r="9995" spans="1:7">
      <c r="A9995" s="21"/>
      <c r="B9995"/>
      <c r="C9995"/>
      <c r="D9995" s="90"/>
      <c r="E9995" s="36"/>
      <c r="F9995" s="91"/>
      <c r="G9995" s="91"/>
    </row>
    <row r="9996" spans="1:7">
      <c r="A9996" s="21"/>
      <c r="B9996"/>
      <c r="C9996"/>
      <c r="D9996" s="90"/>
      <c r="E9996" s="36"/>
      <c r="F9996" s="91"/>
      <c r="G9996" s="91"/>
    </row>
    <row r="9997" spans="1:7">
      <c r="A9997" s="21"/>
      <c r="B9997"/>
      <c r="C9997"/>
      <c r="D9997" s="90"/>
      <c r="E9997" s="36"/>
      <c r="F9997" s="91"/>
      <c r="G9997" s="91"/>
    </row>
    <row r="9998" spans="1:7">
      <c r="A9998" s="21"/>
      <c r="B9998"/>
      <c r="C9998"/>
      <c r="D9998" s="90"/>
      <c r="E9998" s="36"/>
      <c r="F9998" s="91"/>
      <c r="G9998" s="91"/>
    </row>
    <row r="9999" spans="1:7">
      <c r="A9999" s="21"/>
      <c r="B9999"/>
      <c r="C9999"/>
      <c r="D9999" s="90"/>
      <c r="E9999" s="36"/>
      <c r="F9999" s="91"/>
      <c r="G9999" s="91"/>
    </row>
    <row r="10000" spans="1:7">
      <c r="A10000" s="21"/>
      <c r="B10000"/>
      <c r="C10000"/>
      <c r="D10000" s="90"/>
      <c r="E10000" s="36"/>
      <c r="F10000" s="91"/>
      <c r="G10000" s="91"/>
    </row>
    <row r="10001" spans="1:7">
      <c r="A10001" s="21"/>
      <c r="B10001"/>
      <c r="C10001"/>
      <c r="D10001" s="90"/>
      <c r="E10001" s="36"/>
      <c r="F10001" s="91"/>
      <c r="G10001" s="91"/>
    </row>
    <row r="10002" spans="1:7">
      <c r="A10002" s="21"/>
      <c r="B10002"/>
      <c r="C10002"/>
      <c r="D10002" s="90"/>
      <c r="E10002" s="36"/>
      <c r="F10002" s="91"/>
      <c r="G10002" s="91"/>
    </row>
    <row r="10003" spans="1:7">
      <c r="A10003" s="21"/>
      <c r="B10003"/>
      <c r="C10003"/>
      <c r="D10003" s="90"/>
      <c r="E10003" s="36"/>
      <c r="F10003" s="91"/>
      <c r="G10003" s="91"/>
    </row>
    <row r="10004" spans="1:7">
      <c r="A10004" s="21"/>
      <c r="B10004"/>
      <c r="C10004"/>
      <c r="D10004" s="90"/>
      <c r="E10004" s="36"/>
      <c r="F10004" s="91"/>
      <c r="G10004" s="91"/>
    </row>
    <row r="10005" spans="1:7">
      <c r="A10005" s="21"/>
      <c r="B10005"/>
      <c r="C10005"/>
      <c r="D10005" s="90"/>
      <c r="F10005" s="91"/>
      <c r="G10005" s="91"/>
    </row>
    <row r="10006" spans="1:7">
      <c r="A10006" s="21"/>
      <c r="B10006"/>
      <c r="C10006"/>
      <c r="D10006" s="90"/>
      <c r="E10006" s="36"/>
      <c r="F10006" s="91"/>
      <c r="G10006" s="91"/>
    </row>
    <row r="10007" spans="1:7">
      <c r="A10007" s="21"/>
      <c r="B10007"/>
      <c r="C10007"/>
      <c r="D10007" s="90"/>
      <c r="E10007" s="36"/>
      <c r="F10007" s="91"/>
      <c r="G10007" s="91"/>
    </row>
    <row r="10008" spans="1:7">
      <c r="A10008" s="21"/>
      <c r="B10008"/>
      <c r="C10008"/>
      <c r="D10008" s="90"/>
      <c r="E10008" s="36"/>
      <c r="F10008" s="91"/>
      <c r="G10008" s="91"/>
    </row>
    <row r="10009" spans="1:7">
      <c r="A10009" s="21"/>
      <c r="B10009"/>
      <c r="C10009"/>
      <c r="D10009" s="90"/>
      <c r="E10009" s="36"/>
      <c r="F10009" s="91"/>
      <c r="G10009" s="91"/>
    </row>
    <row r="10010" spans="1:7">
      <c r="A10010" s="21"/>
      <c r="B10010"/>
      <c r="C10010"/>
      <c r="D10010" s="90"/>
      <c r="E10010" s="36"/>
      <c r="F10010" s="91"/>
      <c r="G10010" s="91"/>
    </row>
    <row r="10011" spans="1:7">
      <c r="A10011" s="21"/>
      <c r="B10011"/>
      <c r="C10011"/>
      <c r="D10011" s="90"/>
      <c r="E10011" s="36"/>
      <c r="F10011" s="91"/>
      <c r="G10011" s="91"/>
    </row>
    <row r="10012" spans="1:7">
      <c r="A10012" s="21"/>
      <c r="B10012"/>
      <c r="C10012"/>
      <c r="D10012" s="90"/>
      <c r="E10012" s="36"/>
      <c r="F10012" s="91"/>
      <c r="G10012" s="91"/>
    </row>
    <row r="10013" spans="1:7">
      <c r="A10013" s="21"/>
      <c r="B10013"/>
      <c r="C10013"/>
      <c r="D10013" s="90"/>
      <c r="E10013" s="36"/>
      <c r="F10013" s="91"/>
      <c r="G10013" s="91"/>
    </row>
    <row r="10014" spans="1:7">
      <c r="A10014" s="21"/>
      <c r="B10014"/>
      <c r="C10014"/>
      <c r="D10014" s="90"/>
      <c r="E10014" s="36"/>
      <c r="F10014" s="91"/>
      <c r="G10014" s="91"/>
    </row>
    <row r="10015" spans="1:7">
      <c r="A10015" s="21"/>
      <c r="B10015"/>
      <c r="C10015"/>
      <c r="D10015" s="90"/>
      <c r="E10015" s="36"/>
      <c r="F10015" s="91"/>
      <c r="G10015" s="91"/>
    </row>
    <row r="10016" spans="1:7">
      <c r="A10016" s="21"/>
      <c r="B10016"/>
      <c r="C10016"/>
      <c r="D10016" s="90"/>
      <c r="E10016" s="36"/>
      <c r="F10016" s="91"/>
      <c r="G10016" s="91"/>
    </row>
    <row r="10017" spans="1:7">
      <c r="A10017" s="21"/>
      <c r="B10017"/>
      <c r="C10017"/>
      <c r="D10017" s="90"/>
      <c r="E10017" s="36"/>
      <c r="F10017" s="91"/>
      <c r="G10017" s="91"/>
    </row>
    <row r="10018" spans="1:7">
      <c r="A10018" s="21"/>
      <c r="B10018"/>
      <c r="C10018"/>
      <c r="D10018" s="90"/>
      <c r="E10018" s="36"/>
      <c r="F10018" s="91"/>
      <c r="G10018" s="91"/>
    </row>
    <row r="10019" spans="1:7">
      <c r="A10019" s="21"/>
      <c r="B10019"/>
      <c r="C10019"/>
      <c r="D10019" s="90"/>
      <c r="E10019" s="36"/>
      <c r="F10019" s="91"/>
      <c r="G10019" s="91"/>
    </row>
    <row r="10020" spans="1:7">
      <c r="A10020" s="21"/>
      <c r="B10020"/>
      <c r="C10020"/>
      <c r="D10020" s="90"/>
      <c r="E10020" s="36"/>
      <c r="F10020" s="91"/>
      <c r="G10020" s="91"/>
    </row>
    <row r="10021" spans="1:7">
      <c r="A10021" s="21"/>
      <c r="B10021"/>
      <c r="C10021"/>
      <c r="D10021" s="90"/>
      <c r="E10021" s="36"/>
      <c r="F10021" s="91"/>
      <c r="G10021" s="91"/>
    </row>
    <row r="10022" spans="1:7">
      <c r="A10022" s="21"/>
      <c r="B10022"/>
      <c r="C10022"/>
      <c r="D10022" s="90"/>
      <c r="E10022" s="36"/>
      <c r="F10022" s="91"/>
      <c r="G10022" s="91"/>
    </row>
    <row r="10023" spans="1:7">
      <c r="A10023" s="21"/>
      <c r="B10023"/>
      <c r="C10023"/>
      <c r="D10023" s="90"/>
      <c r="E10023" s="36"/>
      <c r="F10023" s="91"/>
      <c r="G10023" s="91"/>
    </row>
    <row r="10024" spans="1:7">
      <c r="A10024" s="21"/>
      <c r="B10024"/>
      <c r="C10024"/>
      <c r="D10024" s="90"/>
      <c r="E10024" s="36"/>
      <c r="F10024" s="91"/>
      <c r="G10024" s="91"/>
    </row>
    <row r="10025" spans="1:7">
      <c r="A10025" s="21"/>
      <c r="B10025"/>
      <c r="C10025"/>
      <c r="D10025" s="90"/>
      <c r="E10025" s="36"/>
      <c r="F10025" s="91"/>
      <c r="G10025" s="91"/>
    </row>
    <row r="10026" spans="1:7">
      <c r="A10026" s="21"/>
      <c r="B10026"/>
      <c r="C10026"/>
      <c r="D10026" s="90"/>
      <c r="F10026" s="91"/>
      <c r="G10026" s="91"/>
    </row>
    <row r="10027" spans="1:7">
      <c r="A10027" s="21"/>
      <c r="B10027"/>
      <c r="C10027"/>
      <c r="D10027" s="90"/>
      <c r="E10027" s="36"/>
      <c r="F10027" s="91"/>
      <c r="G10027" s="91"/>
    </row>
    <row r="10028" spans="1:7">
      <c r="A10028" s="21"/>
      <c r="B10028"/>
      <c r="C10028"/>
      <c r="D10028" s="90"/>
      <c r="E10028" s="36"/>
      <c r="F10028" s="91"/>
      <c r="G10028" s="91"/>
    </row>
    <row r="10029" spans="1:7">
      <c r="A10029" s="21"/>
      <c r="B10029"/>
      <c r="C10029"/>
      <c r="D10029" s="90"/>
      <c r="E10029" s="36"/>
      <c r="F10029" s="91"/>
      <c r="G10029" s="91"/>
    </row>
    <row r="10030" spans="1:7">
      <c r="A10030" s="21"/>
      <c r="B10030"/>
      <c r="C10030"/>
      <c r="D10030" s="90"/>
      <c r="E10030" s="36"/>
      <c r="F10030" s="91"/>
      <c r="G10030" s="91"/>
    </row>
    <row r="10031" spans="1:7">
      <c r="A10031" s="21"/>
      <c r="B10031"/>
      <c r="C10031"/>
      <c r="D10031" s="90"/>
      <c r="E10031" s="36"/>
      <c r="F10031" s="91"/>
      <c r="G10031" s="91"/>
    </row>
    <row r="10032" spans="1:7">
      <c r="A10032" s="21"/>
      <c r="B10032"/>
      <c r="C10032"/>
      <c r="D10032" s="90"/>
      <c r="E10032" s="36"/>
      <c r="F10032" s="91"/>
      <c r="G10032" s="91"/>
    </row>
    <row r="10033" spans="1:7">
      <c r="A10033" s="21"/>
      <c r="B10033"/>
      <c r="C10033"/>
      <c r="D10033" s="90"/>
      <c r="E10033" s="36"/>
      <c r="F10033" s="91"/>
      <c r="G10033" s="91"/>
    </row>
    <row r="10034" spans="1:7">
      <c r="A10034" s="21"/>
      <c r="B10034"/>
      <c r="C10034"/>
      <c r="D10034" s="90"/>
      <c r="E10034" s="36"/>
      <c r="F10034" s="91"/>
      <c r="G10034" s="91"/>
    </row>
    <row r="10035" spans="1:7">
      <c r="A10035" s="21"/>
      <c r="B10035"/>
      <c r="C10035"/>
      <c r="D10035" s="90"/>
      <c r="E10035" s="36"/>
      <c r="F10035" s="91"/>
      <c r="G10035" s="91"/>
    </row>
    <row r="10036" spans="1:7">
      <c r="A10036" s="21"/>
      <c r="B10036"/>
      <c r="C10036"/>
      <c r="D10036" s="90"/>
      <c r="E10036" s="36"/>
      <c r="F10036" s="91"/>
      <c r="G10036" s="91"/>
    </row>
    <row r="10037" spans="1:7">
      <c r="A10037" s="21"/>
      <c r="B10037"/>
      <c r="C10037"/>
      <c r="D10037" s="90"/>
      <c r="E10037" s="36"/>
      <c r="F10037" s="91"/>
      <c r="G10037" s="91"/>
    </row>
    <row r="10038" spans="1:7">
      <c r="A10038" s="21"/>
      <c r="B10038"/>
      <c r="C10038"/>
      <c r="D10038" s="90"/>
      <c r="E10038" s="36"/>
      <c r="F10038" s="91"/>
      <c r="G10038" s="91"/>
    </row>
    <row r="10039" spans="1:7">
      <c r="A10039" s="21"/>
      <c r="B10039"/>
      <c r="C10039"/>
      <c r="D10039" s="90"/>
      <c r="E10039" s="36"/>
      <c r="F10039" s="91"/>
      <c r="G10039" s="91"/>
    </row>
    <row r="10040" spans="1:7">
      <c r="A10040" s="21"/>
      <c r="B10040"/>
      <c r="C10040"/>
      <c r="D10040" s="90"/>
      <c r="E10040" s="36"/>
      <c r="F10040" s="91"/>
      <c r="G10040" s="91"/>
    </row>
    <row r="10041" spans="1:7">
      <c r="A10041" s="21"/>
      <c r="B10041"/>
      <c r="C10041"/>
      <c r="D10041" s="90"/>
      <c r="E10041" s="36"/>
      <c r="F10041" s="91"/>
      <c r="G10041" s="91"/>
    </row>
    <row r="10042" spans="1:7">
      <c r="A10042" s="21"/>
      <c r="B10042"/>
      <c r="C10042"/>
      <c r="D10042" s="90"/>
      <c r="E10042" s="36"/>
      <c r="F10042" s="91"/>
      <c r="G10042" s="91"/>
    </row>
    <row r="10043" spans="1:7">
      <c r="A10043" s="21"/>
      <c r="B10043"/>
      <c r="C10043"/>
      <c r="D10043" s="90"/>
      <c r="E10043" s="36"/>
      <c r="F10043" s="91"/>
      <c r="G10043" s="91"/>
    </row>
    <row r="10044" spans="1:7">
      <c r="A10044" s="21"/>
      <c r="B10044"/>
      <c r="C10044"/>
      <c r="D10044" s="90"/>
      <c r="E10044" s="36"/>
      <c r="F10044" s="91"/>
      <c r="G10044" s="91"/>
    </row>
    <row r="10045" spans="1:7">
      <c r="A10045" s="21"/>
      <c r="B10045"/>
      <c r="C10045"/>
      <c r="D10045" s="90"/>
      <c r="E10045" s="36"/>
      <c r="F10045" s="91"/>
      <c r="G10045" s="91"/>
    </row>
    <row r="10046" spans="1:7">
      <c r="A10046" s="21"/>
      <c r="B10046"/>
      <c r="C10046"/>
      <c r="D10046" s="90"/>
      <c r="E10046" s="36"/>
      <c r="F10046" s="91"/>
      <c r="G10046" s="91"/>
    </row>
    <row r="10047" spans="1:7">
      <c r="A10047" s="21"/>
      <c r="B10047"/>
      <c r="C10047"/>
      <c r="D10047" s="90"/>
      <c r="E10047" s="36"/>
      <c r="F10047" s="91"/>
      <c r="G10047" s="91"/>
    </row>
    <row r="10048" spans="1:7">
      <c r="A10048" s="21"/>
      <c r="B10048"/>
      <c r="C10048"/>
      <c r="D10048" s="90"/>
      <c r="E10048" s="36"/>
      <c r="F10048" s="91"/>
      <c r="G10048" s="91"/>
    </row>
    <row r="10049" spans="1:7">
      <c r="A10049" s="21"/>
      <c r="B10049"/>
      <c r="C10049"/>
      <c r="D10049" s="90"/>
      <c r="E10049" s="36"/>
      <c r="F10049" s="91"/>
      <c r="G10049" s="91"/>
    </row>
    <row r="10050" spans="1:7">
      <c r="A10050" s="21"/>
      <c r="B10050"/>
      <c r="C10050"/>
      <c r="D10050" s="90"/>
      <c r="E10050" s="36"/>
      <c r="F10050" s="91"/>
      <c r="G10050" s="91"/>
    </row>
    <row r="10051" spans="1:7">
      <c r="A10051" s="21"/>
      <c r="B10051"/>
      <c r="C10051"/>
      <c r="D10051" s="90"/>
      <c r="E10051" s="36"/>
      <c r="F10051" s="91"/>
      <c r="G10051" s="91"/>
    </row>
    <row r="10052" spans="1:7">
      <c r="A10052" s="21"/>
      <c r="B10052"/>
      <c r="C10052"/>
      <c r="D10052" s="90"/>
      <c r="E10052" s="36"/>
      <c r="F10052" s="91"/>
      <c r="G10052" s="91"/>
    </row>
    <row r="10053" spans="1:7">
      <c r="A10053" s="21"/>
      <c r="B10053"/>
      <c r="C10053"/>
      <c r="D10053" s="90"/>
      <c r="E10053" s="36"/>
      <c r="F10053" s="91"/>
      <c r="G10053" s="91"/>
    </row>
    <row r="10054" spans="1:7">
      <c r="A10054" s="21"/>
      <c r="B10054"/>
      <c r="C10054"/>
      <c r="D10054" s="90"/>
      <c r="E10054" s="36"/>
      <c r="F10054" s="91"/>
      <c r="G10054" s="91"/>
    </row>
    <row r="10055" spans="1:7">
      <c r="A10055" s="21"/>
      <c r="B10055"/>
      <c r="C10055"/>
      <c r="D10055" s="90"/>
      <c r="E10055" s="36"/>
      <c r="F10055" s="91"/>
      <c r="G10055" s="91"/>
    </row>
    <row r="10056" spans="1:7">
      <c r="A10056" s="21"/>
      <c r="B10056"/>
      <c r="C10056"/>
      <c r="D10056" s="90"/>
      <c r="E10056" s="36"/>
      <c r="F10056" s="91"/>
      <c r="G10056" s="91"/>
    </row>
    <row r="10057" spans="1:7">
      <c r="A10057" s="21"/>
      <c r="B10057"/>
      <c r="C10057"/>
      <c r="D10057" s="90"/>
      <c r="E10057" s="36"/>
      <c r="F10057" s="91"/>
      <c r="G10057" s="91"/>
    </row>
    <row r="10058" spans="1:7">
      <c r="A10058" s="21"/>
      <c r="B10058"/>
      <c r="C10058"/>
      <c r="D10058" s="90"/>
      <c r="E10058" s="36"/>
      <c r="F10058" s="91"/>
      <c r="G10058" s="91"/>
    </row>
    <row r="10059" spans="1:7">
      <c r="A10059" s="21"/>
      <c r="B10059"/>
      <c r="C10059"/>
      <c r="D10059" s="90"/>
      <c r="E10059" s="36"/>
      <c r="F10059" s="91"/>
      <c r="G10059" s="91"/>
    </row>
    <row r="10060" spans="1:7">
      <c r="A10060" s="21"/>
      <c r="B10060"/>
      <c r="C10060"/>
      <c r="D10060" s="90"/>
      <c r="E10060" s="36"/>
      <c r="F10060" s="91"/>
      <c r="G10060" s="91"/>
    </row>
    <row r="10061" spans="1:7">
      <c r="A10061" s="21"/>
      <c r="B10061"/>
      <c r="C10061"/>
      <c r="D10061" s="90"/>
      <c r="E10061" s="36"/>
      <c r="F10061" s="91"/>
      <c r="G10061" s="91"/>
    </row>
    <row r="10062" spans="1:7">
      <c r="A10062" s="21"/>
      <c r="B10062"/>
      <c r="C10062"/>
      <c r="D10062" s="90"/>
      <c r="F10062" s="91"/>
      <c r="G10062" s="91"/>
    </row>
    <row r="10063" spans="1:7">
      <c r="A10063" s="21"/>
      <c r="B10063"/>
      <c r="C10063"/>
      <c r="D10063" s="90"/>
      <c r="E10063" s="36"/>
      <c r="F10063" s="91"/>
      <c r="G10063" s="91"/>
    </row>
    <row r="10064" spans="1:7">
      <c r="A10064" s="21"/>
      <c r="B10064"/>
      <c r="C10064"/>
      <c r="D10064" s="90"/>
      <c r="E10064" s="36"/>
      <c r="F10064" s="91"/>
      <c r="G10064" s="91"/>
    </row>
    <row r="10065" spans="1:7">
      <c r="A10065" s="21"/>
      <c r="B10065"/>
      <c r="C10065"/>
      <c r="D10065" s="90"/>
      <c r="E10065" s="36"/>
      <c r="F10065" s="91"/>
      <c r="G10065" s="91"/>
    </row>
    <row r="10066" spans="1:7">
      <c r="A10066" s="21"/>
      <c r="B10066"/>
      <c r="C10066"/>
      <c r="D10066" s="90"/>
      <c r="E10066" s="36"/>
      <c r="F10066" s="91"/>
      <c r="G10066" s="91"/>
    </row>
    <row r="10067" spans="1:7">
      <c r="A10067" s="21"/>
      <c r="B10067"/>
      <c r="C10067"/>
      <c r="D10067" s="90"/>
      <c r="E10067" s="36"/>
      <c r="F10067" s="91"/>
      <c r="G10067" s="91"/>
    </row>
    <row r="10068" spans="1:7">
      <c r="A10068" s="21"/>
      <c r="B10068"/>
      <c r="C10068"/>
      <c r="D10068" s="90"/>
      <c r="E10068" s="36"/>
      <c r="F10068" s="91"/>
      <c r="G10068" s="91"/>
    </row>
    <row r="10069" spans="1:7">
      <c r="A10069" s="21"/>
      <c r="B10069"/>
      <c r="C10069"/>
      <c r="D10069" s="90"/>
      <c r="E10069" s="36"/>
      <c r="F10069" s="91"/>
      <c r="G10069" s="91"/>
    </row>
    <row r="10070" spans="1:7">
      <c r="A10070" s="21"/>
      <c r="B10070"/>
      <c r="C10070"/>
      <c r="D10070" s="90"/>
      <c r="E10070" s="36"/>
      <c r="F10070" s="91"/>
      <c r="G10070" s="91"/>
    </row>
    <row r="10071" spans="1:7">
      <c r="A10071" s="21"/>
      <c r="B10071"/>
      <c r="C10071"/>
      <c r="D10071" s="90"/>
      <c r="E10071" s="36"/>
      <c r="F10071" s="91"/>
      <c r="G10071" s="91"/>
    </row>
    <row r="10072" spans="1:7">
      <c r="A10072" s="21"/>
      <c r="B10072"/>
      <c r="C10072"/>
      <c r="D10072" s="90"/>
      <c r="E10072" s="36"/>
      <c r="F10072" s="91"/>
      <c r="G10072" s="91"/>
    </row>
    <row r="10073" spans="1:7">
      <c r="A10073" s="21"/>
      <c r="B10073"/>
      <c r="C10073"/>
      <c r="D10073" s="90"/>
      <c r="E10073" s="36"/>
      <c r="F10073" s="91"/>
      <c r="G10073" s="91"/>
    </row>
    <row r="10074" spans="1:7">
      <c r="A10074" s="21"/>
      <c r="B10074"/>
      <c r="C10074"/>
      <c r="D10074" s="90"/>
      <c r="E10074" s="36"/>
      <c r="F10074" s="91"/>
      <c r="G10074" s="91"/>
    </row>
    <row r="10075" spans="1:7">
      <c r="A10075" s="21"/>
      <c r="B10075"/>
      <c r="C10075"/>
      <c r="D10075" s="90"/>
      <c r="E10075" s="36"/>
      <c r="F10075" s="91"/>
      <c r="G10075" s="91"/>
    </row>
    <row r="10076" spans="1:7">
      <c r="A10076" s="21"/>
      <c r="B10076"/>
      <c r="C10076"/>
      <c r="D10076" s="90"/>
      <c r="E10076" s="36"/>
      <c r="F10076" s="91"/>
      <c r="G10076" s="91"/>
    </row>
    <row r="10077" spans="1:7">
      <c r="A10077" s="21"/>
      <c r="B10077"/>
      <c r="C10077"/>
      <c r="D10077" s="90"/>
      <c r="E10077" s="36"/>
      <c r="F10077" s="91"/>
      <c r="G10077" s="91"/>
    </row>
    <row r="10078" spans="1:7">
      <c r="A10078" s="21"/>
      <c r="B10078"/>
      <c r="C10078"/>
      <c r="D10078" s="90"/>
      <c r="E10078" s="36"/>
      <c r="F10078" s="91"/>
      <c r="G10078" s="91"/>
    </row>
    <row r="10079" spans="1:7">
      <c r="A10079" s="21"/>
      <c r="B10079"/>
      <c r="C10079"/>
      <c r="D10079" s="90"/>
      <c r="E10079" s="36"/>
      <c r="F10079" s="91"/>
      <c r="G10079" s="91"/>
    </row>
    <row r="10080" spans="1:7">
      <c r="A10080" s="21"/>
      <c r="B10080"/>
      <c r="C10080"/>
      <c r="D10080" s="90"/>
      <c r="E10080" s="36"/>
      <c r="F10080" s="91"/>
      <c r="G10080" s="91"/>
    </row>
    <row r="10081" spans="1:7">
      <c r="A10081" s="21"/>
      <c r="B10081"/>
      <c r="C10081"/>
      <c r="D10081" s="90"/>
      <c r="E10081" s="36"/>
      <c r="F10081" s="91"/>
      <c r="G10081" s="91"/>
    </row>
    <row r="10082" spans="1:7">
      <c r="A10082" s="21"/>
      <c r="B10082"/>
      <c r="C10082"/>
      <c r="D10082" s="90"/>
      <c r="E10082" s="36"/>
      <c r="F10082" s="91"/>
      <c r="G10082" s="91"/>
    </row>
    <row r="10083" spans="1:7">
      <c r="A10083" s="21"/>
      <c r="B10083"/>
      <c r="C10083"/>
      <c r="D10083" s="90"/>
      <c r="E10083" s="36"/>
      <c r="F10083" s="91"/>
      <c r="G10083" s="91"/>
    </row>
    <row r="10084" spans="1:7">
      <c r="A10084" s="21"/>
      <c r="B10084"/>
      <c r="C10084"/>
      <c r="D10084" s="90"/>
      <c r="E10084" s="36"/>
      <c r="F10084" s="91"/>
      <c r="G10084" s="91"/>
    </row>
    <row r="10085" spans="1:7">
      <c r="A10085" s="21"/>
      <c r="B10085"/>
      <c r="C10085"/>
      <c r="D10085" s="90"/>
      <c r="E10085" s="36"/>
      <c r="F10085" s="91"/>
      <c r="G10085" s="91"/>
    </row>
    <row r="10086" spans="1:7">
      <c r="A10086" s="21"/>
      <c r="B10086"/>
      <c r="C10086"/>
      <c r="D10086" s="90"/>
      <c r="E10086" s="36"/>
      <c r="F10086" s="91"/>
      <c r="G10086" s="91"/>
    </row>
    <row r="10087" spans="1:7">
      <c r="A10087" s="21"/>
      <c r="B10087"/>
      <c r="C10087"/>
      <c r="D10087" s="90"/>
      <c r="E10087" s="36"/>
      <c r="F10087" s="91"/>
      <c r="G10087" s="91"/>
    </row>
    <row r="10088" spans="1:7">
      <c r="A10088" s="21"/>
      <c r="B10088"/>
      <c r="C10088"/>
      <c r="D10088" s="90"/>
      <c r="E10088" s="36"/>
      <c r="F10088" s="91"/>
      <c r="G10088" s="91"/>
    </row>
    <row r="10089" spans="1:7">
      <c r="A10089" s="21"/>
      <c r="B10089"/>
      <c r="C10089"/>
      <c r="D10089" s="90"/>
      <c r="E10089" s="36"/>
      <c r="F10089" s="91"/>
      <c r="G10089" s="91"/>
    </row>
    <row r="10090" spans="1:7">
      <c r="A10090" s="21"/>
      <c r="B10090"/>
      <c r="C10090"/>
      <c r="D10090" s="90"/>
      <c r="E10090" s="36"/>
      <c r="F10090" s="91"/>
      <c r="G10090" s="91"/>
    </row>
    <row r="10091" spans="1:7">
      <c r="A10091" s="21"/>
      <c r="B10091"/>
      <c r="C10091"/>
      <c r="D10091" s="90"/>
      <c r="E10091" s="36"/>
      <c r="F10091" s="91"/>
      <c r="G10091" s="91"/>
    </row>
    <row r="10092" spans="1:7">
      <c r="A10092" s="21"/>
      <c r="B10092"/>
      <c r="C10092"/>
      <c r="D10092" s="90"/>
      <c r="E10092" s="36"/>
      <c r="F10092" s="91"/>
      <c r="G10092" s="91"/>
    </row>
    <row r="10093" spans="1:7">
      <c r="A10093" s="21"/>
      <c r="B10093"/>
      <c r="C10093"/>
      <c r="D10093" s="90"/>
      <c r="E10093" s="36"/>
      <c r="F10093" s="91"/>
      <c r="G10093" s="91"/>
    </row>
    <row r="10094" spans="1:7">
      <c r="A10094" s="21"/>
      <c r="B10094"/>
      <c r="C10094"/>
      <c r="D10094" s="90"/>
      <c r="E10094" s="36"/>
      <c r="F10094" s="91"/>
      <c r="G10094" s="91"/>
    </row>
    <row r="10095" spans="1:7">
      <c r="A10095" s="21"/>
      <c r="B10095"/>
      <c r="C10095"/>
      <c r="D10095" s="90"/>
      <c r="E10095" s="36"/>
      <c r="F10095" s="91"/>
      <c r="G10095" s="91"/>
    </row>
    <row r="10096" spans="1:7">
      <c r="A10096" s="21"/>
      <c r="B10096"/>
      <c r="C10096"/>
      <c r="D10096" s="90"/>
      <c r="E10096" s="36"/>
      <c r="F10096" s="91"/>
      <c r="G10096" s="91"/>
    </row>
    <row r="10097" spans="1:7">
      <c r="A10097" s="21"/>
      <c r="B10097"/>
      <c r="C10097"/>
      <c r="D10097" s="90"/>
      <c r="E10097" s="36"/>
      <c r="F10097" s="91"/>
      <c r="G10097" s="91"/>
    </row>
    <row r="10098" spans="1:7">
      <c r="A10098" s="21"/>
      <c r="B10098"/>
      <c r="C10098"/>
      <c r="D10098" s="90"/>
      <c r="E10098" s="36"/>
      <c r="F10098" s="91"/>
      <c r="G10098" s="91"/>
    </row>
    <row r="10099" spans="1:7">
      <c r="A10099" s="21"/>
      <c r="B10099"/>
      <c r="C10099"/>
      <c r="D10099" s="90"/>
      <c r="E10099" s="36"/>
      <c r="F10099" s="91"/>
      <c r="G10099" s="91"/>
    </row>
    <row r="10100" spans="1:7">
      <c r="A10100" s="21"/>
      <c r="B10100"/>
      <c r="C10100"/>
      <c r="D10100" s="90"/>
      <c r="E10100" s="36"/>
      <c r="F10100" s="91"/>
      <c r="G10100" s="91"/>
    </row>
    <row r="10101" spans="1:7">
      <c r="A10101" s="21"/>
      <c r="B10101"/>
      <c r="C10101"/>
      <c r="D10101" s="90"/>
      <c r="E10101" s="36"/>
      <c r="F10101" s="91"/>
      <c r="G10101" s="91"/>
    </row>
    <row r="10102" spans="1:7">
      <c r="A10102" s="21"/>
      <c r="B10102"/>
      <c r="C10102"/>
      <c r="D10102" s="90"/>
      <c r="E10102" s="36"/>
      <c r="F10102" s="91"/>
      <c r="G10102" s="91"/>
    </row>
    <row r="10103" spans="1:7">
      <c r="A10103" s="21"/>
      <c r="B10103"/>
      <c r="C10103"/>
      <c r="D10103" s="90"/>
      <c r="E10103" s="36"/>
      <c r="F10103" s="91"/>
      <c r="G10103" s="91"/>
    </row>
    <row r="10104" spans="1:7">
      <c r="A10104" s="21"/>
      <c r="B10104"/>
      <c r="C10104"/>
      <c r="D10104" s="90"/>
      <c r="E10104" s="36"/>
      <c r="F10104" s="91"/>
      <c r="G10104" s="91"/>
    </row>
    <row r="10105" spans="1:7">
      <c r="A10105" s="21"/>
      <c r="B10105"/>
      <c r="C10105"/>
      <c r="D10105" s="90"/>
      <c r="E10105" s="36"/>
      <c r="F10105" s="91"/>
      <c r="G10105" s="91"/>
    </row>
    <row r="10106" spans="1:7">
      <c r="A10106" s="21"/>
      <c r="B10106"/>
      <c r="C10106"/>
      <c r="D10106" s="90"/>
      <c r="E10106" s="36"/>
      <c r="F10106" s="91"/>
      <c r="G10106" s="91"/>
    </row>
    <row r="10107" spans="1:7">
      <c r="A10107" s="21"/>
      <c r="B10107"/>
      <c r="C10107"/>
      <c r="D10107" s="90"/>
      <c r="F10107" s="91"/>
      <c r="G10107" s="91"/>
    </row>
    <row r="10108" spans="1:7">
      <c r="A10108" s="21"/>
      <c r="B10108"/>
      <c r="C10108"/>
      <c r="D10108" s="90"/>
      <c r="E10108" s="36"/>
      <c r="F10108" s="91"/>
      <c r="G10108" s="91"/>
    </row>
    <row r="10109" spans="1:7">
      <c r="A10109" s="21"/>
      <c r="B10109"/>
      <c r="C10109"/>
      <c r="D10109" s="90"/>
      <c r="E10109" s="36"/>
      <c r="F10109" s="91"/>
      <c r="G10109" s="91"/>
    </row>
    <row r="10110" spans="1:7">
      <c r="A10110" s="21"/>
      <c r="B10110"/>
      <c r="C10110"/>
      <c r="D10110" s="90"/>
      <c r="E10110" s="36"/>
      <c r="F10110" s="91"/>
      <c r="G10110" s="91"/>
    </row>
    <row r="10111" spans="1:7">
      <c r="A10111" s="21"/>
      <c r="B10111"/>
      <c r="C10111"/>
      <c r="D10111" s="90"/>
      <c r="E10111" s="36"/>
      <c r="F10111" s="91"/>
      <c r="G10111" s="91"/>
    </row>
    <row r="10112" spans="1:7">
      <c r="A10112" s="21"/>
      <c r="B10112"/>
      <c r="C10112"/>
      <c r="D10112" s="90"/>
      <c r="E10112" s="36"/>
      <c r="F10112" s="91"/>
      <c r="G10112" s="91"/>
    </row>
    <row r="10113" spans="1:7">
      <c r="A10113" s="21"/>
      <c r="B10113"/>
      <c r="C10113"/>
      <c r="D10113" s="90"/>
      <c r="E10113" s="36"/>
      <c r="F10113" s="91"/>
      <c r="G10113" s="91"/>
    </row>
    <row r="10114" spans="1:7">
      <c r="A10114" s="21"/>
      <c r="B10114"/>
      <c r="C10114"/>
      <c r="D10114" s="90"/>
      <c r="E10114" s="36"/>
      <c r="F10114" s="91"/>
      <c r="G10114" s="91"/>
    </row>
    <row r="10115" spans="1:7">
      <c r="A10115" s="21"/>
      <c r="B10115"/>
      <c r="C10115"/>
      <c r="D10115" s="90"/>
      <c r="E10115" s="36"/>
      <c r="F10115" s="91"/>
      <c r="G10115" s="91"/>
    </row>
    <row r="10116" spans="1:7">
      <c r="A10116" s="21"/>
      <c r="B10116"/>
      <c r="C10116"/>
      <c r="D10116" s="90"/>
      <c r="E10116" s="36"/>
      <c r="F10116" s="91"/>
      <c r="G10116" s="91"/>
    </row>
    <row r="10117" spans="1:7">
      <c r="A10117" s="21"/>
      <c r="B10117"/>
      <c r="C10117"/>
      <c r="D10117" s="90"/>
      <c r="E10117" s="36"/>
      <c r="F10117" s="91"/>
      <c r="G10117" s="91"/>
    </row>
    <row r="10118" spans="1:7">
      <c r="A10118" s="21"/>
      <c r="B10118"/>
      <c r="C10118"/>
      <c r="D10118" s="90"/>
      <c r="E10118" s="36"/>
      <c r="F10118" s="91"/>
      <c r="G10118" s="91"/>
    </row>
    <row r="10119" spans="1:7">
      <c r="A10119" s="21"/>
      <c r="B10119"/>
      <c r="C10119"/>
      <c r="D10119" s="90"/>
      <c r="E10119" s="36"/>
      <c r="F10119" s="91"/>
      <c r="G10119" s="91"/>
    </row>
    <row r="10120" spans="1:7">
      <c r="A10120" s="21"/>
      <c r="B10120"/>
      <c r="C10120"/>
      <c r="D10120" s="90"/>
      <c r="E10120" s="36"/>
      <c r="F10120" s="91"/>
      <c r="G10120" s="91"/>
    </row>
    <row r="10121" spans="1:7">
      <c r="A10121" s="21"/>
      <c r="B10121"/>
      <c r="C10121"/>
      <c r="D10121" s="90"/>
      <c r="E10121" s="36"/>
      <c r="F10121" s="91"/>
      <c r="G10121" s="91"/>
    </row>
    <row r="10122" spans="1:7">
      <c r="A10122" s="21"/>
      <c r="B10122"/>
      <c r="C10122"/>
      <c r="D10122" s="90"/>
      <c r="E10122" s="36"/>
      <c r="F10122" s="91"/>
      <c r="G10122" s="91"/>
    </row>
    <row r="10123" spans="1:7">
      <c r="A10123" s="21"/>
      <c r="B10123"/>
      <c r="C10123"/>
      <c r="D10123" s="90"/>
      <c r="E10123" s="36"/>
      <c r="F10123" s="91"/>
      <c r="G10123" s="91"/>
    </row>
    <row r="10124" spans="1:7">
      <c r="A10124" s="21"/>
      <c r="B10124"/>
      <c r="C10124"/>
      <c r="D10124" s="90"/>
      <c r="E10124" s="36"/>
      <c r="F10124" s="91"/>
      <c r="G10124" s="91"/>
    </row>
    <row r="10125" spans="1:7">
      <c r="A10125" s="21"/>
      <c r="B10125"/>
      <c r="C10125"/>
      <c r="D10125" s="90"/>
      <c r="E10125" s="36"/>
      <c r="F10125" s="91"/>
      <c r="G10125" s="91"/>
    </row>
    <row r="10126" spans="1:7">
      <c r="A10126" s="21"/>
      <c r="B10126"/>
      <c r="C10126"/>
      <c r="D10126" s="90"/>
      <c r="E10126" s="36"/>
      <c r="F10126" s="91"/>
      <c r="G10126" s="91"/>
    </row>
    <row r="10127" spans="1:7">
      <c r="A10127" s="21"/>
      <c r="B10127"/>
      <c r="C10127"/>
      <c r="D10127" s="90"/>
      <c r="E10127" s="36"/>
      <c r="F10127" s="91"/>
      <c r="G10127" s="91"/>
    </row>
    <row r="10128" spans="1:7">
      <c r="A10128" s="21"/>
      <c r="B10128"/>
      <c r="C10128"/>
      <c r="D10128" s="90"/>
      <c r="E10128" s="36"/>
      <c r="F10128" s="91"/>
      <c r="G10128" s="91"/>
    </row>
    <row r="10129" spans="1:7">
      <c r="A10129" s="21"/>
      <c r="B10129"/>
      <c r="C10129"/>
      <c r="D10129" s="90"/>
      <c r="E10129" s="36"/>
      <c r="F10129" s="91"/>
      <c r="G10129" s="91"/>
    </row>
    <row r="10130" spans="1:7">
      <c r="A10130" s="21"/>
      <c r="B10130"/>
      <c r="C10130"/>
      <c r="D10130" s="90"/>
      <c r="E10130" s="36"/>
      <c r="F10130" s="91"/>
      <c r="G10130" s="91"/>
    </row>
    <row r="10131" spans="1:7">
      <c r="A10131" s="21"/>
      <c r="B10131"/>
      <c r="C10131"/>
      <c r="D10131" s="90"/>
      <c r="E10131" s="36"/>
      <c r="F10131" s="91"/>
      <c r="G10131" s="91"/>
    </row>
    <row r="10132" spans="1:7">
      <c r="A10132" s="21"/>
      <c r="B10132"/>
      <c r="C10132"/>
      <c r="D10132" s="90"/>
      <c r="E10132" s="36"/>
      <c r="F10132" s="91"/>
      <c r="G10132" s="91"/>
    </row>
    <row r="10133" spans="1:7">
      <c r="A10133" s="21"/>
      <c r="B10133"/>
      <c r="C10133"/>
      <c r="D10133" s="90"/>
      <c r="E10133" s="36"/>
      <c r="F10133" s="91"/>
      <c r="G10133" s="91"/>
    </row>
    <row r="10134" spans="1:7">
      <c r="A10134" s="21"/>
      <c r="B10134"/>
      <c r="C10134"/>
      <c r="D10134" s="90"/>
      <c r="E10134" s="36"/>
      <c r="F10134" s="91"/>
      <c r="G10134" s="91"/>
    </row>
    <row r="10135" spans="1:7">
      <c r="A10135" s="21"/>
      <c r="B10135"/>
      <c r="C10135"/>
      <c r="D10135" s="90"/>
      <c r="E10135" s="36"/>
      <c r="F10135" s="91"/>
      <c r="G10135" s="91"/>
    </row>
    <row r="10136" spans="1:7">
      <c r="A10136" s="21"/>
      <c r="B10136"/>
      <c r="C10136"/>
      <c r="D10136" s="90"/>
      <c r="E10136" s="36"/>
      <c r="F10136" s="91"/>
      <c r="G10136" s="91"/>
    </row>
    <row r="10137" spans="1:7">
      <c r="A10137" s="21"/>
      <c r="B10137"/>
      <c r="C10137"/>
      <c r="D10137" s="90"/>
      <c r="E10137" s="36"/>
      <c r="F10137" s="91"/>
      <c r="G10137" s="91"/>
    </row>
    <row r="10138" spans="1:7">
      <c r="A10138" s="21"/>
      <c r="B10138"/>
      <c r="C10138"/>
      <c r="D10138" s="90"/>
      <c r="E10138" s="36"/>
      <c r="F10138" s="91"/>
      <c r="G10138" s="91"/>
    </row>
    <row r="10139" spans="1:7">
      <c r="A10139" s="21"/>
      <c r="B10139"/>
      <c r="C10139"/>
      <c r="D10139" s="90"/>
      <c r="E10139" s="36"/>
      <c r="F10139" s="91"/>
      <c r="G10139" s="91"/>
    </row>
    <row r="10140" spans="1:7">
      <c r="A10140" s="21"/>
      <c r="B10140"/>
      <c r="C10140"/>
      <c r="D10140" s="90"/>
      <c r="E10140" s="36"/>
      <c r="F10140" s="91"/>
      <c r="G10140" s="91"/>
    </row>
    <row r="10141" spans="1:7">
      <c r="A10141" s="21"/>
      <c r="B10141"/>
      <c r="C10141"/>
      <c r="D10141" s="90"/>
      <c r="E10141" s="36"/>
      <c r="F10141" s="91"/>
      <c r="G10141" s="91"/>
    </row>
    <row r="10142" spans="1:7">
      <c r="A10142" s="21"/>
      <c r="B10142"/>
      <c r="C10142"/>
      <c r="D10142" s="90"/>
      <c r="E10142" s="36"/>
      <c r="F10142" s="91"/>
      <c r="G10142" s="91"/>
    </row>
    <row r="10143" spans="1:7">
      <c r="A10143" s="21"/>
      <c r="B10143"/>
      <c r="C10143"/>
      <c r="D10143" s="90"/>
      <c r="F10143" s="91"/>
      <c r="G10143" s="91"/>
    </row>
    <row r="10144" spans="1:7">
      <c r="A10144" s="21"/>
      <c r="B10144"/>
      <c r="C10144"/>
      <c r="D10144" s="90"/>
      <c r="E10144" s="36"/>
      <c r="F10144" s="91"/>
      <c r="G10144" s="91"/>
    </row>
    <row r="10145" spans="1:7">
      <c r="A10145" s="21"/>
      <c r="B10145"/>
      <c r="C10145"/>
      <c r="D10145" s="90"/>
      <c r="E10145" s="36"/>
      <c r="F10145" s="91"/>
      <c r="G10145" s="91"/>
    </row>
    <row r="10146" spans="1:7">
      <c r="A10146" s="21"/>
      <c r="B10146"/>
      <c r="C10146"/>
      <c r="D10146" s="90"/>
      <c r="E10146" s="36"/>
      <c r="F10146" s="91"/>
      <c r="G10146" s="91"/>
    </row>
    <row r="10147" spans="1:7">
      <c r="A10147" s="21"/>
      <c r="B10147"/>
      <c r="C10147"/>
      <c r="D10147" s="90"/>
      <c r="E10147" s="36"/>
      <c r="F10147" s="91"/>
      <c r="G10147" s="91"/>
    </row>
    <row r="10148" spans="1:7">
      <c r="A10148" s="21"/>
      <c r="B10148"/>
      <c r="C10148"/>
      <c r="D10148" s="90"/>
      <c r="E10148" s="36"/>
      <c r="F10148" s="91"/>
      <c r="G10148" s="91"/>
    </row>
    <row r="10149" spans="1:7">
      <c r="A10149" s="21"/>
      <c r="B10149"/>
      <c r="C10149"/>
      <c r="D10149" s="90"/>
      <c r="E10149" s="36"/>
      <c r="F10149" s="91"/>
      <c r="G10149" s="91"/>
    </row>
    <row r="10150" spans="1:7">
      <c r="A10150" s="21"/>
      <c r="B10150"/>
      <c r="C10150"/>
      <c r="D10150" s="90"/>
      <c r="E10150" s="36"/>
      <c r="F10150" s="91"/>
      <c r="G10150" s="91"/>
    </row>
    <row r="10151" spans="1:7">
      <c r="A10151" s="21"/>
      <c r="B10151"/>
      <c r="C10151"/>
      <c r="D10151" s="90"/>
      <c r="E10151" s="36"/>
      <c r="F10151" s="91"/>
      <c r="G10151" s="91"/>
    </row>
    <row r="10152" spans="1:7">
      <c r="A10152" s="21"/>
      <c r="B10152"/>
      <c r="C10152"/>
      <c r="D10152" s="90"/>
      <c r="E10152" s="36"/>
      <c r="F10152" s="91"/>
      <c r="G10152" s="91"/>
    </row>
    <row r="10153" spans="1:7">
      <c r="A10153" s="21"/>
      <c r="B10153"/>
      <c r="C10153"/>
      <c r="D10153" s="90"/>
      <c r="E10153" s="36"/>
      <c r="F10153" s="91"/>
      <c r="G10153" s="91"/>
    </row>
    <row r="10154" spans="1:7">
      <c r="A10154" s="21"/>
      <c r="B10154"/>
      <c r="C10154"/>
      <c r="D10154" s="90"/>
      <c r="E10154" s="36"/>
      <c r="F10154" s="91"/>
      <c r="G10154" s="91"/>
    </row>
    <row r="10155" spans="1:7">
      <c r="A10155" s="21"/>
      <c r="B10155"/>
      <c r="C10155"/>
      <c r="D10155" s="90"/>
      <c r="E10155" s="36"/>
      <c r="F10155" s="91"/>
      <c r="G10155" s="91"/>
    </row>
    <row r="10156" spans="1:7">
      <c r="A10156" s="21"/>
      <c r="B10156"/>
      <c r="C10156"/>
      <c r="D10156" s="90"/>
      <c r="E10156" s="36"/>
      <c r="F10156" s="91"/>
      <c r="G10156" s="91"/>
    </row>
    <row r="10157" spans="1:7">
      <c r="A10157" s="21"/>
      <c r="B10157"/>
      <c r="C10157"/>
      <c r="D10157" s="90"/>
      <c r="E10157" s="36"/>
      <c r="F10157" s="91"/>
      <c r="G10157" s="91"/>
    </row>
    <row r="10158" spans="1:7">
      <c r="A10158" s="21"/>
      <c r="B10158"/>
      <c r="C10158"/>
      <c r="D10158" s="90"/>
      <c r="E10158" s="36"/>
      <c r="F10158" s="91"/>
      <c r="G10158" s="91"/>
    </row>
    <row r="10159" spans="1:7">
      <c r="A10159" s="21"/>
      <c r="B10159"/>
      <c r="C10159"/>
      <c r="D10159" s="90"/>
      <c r="E10159" s="36"/>
      <c r="F10159" s="91"/>
      <c r="G10159" s="91"/>
    </row>
    <row r="10160" spans="1:7">
      <c r="A10160" s="21"/>
      <c r="B10160"/>
      <c r="C10160"/>
      <c r="D10160" s="90"/>
      <c r="E10160" s="36"/>
      <c r="F10160" s="91"/>
      <c r="G10160" s="91"/>
    </row>
    <row r="10161" spans="1:7">
      <c r="A10161" s="21"/>
      <c r="B10161"/>
      <c r="C10161"/>
      <c r="D10161" s="90"/>
      <c r="E10161" s="36"/>
      <c r="F10161" s="91"/>
      <c r="G10161" s="91"/>
    </row>
    <row r="10162" spans="1:7">
      <c r="A10162" s="21"/>
      <c r="B10162"/>
      <c r="C10162"/>
      <c r="D10162" s="90"/>
      <c r="E10162" s="36"/>
      <c r="F10162" s="91"/>
      <c r="G10162" s="91"/>
    </row>
    <row r="10163" spans="1:7">
      <c r="A10163" s="21"/>
      <c r="B10163"/>
      <c r="C10163"/>
      <c r="D10163" s="90"/>
      <c r="E10163" s="36"/>
      <c r="F10163" s="91"/>
      <c r="G10163" s="91"/>
    </row>
    <row r="10164" spans="1:7">
      <c r="A10164" s="21"/>
      <c r="B10164"/>
      <c r="C10164"/>
      <c r="D10164" s="90"/>
      <c r="E10164" s="36"/>
      <c r="F10164" s="91"/>
      <c r="G10164" s="91"/>
    </row>
    <row r="10165" spans="1:7">
      <c r="A10165" s="21"/>
      <c r="B10165"/>
      <c r="C10165"/>
      <c r="D10165" s="90"/>
      <c r="E10165" s="36"/>
      <c r="F10165" s="91"/>
      <c r="G10165" s="91"/>
    </row>
    <row r="10166" spans="1:7">
      <c r="A10166" s="21"/>
      <c r="B10166"/>
      <c r="C10166"/>
      <c r="D10166" s="90"/>
      <c r="E10166" s="36"/>
      <c r="F10166" s="91"/>
      <c r="G10166" s="91"/>
    </row>
    <row r="10167" spans="1:7">
      <c r="A10167" s="21"/>
      <c r="B10167"/>
      <c r="C10167"/>
      <c r="D10167" s="90"/>
      <c r="E10167" s="36"/>
      <c r="F10167" s="91"/>
      <c r="G10167" s="91"/>
    </row>
    <row r="10168" spans="1:7">
      <c r="A10168" s="21"/>
      <c r="B10168"/>
      <c r="C10168"/>
      <c r="D10168" s="90"/>
      <c r="E10168" s="36"/>
      <c r="F10168" s="91"/>
      <c r="G10168" s="91"/>
    </row>
    <row r="10169" spans="1:7">
      <c r="A10169" s="21"/>
      <c r="B10169"/>
      <c r="C10169"/>
      <c r="D10169" s="90"/>
      <c r="E10169" s="36"/>
      <c r="F10169" s="91"/>
      <c r="G10169" s="91"/>
    </row>
    <row r="10170" spans="1:7">
      <c r="A10170" s="21"/>
      <c r="B10170"/>
      <c r="C10170"/>
      <c r="D10170" s="90"/>
      <c r="E10170" s="36"/>
      <c r="F10170" s="91"/>
      <c r="G10170" s="91"/>
    </row>
    <row r="10171" spans="1:7">
      <c r="A10171" s="21"/>
      <c r="B10171"/>
      <c r="C10171"/>
      <c r="D10171" s="90"/>
      <c r="E10171" s="36"/>
      <c r="F10171" s="91"/>
      <c r="G10171" s="91"/>
    </row>
    <row r="10172" spans="1:7">
      <c r="A10172" s="21"/>
      <c r="B10172"/>
      <c r="C10172"/>
      <c r="D10172" s="90"/>
      <c r="E10172" s="36"/>
      <c r="F10172" s="91"/>
      <c r="G10172" s="91"/>
    </row>
    <row r="10173" spans="1:7">
      <c r="A10173" s="21"/>
      <c r="B10173"/>
      <c r="C10173"/>
      <c r="D10173" s="90"/>
      <c r="E10173" s="36"/>
      <c r="F10173" s="91"/>
      <c r="G10173" s="91"/>
    </row>
    <row r="10174" spans="1:7">
      <c r="A10174" s="21"/>
      <c r="B10174"/>
      <c r="C10174"/>
      <c r="D10174" s="90"/>
      <c r="E10174" s="36"/>
      <c r="F10174" s="91"/>
      <c r="G10174" s="91"/>
    </row>
    <row r="10175" spans="1:7">
      <c r="A10175" s="21"/>
      <c r="B10175"/>
      <c r="C10175"/>
      <c r="D10175" s="90"/>
      <c r="E10175" s="36"/>
      <c r="F10175" s="91"/>
      <c r="G10175" s="91"/>
    </row>
    <row r="10176" spans="1:7">
      <c r="A10176" s="21"/>
      <c r="B10176"/>
      <c r="C10176"/>
      <c r="D10176" s="90"/>
      <c r="E10176" s="36"/>
      <c r="F10176" s="91"/>
      <c r="G10176" s="91"/>
    </row>
    <row r="10177" spans="1:7">
      <c r="A10177" s="21"/>
      <c r="B10177"/>
      <c r="C10177"/>
      <c r="D10177" s="90"/>
      <c r="E10177" s="36"/>
      <c r="F10177" s="91"/>
      <c r="G10177" s="91"/>
    </row>
    <row r="10178" spans="1:7">
      <c r="A10178" s="21"/>
      <c r="B10178"/>
      <c r="C10178"/>
      <c r="D10178" s="90"/>
      <c r="E10178" s="36"/>
      <c r="F10178" s="91"/>
      <c r="G10178" s="91"/>
    </row>
    <row r="10179" spans="1:7">
      <c r="A10179" s="21"/>
      <c r="B10179"/>
      <c r="C10179"/>
      <c r="D10179" s="90"/>
      <c r="E10179" s="36"/>
      <c r="F10179" s="91"/>
      <c r="G10179" s="91"/>
    </row>
    <row r="10180" spans="1:7">
      <c r="A10180" s="21"/>
      <c r="B10180"/>
      <c r="C10180"/>
      <c r="D10180" s="90"/>
      <c r="E10180" s="36"/>
      <c r="F10180" s="91"/>
      <c r="G10180" s="91"/>
    </row>
    <row r="10181" spans="1:7">
      <c r="A10181" s="21"/>
      <c r="B10181"/>
      <c r="C10181"/>
      <c r="D10181" s="90"/>
      <c r="E10181" s="36"/>
      <c r="F10181" s="91"/>
      <c r="G10181" s="91"/>
    </row>
    <row r="10182" spans="1:7">
      <c r="A10182" s="21"/>
      <c r="B10182"/>
      <c r="C10182"/>
      <c r="D10182" s="90"/>
      <c r="E10182" s="36"/>
      <c r="F10182" s="91"/>
      <c r="G10182" s="91"/>
    </row>
    <row r="10183" spans="1:7">
      <c r="A10183" s="21"/>
      <c r="B10183"/>
      <c r="C10183"/>
      <c r="D10183" s="90"/>
      <c r="E10183" s="36"/>
      <c r="F10183" s="91"/>
      <c r="G10183" s="91"/>
    </row>
    <row r="10184" spans="1:7">
      <c r="A10184" s="21"/>
      <c r="B10184"/>
      <c r="C10184"/>
      <c r="D10184" s="90"/>
      <c r="E10184" s="36"/>
      <c r="F10184" s="91"/>
      <c r="G10184" s="91"/>
    </row>
    <row r="10185" spans="1:7">
      <c r="A10185" s="21"/>
      <c r="B10185"/>
      <c r="C10185"/>
      <c r="D10185" s="90"/>
      <c r="E10185" s="36"/>
      <c r="F10185" s="91"/>
      <c r="G10185" s="91"/>
    </row>
    <row r="10186" spans="1:7">
      <c r="A10186" s="21"/>
      <c r="B10186"/>
      <c r="C10186"/>
      <c r="D10186" s="90"/>
      <c r="E10186" s="36"/>
      <c r="F10186" s="91"/>
      <c r="G10186" s="91"/>
    </row>
    <row r="10187" spans="1:7">
      <c r="A10187" s="21"/>
      <c r="B10187"/>
      <c r="C10187"/>
      <c r="D10187" s="90"/>
      <c r="E10187" s="36"/>
      <c r="F10187" s="91"/>
      <c r="G10187" s="91"/>
    </row>
    <row r="10188" spans="1:7">
      <c r="A10188" s="21"/>
      <c r="B10188"/>
      <c r="C10188"/>
      <c r="D10188" s="90"/>
      <c r="F10188" s="91"/>
      <c r="G10188" s="91"/>
    </row>
    <row r="10189" spans="1:7">
      <c r="A10189" s="21"/>
      <c r="B10189"/>
      <c r="C10189"/>
      <c r="D10189" s="90"/>
      <c r="E10189" s="36"/>
      <c r="F10189" s="91"/>
      <c r="G10189" s="91"/>
    </row>
    <row r="10190" spans="1:7">
      <c r="A10190" s="21"/>
      <c r="B10190"/>
      <c r="C10190"/>
      <c r="D10190" s="90"/>
      <c r="E10190" s="36"/>
      <c r="F10190" s="91"/>
      <c r="G10190" s="91"/>
    </row>
    <row r="10191" spans="1:7">
      <c r="A10191" s="21"/>
      <c r="B10191"/>
      <c r="C10191"/>
      <c r="D10191" s="90"/>
      <c r="E10191" s="36"/>
      <c r="F10191" s="91"/>
      <c r="G10191" s="91"/>
    </row>
    <row r="10192" spans="1:7">
      <c r="A10192" s="21"/>
      <c r="B10192"/>
      <c r="C10192"/>
      <c r="D10192" s="90"/>
      <c r="E10192" s="36"/>
      <c r="F10192" s="91"/>
      <c r="G10192" s="91"/>
    </row>
    <row r="10193" spans="1:7">
      <c r="A10193" s="21"/>
      <c r="B10193"/>
      <c r="C10193"/>
      <c r="D10193" s="90"/>
      <c r="E10193" s="36"/>
      <c r="F10193" s="91"/>
      <c r="G10193" s="91"/>
    </row>
    <row r="10194" spans="1:7">
      <c r="A10194" s="21"/>
      <c r="B10194"/>
      <c r="C10194"/>
      <c r="D10194" s="90"/>
      <c r="E10194" s="36"/>
      <c r="F10194" s="91"/>
      <c r="G10194" s="91"/>
    </row>
    <row r="10195" spans="1:7">
      <c r="A10195" s="21"/>
      <c r="B10195"/>
      <c r="C10195"/>
      <c r="D10195" s="90"/>
      <c r="E10195" s="36"/>
      <c r="F10195" s="91"/>
      <c r="G10195" s="91"/>
    </row>
    <row r="10196" spans="1:7">
      <c r="A10196" s="21"/>
      <c r="B10196"/>
      <c r="C10196"/>
      <c r="D10196" s="90"/>
      <c r="E10196" s="36"/>
      <c r="F10196" s="91"/>
      <c r="G10196" s="91"/>
    </row>
    <row r="10197" spans="1:7">
      <c r="A10197" s="21"/>
      <c r="B10197"/>
      <c r="C10197"/>
      <c r="D10197" s="90"/>
      <c r="E10197" s="36"/>
      <c r="F10197" s="91"/>
      <c r="G10197" s="91"/>
    </row>
    <row r="10198" spans="1:7">
      <c r="A10198" s="21"/>
      <c r="B10198"/>
      <c r="C10198"/>
      <c r="D10198" s="90"/>
      <c r="E10198" s="36"/>
      <c r="F10198" s="91"/>
      <c r="G10198" s="91"/>
    </row>
    <row r="10199" spans="1:7">
      <c r="A10199" s="21"/>
      <c r="B10199"/>
      <c r="C10199"/>
      <c r="D10199" s="90"/>
      <c r="E10199" s="36"/>
      <c r="F10199" s="91"/>
      <c r="G10199" s="91"/>
    </row>
    <row r="10200" spans="1:7">
      <c r="A10200" s="21"/>
      <c r="B10200"/>
      <c r="C10200"/>
      <c r="D10200" s="90"/>
      <c r="E10200" s="36"/>
      <c r="F10200" s="91"/>
      <c r="G10200" s="91"/>
    </row>
    <row r="10201" spans="1:7">
      <c r="A10201" s="21"/>
      <c r="B10201"/>
      <c r="C10201"/>
      <c r="D10201" s="90"/>
      <c r="E10201" s="36"/>
      <c r="F10201" s="91"/>
      <c r="G10201" s="91"/>
    </row>
    <row r="10202" spans="1:7">
      <c r="A10202" s="21"/>
      <c r="B10202"/>
      <c r="C10202"/>
      <c r="D10202" s="90"/>
      <c r="E10202" s="36"/>
      <c r="F10202" s="91"/>
      <c r="G10202" s="91"/>
    </row>
    <row r="10203" spans="1:7">
      <c r="A10203" s="21"/>
      <c r="B10203"/>
      <c r="C10203"/>
      <c r="D10203" s="90"/>
      <c r="E10203" s="36"/>
      <c r="F10203" s="91"/>
      <c r="G10203" s="91"/>
    </row>
    <row r="10204" spans="1:7">
      <c r="A10204" s="21"/>
      <c r="B10204"/>
      <c r="C10204"/>
      <c r="D10204" s="90"/>
      <c r="E10204" s="36"/>
      <c r="F10204" s="91"/>
      <c r="G10204" s="91"/>
    </row>
    <row r="10205" spans="1:7">
      <c r="A10205" s="21"/>
      <c r="B10205"/>
      <c r="C10205"/>
      <c r="D10205" s="90"/>
      <c r="E10205" s="36"/>
      <c r="F10205" s="91"/>
      <c r="G10205" s="91"/>
    </row>
    <row r="10206" spans="1:7">
      <c r="A10206" s="21"/>
      <c r="B10206"/>
      <c r="C10206"/>
      <c r="D10206" s="90"/>
      <c r="E10206" s="36"/>
      <c r="F10206" s="91"/>
      <c r="G10206" s="91"/>
    </row>
    <row r="10207" spans="1:7">
      <c r="A10207" s="21"/>
      <c r="B10207"/>
      <c r="C10207"/>
      <c r="D10207" s="90"/>
      <c r="E10207" s="36"/>
      <c r="F10207" s="91"/>
      <c r="G10207" s="91"/>
    </row>
    <row r="10208" spans="1:7">
      <c r="A10208" s="21"/>
      <c r="B10208"/>
      <c r="C10208"/>
      <c r="D10208" s="90"/>
      <c r="E10208" s="36"/>
      <c r="F10208" s="91"/>
      <c r="G10208" s="91"/>
    </row>
    <row r="10209" spans="1:7">
      <c r="A10209" s="21"/>
      <c r="B10209"/>
      <c r="C10209"/>
      <c r="D10209" s="90"/>
      <c r="E10209" s="36"/>
      <c r="F10209" s="91"/>
      <c r="G10209" s="91"/>
    </row>
    <row r="10210" spans="1:7">
      <c r="A10210" s="21"/>
      <c r="B10210"/>
      <c r="C10210"/>
      <c r="D10210" s="90"/>
      <c r="E10210" s="36"/>
      <c r="F10210" s="91"/>
      <c r="G10210" s="91"/>
    </row>
    <row r="10211" spans="1:7">
      <c r="A10211" s="21"/>
      <c r="B10211"/>
      <c r="C10211"/>
      <c r="D10211" s="90"/>
      <c r="E10211" s="36"/>
      <c r="F10211" s="91"/>
      <c r="G10211" s="91"/>
    </row>
    <row r="10212" spans="1:7">
      <c r="A10212" s="21"/>
      <c r="B10212"/>
      <c r="C10212"/>
      <c r="D10212" s="90"/>
      <c r="E10212" s="36"/>
      <c r="F10212" s="91"/>
      <c r="G10212" s="91"/>
    </row>
    <row r="10213" spans="1:7">
      <c r="A10213" s="21"/>
      <c r="B10213"/>
      <c r="C10213"/>
      <c r="D10213" s="90"/>
      <c r="E10213" s="36"/>
      <c r="F10213" s="91"/>
      <c r="G10213" s="91"/>
    </row>
    <row r="10214" spans="1:7">
      <c r="A10214" s="21"/>
      <c r="B10214"/>
      <c r="C10214"/>
      <c r="D10214" s="90"/>
      <c r="E10214" s="36"/>
      <c r="F10214" s="91"/>
      <c r="G10214" s="91"/>
    </row>
    <row r="10215" spans="1:7">
      <c r="A10215" s="21"/>
      <c r="B10215"/>
      <c r="C10215"/>
      <c r="D10215" s="90"/>
      <c r="E10215" s="36"/>
      <c r="F10215" s="91"/>
      <c r="G10215" s="91"/>
    </row>
    <row r="10216" spans="1:7">
      <c r="A10216" s="21"/>
      <c r="B10216"/>
      <c r="C10216"/>
      <c r="D10216" s="90"/>
      <c r="E10216" s="36"/>
      <c r="F10216" s="91"/>
      <c r="G10216" s="91"/>
    </row>
    <row r="10217" spans="1:7">
      <c r="A10217" s="21"/>
      <c r="B10217"/>
      <c r="C10217"/>
      <c r="D10217" s="90"/>
      <c r="E10217" s="36"/>
      <c r="F10217" s="91"/>
      <c r="G10217" s="91"/>
    </row>
    <row r="10218" spans="1:7">
      <c r="A10218" s="21"/>
      <c r="B10218"/>
      <c r="C10218"/>
      <c r="D10218" s="90"/>
      <c r="E10218" s="36"/>
      <c r="F10218" s="91"/>
      <c r="G10218" s="91"/>
    </row>
    <row r="10219" spans="1:7">
      <c r="A10219" s="21"/>
      <c r="B10219"/>
      <c r="C10219"/>
      <c r="D10219" s="90"/>
      <c r="E10219" s="36"/>
      <c r="F10219" s="91"/>
      <c r="G10219" s="91"/>
    </row>
    <row r="10220" spans="1:7">
      <c r="A10220" s="21"/>
      <c r="B10220"/>
      <c r="C10220"/>
      <c r="D10220" s="90"/>
      <c r="E10220" s="36"/>
      <c r="F10220" s="91"/>
      <c r="G10220" s="91"/>
    </row>
    <row r="10221" spans="1:7">
      <c r="A10221" s="21"/>
      <c r="B10221"/>
      <c r="C10221"/>
      <c r="D10221" s="90"/>
      <c r="E10221" s="36"/>
      <c r="F10221" s="91"/>
      <c r="G10221" s="91"/>
    </row>
    <row r="10222" spans="1:7">
      <c r="A10222" s="21"/>
      <c r="B10222"/>
      <c r="C10222"/>
      <c r="D10222" s="90"/>
      <c r="E10222" s="36"/>
      <c r="F10222" s="91"/>
      <c r="G10222" s="91"/>
    </row>
    <row r="10223" spans="1:7">
      <c r="A10223" s="21"/>
      <c r="B10223"/>
      <c r="C10223"/>
      <c r="D10223" s="90"/>
      <c r="E10223" s="36"/>
      <c r="F10223" s="91"/>
      <c r="G10223" s="91"/>
    </row>
    <row r="10224" spans="1:7">
      <c r="A10224" s="21"/>
      <c r="B10224"/>
      <c r="C10224"/>
      <c r="D10224" s="90"/>
      <c r="E10224" s="36"/>
      <c r="F10224" s="91"/>
      <c r="G10224" s="91"/>
    </row>
    <row r="10225" spans="1:7">
      <c r="A10225" s="21"/>
      <c r="B10225"/>
      <c r="C10225"/>
      <c r="D10225" s="90"/>
      <c r="E10225" s="36"/>
      <c r="F10225" s="91"/>
      <c r="G10225" s="91"/>
    </row>
    <row r="10226" spans="1:7">
      <c r="A10226" s="21"/>
      <c r="B10226"/>
      <c r="C10226"/>
      <c r="D10226" s="90"/>
      <c r="E10226" s="36"/>
      <c r="F10226" s="91"/>
      <c r="G10226" s="91"/>
    </row>
    <row r="10227" spans="1:7">
      <c r="A10227" s="21"/>
      <c r="B10227"/>
      <c r="C10227"/>
      <c r="D10227" s="90"/>
      <c r="F10227" s="91"/>
      <c r="G10227" s="91"/>
    </row>
    <row r="10228" spans="1:7">
      <c r="A10228" s="21"/>
      <c r="B10228"/>
      <c r="C10228"/>
      <c r="D10228" s="90"/>
      <c r="E10228" s="36"/>
      <c r="F10228" s="91"/>
      <c r="G10228" s="91"/>
    </row>
    <row r="10229" spans="1:7">
      <c r="A10229" s="21"/>
      <c r="B10229"/>
      <c r="C10229"/>
      <c r="D10229" s="90"/>
      <c r="E10229" s="36"/>
      <c r="F10229" s="91"/>
      <c r="G10229" s="91"/>
    </row>
    <row r="10230" spans="1:7">
      <c r="A10230" s="21"/>
      <c r="B10230"/>
      <c r="C10230"/>
      <c r="D10230" s="90"/>
      <c r="E10230" s="36"/>
      <c r="F10230" s="91"/>
      <c r="G10230" s="91"/>
    </row>
    <row r="10231" spans="1:7">
      <c r="A10231" s="21"/>
      <c r="B10231"/>
      <c r="C10231"/>
      <c r="D10231" s="90"/>
      <c r="E10231" s="36"/>
      <c r="F10231" s="91"/>
      <c r="G10231" s="91"/>
    </row>
    <row r="10232" spans="1:7">
      <c r="A10232" s="21"/>
      <c r="B10232"/>
      <c r="C10232"/>
      <c r="D10232" s="90"/>
      <c r="E10232" s="36"/>
      <c r="F10232" s="91"/>
      <c r="G10232" s="91"/>
    </row>
    <row r="10233" spans="1:7">
      <c r="A10233" s="21"/>
      <c r="B10233"/>
      <c r="C10233"/>
      <c r="D10233" s="90"/>
      <c r="E10233" s="36"/>
      <c r="F10233" s="91"/>
      <c r="G10233" s="91"/>
    </row>
    <row r="10234" spans="1:7">
      <c r="A10234" s="21"/>
      <c r="B10234"/>
      <c r="C10234"/>
      <c r="D10234" s="90"/>
      <c r="E10234" s="36"/>
      <c r="F10234" s="91"/>
      <c r="G10234" s="91"/>
    </row>
    <row r="10235" spans="1:7">
      <c r="A10235" s="21"/>
      <c r="B10235"/>
      <c r="C10235"/>
      <c r="D10235" s="90"/>
      <c r="E10235" s="36"/>
      <c r="F10235" s="91"/>
      <c r="G10235" s="91"/>
    </row>
    <row r="10236" spans="1:7">
      <c r="A10236" s="21"/>
      <c r="B10236"/>
      <c r="C10236"/>
      <c r="D10236" s="90"/>
      <c r="E10236" s="36"/>
      <c r="F10236" s="91"/>
      <c r="G10236" s="91"/>
    </row>
    <row r="10237" spans="1:7">
      <c r="A10237" s="21"/>
      <c r="B10237"/>
      <c r="C10237"/>
      <c r="D10237" s="90"/>
      <c r="E10237" s="36"/>
      <c r="F10237" s="91"/>
      <c r="G10237" s="91"/>
    </row>
    <row r="10238" spans="1:7">
      <c r="A10238" s="21"/>
      <c r="B10238"/>
      <c r="C10238"/>
      <c r="D10238" s="90"/>
      <c r="E10238" s="36"/>
      <c r="F10238" s="91"/>
      <c r="G10238" s="91"/>
    </row>
    <row r="10239" spans="1:7">
      <c r="A10239" s="21"/>
      <c r="B10239"/>
      <c r="C10239"/>
      <c r="D10239" s="90"/>
      <c r="E10239" s="36"/>
      <c r="F10239" s="91"/>
      <c r="G10239" s="91"/>
    </row>
    <row r="10240" spans="1:7">
      <c r="A10240" s="21"/>
      <c r="B10240"/>
      <c r="C10240"/>
      <c r="D10240" s="90"/>
      <c r="E10240" s="36"/>
      <c r="F10240" s="91"/>
      <c r="G10240" s="91"/>
    </row>
    <row r="10241" spans="1:7">
      <c r="A10241" s="21"/>
      <c r="B10241"/>
      <c r="C10241"/>
      <c r="D10241" s="90"/>
      <c r="E10241" s="36"/>
      <c r="F10241" s="91"/>
      <c r="G10241" s="91"/>
    </row>
    <row r="10242" spans="1:7">
      <c r="A10242" s="21"/>
      <c r="B10242"/>
      <c r="C10242"/>
      <c r="D10242" s="90"/>
      <c r="E10242" s="36"/>
      <c r="F10242" s="91"/>
      <c r="G10242" s="91"/>
    </row>
    <row r="10243" spans="1:7">
      <c r="A10243" s="21"/>
      <c r="B10243"/>
      <c r="C10243"/>
      <c r="D10243" s="90"/>
      <c r="E10243" s="36"/>
      <c r="F10243" s="91"/>
      <c r="G10243" s="91"/>
    </row>
    <row r="10244" spans="1:7">
      <c r="A10244" s="21"/>
      <c r="B10244"/>
      <c r="C10244"/>
      <c r="D10244" s="90"/>
      <c r="E10244" s="36"/>
      <c r="F10244" s="91"/>
      <c r="G10244" s="91"/>
    </row>
    <row r="10245" spans="1:7">
      <c r="A10245" s="21"/>
      <c r="B10245"/>
      <c r="C10245"/>
      <c r="D10245" s="90"/>
      <c r="E10245" s="36"/>
      <c r="F10245" s="91"/>
      <c r="G10245" s="91"/>
    </row>
    <row r="10246" spans="1:7">
      <c r="A10246" s="21"/>
      <c r="B10246"/>
      <c r="C10246"/>
      <c r="D10246" s="90"/>
      <c r="E10246" s="36"/>
      <c r="F10246" s="91"/>
      <c r="G10246" s="91"/>
    </row>
    <row r="10247" spans="1:7">
      <c r="A10247" s="21"/>
      <c r="B10247"/>
      <c r="C10247"/>
      <c r="D10247" s="90"/>
      <c r="E10247" s="36"/>
      <c r="F10247" s="91"/>
      <c r="G10247" s="91"/>
    </row>
    <row r="10248" spans="1:7">
      <c r="A10248" s="21"/>
      <c r="B10248"/>
      <c r="C10248"/>
      <c r="D10248" s="90"/>
      <c r="E10248" s="36"/>
      <c r="F10248" s="91"/>
      <c r="G10248" s="91"/>
    </row>
    <row r="10249" spans="1:7">
      <c r="A10249" s="21"/>
      <c r="B10249"/>
      <c r="C10249"/>
      <c r="D10249" s="90"/>
      <c r="E10249" s="36"/>
      <c r="F10249" s="91"/>
      <c r="G10249" s="91"/>
    </row>
    <row r="10250" spans="1:7">
      <c r="A10250" s="21"/>
      <c r="B10250"/>
      <c r="C10250"/>
      <c r="D10250" s="90"/>
      <c r="E10250" s="36"/>
      <c r="F10250" s="91"/>
      <c r="G10250" s="91"/>
    </row>
    <row r="10251" spans="1:7">
      <c r="A10251" s="21"/>
      <c r="B10251"/>
      <c r="C10251"/>
      <c r="D10251" s="90"/>
      <c r="E10251" s="36"/>
      <c r="F10251" s="91"/>
      <c r="G10251" s="91"/>
    </row>
    <row r="10252" spans="1:7">
      <c r="A10252" s="21"/>
      <c r="B10252"/>
      <c r="C10252"/>
      <c r="D10252" s="90"/>
      <c r="E10252" s="36"/>
      <c r="F10252" s="91"/>
      <c r="G10252" s="91"/>
    </row>
    <row r="10253" spans="1:7">
      <c r="A10253" s="21"/>
      <c r="B10253"/>
      <c r="C10253"/>
      <c r="D10253" s="90"/>
      <c r="E10253" s="36"/>
      <c r="F10253" s="91"/>
      <c r="G10253" s="91"/>
    </row>
    <row r="10254" spans="1:7">
      <c r="A10254" s="21"/>
      <c r="B10254"/>
      <c r="C10254"/>
      <c r="D10254" s="90"/>
      <c r="F10254" s="91"/>
      <c r="G10254" s="91"/>
    </row>
    <row r="10255" spans="1:7">
      <c r="A10255" s="21"/>
      <c r="B10255"/>
      <c r="C10255"/>
      <c r="D10255" s="90"/>
      <c r="E10255" s="36"/>
      <c r="F10255" s="91"/>
      <c r="G10255" s="91"/>
    </row>
    <row r="10256" spans="1:7">
      <c r="A10256" s="21"/>
      <c r="B10256"/>
      <c r="C10256"/>
      <c r="D10256" s="90"/>
      <c r="E10256" s="36"/>
      <c r="F10256" s="91"/>
      <c r="G10256" s="91"/>
    </row>
    <row r="10257" spans="1:7">
      <c r="A10257" s="21"/>
      <c r="B10257"/>
      <c r="C10257"/>
      <c r="D10257" s="90"/>
      <c r="E10257" s="36"/>
      <c r="F10257" s="91"/>
      <c r="G10257" s="91"/>
    </row>
    <row r="10258" spans="1:7">
      <c r="A10258" s="21"/>
      <c r="B10258"/>
      <c r="C10258"/>
      <c r="D10258" s="90"/>
      <c r="E10258" s="36"/>
      <c r="F10258" s="91"/>
      <c r="G10258" s="91"/>
    </row>
    <row r="10259" spans="1:7">
      <c r="A10259" s="21"/>
      <c r="B10259"/>
      <c r="C10259"/>
      <c r="D10259" s="90"/>
      <c r="E10259" s="36"/>
      <c r="F10259" s="91"/>
      <c r="G10259" s="91"/>
    </row>
    <row r="10260" spans="1:7">
      <c r="A10260" s="21"/>
      <c r="B10260"/>
      <c r="C10260"/>
      <c r="D10260" s="90"/>
      <c r="E10260" s="36"/>
      <c r="F10260" s="91"/>
      <c r="G10260" s="91"/>
    </row>
    <row r="10261" spans="1:7">
      <c r="A10261" s="21"/>
      <c r="B10261"/>
      <c r="C10261"/>
      <c r="D10261" s="90"/>
      <c r="E10261" s="36"/>
      <c r="F10261" s="91"/>
      <c r="G10261" s="91"/>
    </row>
    <row r="10262" spans="1:7">
      <c r="A10262" s="21"/>
      <c r="B10262"/>
      <c r="C10262"/>
      <c r="D10262" s="90"/>
      <c r="E10262" s="36"/>
      <c r="F10262" s="91"/>
      <c r="G10262" s="91"/>
    </row>
    <row r="10263" spans="1:7">
      <c r="A10263" s="21"/>
      <c r="B10263"/>
      <c r="C10263"/>
      <c r="D10263" s="90"/>
      <c r="E10263" s="36"/>
      <c r="F10263" s="91"/>
      <c r="G10263" s="91"/>
    </row>
    <row r="10264" spans="1:7">
      <c r="A10264" s="21"/>
      <c r="B10264"/>
      <c r="C10264"/>
      <c r="D10264" s="90"/>
      <c r="E10264" s="36"/>
      <c r="F10264" s="91"/>
      <c r="G10264" s="91"/>
    </row>
    <row r="10265" spans="1:7">
      <c r="A10265" s="21"/>
      <c r="B10265"/>
      <c r="C10265"/>
      <c r="D10265" s="90"/>
      <c r="E10265" s="36"/>
      <c r="F10265" s="91"/>
      <c r="G10265" s="91"/>
    </row>
    <row r="10266" spans="1:7">
      <c r="A10266" s="21"/>
      <c r="B10266"/>
      <c r="C10266"/>
      <c r="D10266" s="90"/>
      <c r="E10266" s="36"/>
      <c r="F10266" s="91"/>
      <c r="G10266" s="91"/>
    </row>
    <row r="10267" spans="1:7">
      <c r="A10267" s="21"/>
      <c r="B10267"/>
      <c r="C10267"/>
      <c r="D10267" s="90"/>
      <c r="E10267" s="36"/>
      <c r="F10267" s="91"/>
      <c r="G10267" s="91"/>
    </row>
    <row r="10268" spans="1:7">
      <c r="A10268" s="21"/>
      <c r="B10268"/>
      <c r="C10268"/>
      <c r="D10268" s="90"/>
      <c r="E10268" s="36"/>
      <c r="F10268" s="91"/>
      <c r="G10268" s="91"/>
    </row>
    <row r="10269" spans="1:7">
      <c r="A10269" s="21"/>
      <c r="B10269"/>
      <c r="C10269"/>
      <c r="D10269" s="90"/>
      <c r="E10269" s="36"/>
      <c r="F10269" s="91"/>
      <c r="G10269" s="91"/>
    </row>
    <row r="10270" spans="1:7">
      <c r="A10270" s="21"/>
      <c r="B10270"/>
      <c r="C10270"/>
      <c r="D10270" s="90"/>
      <c r="E10270" s="36"/>
      <c r="F10270" s="91"/>
      <c r="G10270" s="91"/>
    </row>
    <row r="10271" spans="1:7">
      <c r="A10271" s="21"/>
      <c r="B10271"/>
      <c r="C10271"/>
      <c r="D10271" s="90"/>
      <c r="E10271" s="36"/>
      <c r="F10271" s="91"/>
      <c r="G10271" s="91"/>
    </row>
    <row r="10272" spans="1:7">
      <c r="A10272" s="21"/>
      <c r="B10272"/>
      <c r="C10272"/>
      <c r="D10272" s="90"/>
      <c r="E10272" s="36"/>
      <c r="F10272" s="91"/>
      <c r="G10272" s="91"/>
    </row>
    <row r="10273" spans="1:7">
      <c r="A10273" s="21"/>
      <c r="B10273"/>
      <c r="C10273"/>
      <c r="D10273" s="90"/>
      <c r="E10273" s="36"/>
      <c r="F10273" s="91"/>
      <c r="G10273" s="91"/>
    </row>
    <row r="10274" spans="1:7">
      <c r="A10274" s="21"/>
      <c r="B10274"/>
      <c r="C10274"/>
      <c r="D10274" s="90"/>
      <c r="E10274" s="36"/>
      <c r="F10274" s="91"/>
      <c r="G10274" s="91"/>
    </row>
    <row r="10275" spans="1:7">
      <c r="A10275" s="21"/>
      <c r="B10275"/>
      <c r="C10275"/>
      <c r="D10275" s="90"/>
      <c r="E10275" s="36"/>
      <c r="F10275" s="91"/>
      <c r="G10275" s="91"/>
    </row>
    <row r="10276" spans="1:7">
      <c r="A10276" s="21"/>
      <c r="B10276"/>
      <c r="C10276"/>
      <c r="D10276" s="90"/>
      <c r="E10276" s="36"/>
      <c r="F10276" s="91"/>
      <c r="G10276" s="91"/>
    </row>
    <row r="10277" spans="1:7">
      <c r="A10277" s="21"/>
      <c r="B10277"/>
      <c r="C10277"/>
      <c r="D10277" s="90"/>
      <c r="E10277" s="36"/>
      <c r="F10277" s="91"/>
      <c r="G10277" s="91"/>
    </row>
    <row r="10278" spans="1:7">
      <c r="A10278" s="21"/>
      <c r="B10278"/>
      <c r="C10278"/>
      <c r="D10278" s="90"/>
      <c r="E10278" s="36"/>
      <c r="F10278" s="91"/>
      <c r="G10278" s="91"/>
    </row>
    <row r="10279" spans="1:7">
      <c r="A10279" s="21"/>
      <c r="B10279"/>
      <c r="C10279"/>
      <c r="D10279" s="90"/>
      <c r="E10279" s="36"/>
      <c r="F10279" s="91"/>
      <c r="G10279" s="91"/>
    </row>
    <row r="10280" spans="1:7">
      <c r="A10280" s="21"/>
      <c r="B10280"/>
      <c r="C10280"/>
      <c r="D10280" s="90"/>
      <c r="E10280" s="36"/>
      <c r="F10280" s="91"/>
      <c r="G10280" s="91"/>
    </row>
    <row r="10281" spans="1:7">
      <c r="A10281" s="21"/>
      <c r="B10281"/>
      <c r="C10281"/>
      <c r="D10281" s="90"/>
      <c r="E10281" s="36"/>
      <c r="F10281" s="91"/>
      <c r="G10281" s="91"/>
    </row>
    <row r="10282" spans="1:7">
      <c r="A10282" s="21"/>
      <c r="B10282"/>
      <c r="C10282"/>
      <c r="D10282" s="90"/>
      <c r="E10282" s="36"/>
      <c r="F10282" s="91"/>
      <c r="G10282" s="91"/>
    </row>
    <row r="10283" spans="1:7">
      <c r="A10283" s="21"/>
      <c r="B10283"/>
      <c r="C10283"/>
      <c r="D10283" s="90"/>
      <c r="E10283" s="36"/>
      <c r="F10283" s="91"/>
      <c r="G10283" s="91"/>
    </row>
    <row r="10284" spans="1:7">
      <c r="A10284" s="21"/>
      <c r="B10284"/>
      <c r="C10284"/>
      <c r="D10284" s="90"/>
      <c r="E10284" s="36"/>
      <c r="F10284" s="91"/>
      <c r="G10284" s="91"/>
    </row>
    <row r="10285" spans="1:7">
      <c r="A10285" s="21"/>
      <c r="B10285"/>
      <c r="C10285"/>
      <c r="D10285" s="90"/>
      <c r="E10285" s="36"/>
      <c r="F10285" s="91"/>
      <c r="G10285" s="91"/>
    </row>
    <row r="10286" spans="1:7">
      <c r="A10286" s="21"/>
      <c r="B10286"/>
      <c r="C10286"/>
      <c r="D10286" s="90"/>
      <c r="E10286" s="36"/>
      <c r="F10286" s="91"/>
      <c r="G10286" s="91"/>
    </row>
    <row r="10287" spans="1:7">
      <c r="A10287" s="21"/>
      <c r="B10287"/>
      <c r="C10287"/>
      <c r="D10287" s="90"/>
      <c r="E10287" s="36"/>
      <c r="F10287" s="91"/>
      <c r="G10287" s="91"/>
    </row>
    <row r="10288" spans="1:7">
      <c r="A10288" s="21"/>
      <c r="B10288"/>
      <c r="C10288"/>
      <c r="D10288" s="90"/>
      <c r="E10288" s="36"/>
      <c r="F10288" s="91"/>
      <c r="G10288" s="91"/>
    </row>
    <row r="10289" spans="1:7">
      <c r="A10289" s="21"/>
      <c r="B10289"/>
      <c r="C10289"/>
      <c r="D10289" s="90"/>
      <c r="E10289" s="36"/>
      <c r="F10289" s="91"/>
      <c r="G10289" s="91"/>
    </row>
    <row r="10290" spans="1:7">
      <c r="A10290" s="21"/>
      <c r="B10290"/>
      <c r="C10290"/>
      <c r="D10290" s="90"/>
      <c r="E10290" s="36"/>
      <c r="F10290" s="91"/>
      <c r="G10290" s="91"/>
    </row>
    <row r="10291" spans="1:7">
      <c r="A10291" s="21"/>
      <c r="B10291"/>
      <c r="C10291"/>
      <c r="D10291" s="90"/>
      <c r="E10291" s="36"/>
      <c r="F10291" s="91"/>
      <c r="G10291" s="91"/>
    </row>
    <row r="10292" spans="1:7">
      <c r="A10292" s="21"/>
      <c r="B10292"/>
      <c r="C10292"/>
      <c r="D10292" s="90"/>
      <c r="E10292" s="36"/>
      <c r="F10292" s="91"/>
      <c r="G10292" s="91"/>
    </row>
    <row r="10293" spans="1:7">
      <c r="A10293" s="21"/>
      <c r="B10293"/>
      <c r="C10293"/>
      <c r="D10293" s="90"/>
      <c r="E10293" s="36"/>
      <c r="F10293" s="91"/>
      <c r="G10293" s="91"/>
    </row>
    <row r="10294" spans="1:7">
      <c r="A10294" s="21"/>
      <c r="B10294"/>
      <c r="C10294"/>
      <c r="D10294" s="90"/>
      <c r="E10294" s="36"/>
      <c r="F10294" s="91"/>
      <c r="G10294" s="91"/>
    </row>
    <row r="10295" spans="1:7">
      <c r="A10295" s="21"/>
      <c r="B10295"/>
      <c r="C10295"/>
      <c r="D10295" s="90"/>
      <c r="E10295" s="36"/>
      <c r="F10295" s="91"/>
      <c r="G10295" s="91"/>
    </row>
    <row r="10296" spans="1:7">
      <c r="A10296" s="21"/>
      <c r="B10296"/>
      <c r="C10296"/>
      <c r="D10296" s="90"/>
      <c r="E10296" s="36"/>
      <c r="F10296" s="91"/>
      <c r="G10296" s="91"/>
    </row>
    <row r="10297" spans="1:7">
      <c r="A10297" s="21"/>
      <c r="B10297"/>
      <c r="C10297"/>
      <c r="D10297" s="90"/>
      <c r="E10297" s="36"/>
      <c r="F10297" s="91"/>
      <c r="G10297" s="91"/>
    </row>
    <row r="10298" spans="1:7">
      <c r="A10298" s="21"/>
      <c r="B10298"/>
      <c r="C10298"/>
      <c r="D10298" s="90"/>
      <c r="E10298" s="36"/>
      <c r="F10298" s="91"/>
      <c r="G10298" s="91"/>
    </row>
    <row r="10299" spans="1:7">
      <c r="A10299" s="21"/>
      <c r="B10299"/>
      <c r="C10299"/>
      <c r="D10299" s="90"/>
      <c r="F10299" s="91"/>
      <c r="G10299" s="91"/>
    </row>
    <row r="10300" spans="1:7">
      <c r="A10300" s="21"/>
      <c r="B10300"/>
      <c r="C10300"/>
      <c r="D10300" s="90"/>
      <c r="E10300" s="36"/>
      <c r="F10300" s="91"/>
      <c r="G10300" s="91"/>
    </row>
    <row r="10301" spans="1:7">
      <c r="A10301" s="21"/>
      <c r="B10301"/>
      <c r="C10301"/>
      <c r="D10301" s="90"/>
      <c r="E10301" s="36"/>
      <c r="F10301" s="91"/>
      <c r="G10301" s="91"/>
    </row>
    <row r="10302" spans="1:7">
      <c r="A10302" s="21"/>
      <c r="B10302"/>
      <c r="C10302"/>
      <c r="D10302" s="90"/>
      <c r="E10302" s="36"/>
      <c r="F10302" s="91"/>
      <c r="G10302" s="91"/>
    </row>
    <row r="10303" spans="1:7">
      <c r="A10303" s="21"/>
      <c r="B10303"/>
      <c r="C10303"/>
      <c r="D10303" s="90"/>
      <c r="E10303" s="36"/>
      <c r="F10303" s="91"/>
      <c r="G10303" s="91"/>
    </row>
    <row r="10304" spans="1:7">
      <c r="A10304" s="21"/>
      <c r="B10304"/>
      <c r="C10304"/>
      <c r="D10304" s="90"/>
      <c r="E10304" s="36"/>
      <c r="F10304" s="91"/>
      <c r="G10304" s="91"/>
    </row>
    <row r="10305" spans="1:7">
      <c r="A10305" s="21"/>
      <c r="B10305"/>
      <c r="C10305"/>
      <c r="D10305" s="90"/>
      <c r="E10305" s="36"/>
      <c r="F10305" s="91"/>
      <c r="G10305" s="91"/>
    </row>
    <row r="10306" spans="1:7">
      <c r="A10306" s="21"/>
      <c r="B10306"/>
      <c r="C10306"/>
      <c r="D10306" s="90"/>
      <c r="E10306" s="36"/>
      <c r="F10306" s="91"/>
      <c r="G10306" s="91"/>
    </row>
    <row r="10307" spans="1:7">
      <c r="A10307" s="21"/>
      <c r="B10307"/>
      <c r="C10307"/>
      <c r="D10307" s="90"/>
      <c r="E10307" s="36"/>
      <c r="F10307" s="91"/>
      <c r="G10307" s="91"/>
    </row>
    <row r="10308" spans="1:7">
      <c r="A10308" s="21"/>
      <c r="B10308"/>
      <c r="C10308"/>
      <c r="D10308" s="90"/>
      <c r="E10308" s="36"/>
      <c r="F10308" s="91"/>
      <c r="G10308" s="91"/>
    </row>
    <row r="10309" spans="1:7">
      <c r="A10309" s="21"/>
      <c r="B10309"/>
      <c r="C10309"/>
      <c r="D10309" s="90"/>
      <c r="E10309" s="36"/>
      <c r="F10309" s="91"/>
      <c r="G10309" s="91"/>
    </row>
    <row r="10310" spans="1:7">
      <c r="A10310" s="21"/>
      <c r="B10310"/>
      <c r="C10310"/>
      <c r="D10310" s="90"/>
      <c r="E10310" s="36"/>
      <c r="F10310" s="91"/>
      <c r="G10310" s="91"/>
    </row>
    <row r="10311" spans="1:7">
      <c r="A10311" s="21"/>
      <c r="B10311"/>
      <c r="C10311"/>
      <c r="D10311" s="90"/>
      <c r="E10311" s="36"/>
      <c r="F10311" s="91"/>
      <c r="G10311" s="91"/>
    </row>
    <row r="10312" spans="1:7">
      <c r="A10312" s="21"/>
      <c r="B10312"/>
      <c r="C10312"/>
      <c r="D10312" s="90"/>
      <c r="E10312" s="36"/>
      <c r="F10312" s="91"/>
      <c r="G10312" s="91"/>
    </row>
    <row r="10313" spans="1:7">
      <c r="A10313" s="21"/>
      <c r="B10313"/>
      <c r="C10313"/>
      <c r="D10313" s="90"/>
      <c r="E10313" s="36"/>
      <c r="F10313" s="91"/>
      <c r="G10313" s="91"/>
    </row>
    <row r="10314" spans="1:7">
      <c r="A10314" s="21"/>
      <c r="B10314"/>
      <c r="C10314"/>
      <c r="D10314" s="90"/>
      <c r="E10314" s="36"/>
      <c r="F10314" s="91"/>
      <c r="G10314" s="91"/>
    </row>
    <row r="10315" spans="1:7">
      <c r="A10315" s="21"/>
      <c r="B10315"/>
      <c r="C10315"/>
      <c r="D10315" s="90"/>
      <c r="E10315" s="36"/>
      <c r="F10315" s="91"/>
      <c r="G10315" s="91"/>
    </row>
    <row r="10316" spans="1:7">
      <c r="A10316" s="21"/>
      <c r="B10316"/>
      <c r="C10316"/>
      <c r="D10316" s="90"/>
      <c r="E10316" s="36"/>
      <c r="F10316" s="91"/>
      <c r="G10316" s="91"/>
    </row>
    <row r="10317" spans="1:7">
      <c r="A10317" s="21"/>
      <c r="B10317"/>
      <c r="C10317"/>
      <c r="D10317" s="90"/>
      <c r="E10317" s="36"/>
      <c r="F10317" s="91"/>
      <c r="G10317" s="91"/>
    </row>
    <row r="10318" spans="1:7">
      <c r="A10318" s="21"/>
      <c r="B10318"/>
      <c r="C10318"/>
      <c r="D10318" s="90"/>
      <c r="E10318" s="36"/>
      <c r="F10318" s="91"/>
      <c r="G10318" s="91"/>
    </row>
    <row r="10319" spans="1:7">
      <c r="A10319" s="21"/>
      <c r="B10319"/>
      <c r="C10319"/>
      <c r="D10319" s="90"/>
      <c r="E10319" s="36"/>
      <c r="F10319" s="91"/>
      <c r="G10319" s="91"/>
    </row>
    <row r="10320" spans="1:7">
      <c r="A10320" s="21"/>
      <c r="B10320"/>
      <c r="C10320"/>
      <c r="D10320" s="90"/>
      <c r="E10320" s="36"/>
      <c r="F10320" s="91"/>
      <c r="G10320" s="91"/>
    </row>
    <row r="10321" spans="1:7">
      <c r="A10321" s="21"/>
      <c r="B10321"/>
      <c r="C10321"/>
      <c r="D10321" s="90"/>
      <c r="E10321" s="36"/>
      <c r="F10321" s="91"/>
      <c r="G10321" s="91"/>
    </row>
    <row r="10322" spans="1:7">
      <c r="A10322" s="21"/>
      <c r="B10322"/>
      <c r="C10322"/>
      <c r="D10322" s="90"/>
      <c r="E10322" s="36"/>
      <c r="F10322" s="91"/>
      <c r="G10322" s="91"/>
    </row>
    <row r="10323" spans="1:7">
      <c r="A10323" s="21"/>
      <c r="B10323"/>
      <c r="C10323"/>
      <c r="D10323" s="90"/>
      <c r="E10323" s="36"/>
      <c r="F10323" s="91"/>
      <c r="G10323" s="91"/>
    </row>
    <row r="10324" spans="1:7">
      <c r="A10324" s="21"/>
      <c r="B10324"/>
      <c r="C10324"/>
      <c r="D10324" s="90"/>
      <c r="E10324" s="36"/>
      <c r="F10324" s="91"/>
      <c r="G10324" s="91"/>
    </row>
    <row r="10325" spans="1:7">
      <c r="A10325" s="21"/>
      <c r="B10325"/>
      <c r="C10325"/>
      <c r="D10325" s="90"/>
      <c r="E10325" s="36"/>
      <c r="F10325" s="91"/>
      <c r="G10325" s="91"/>
    </row>
    <row r="10326" spans="1:7">
      <c r="A10326" s="21"/>
      <c r="B10326"/>
      <c r="C10326"/>
      <c r="D10326" s="90"/>
      <c r="E10326" s="36"/>
      <c r="F10326" s="91"/>
      <c r="G10326" s="91"/>
    </row>
    <row r="10327" spans="1:7">
      <c r="A10327" s="21"/>
      <c r="B10327"/>
      <c r="C10327"/>
      <c r="D10327" s="90"/>
      <c r="E10327" s="36"/>
      <c r="F10327" s="91"/>
      <c r="G10327" s="91"/>
    </row>
    <row r="10328" spans="1:7">
      <c r="A10328" s="21"/>
      <c r="B10328"/>
      <c r="C10328"/>
      <c r="D10328" s="90"/>
      <c r="E10328" s="36"/>
      <c r="F10328" s="91"/>
      <c r="G10328" s="91"/>
    </row>
    <row r="10329" spans="1:7">
      <c r="A10329" s="21"/>
      <c r="B10329"/>
      <c r="C10329"/>
      <c r="D10329" s="90"/>
      <c r="E10329" s="36"/>
      <c r="F10329" s="91"/>
      <c r="G10329" s="91"/>
    </row>
    <row r="10330" spans="1:7">
      <c r="A10330" s="21"/>
      <c r="B10330"/>
      <c r="C10330"/>
      <c r="D10330" s="90"/>
      <c r="E10330" s="36"/>
      <c r="F10330" s="91"/>
      <c r="G10330" s="91"/>
    </row>
    <row r="10331" spans="1:7">
      <c r="A10331" s="21"/>
      <c r="B10331"/>
      <c r="C10331"/>
      <c r="D10331" s="90"/>
      <c r="E10331" s="36"/>
      <c r="F10331" s="91"/>
      <c r="G10331" s="91"/>
    </row>
    <row r="10332" spans="1:7">
      <c r="A10332" s="21"/>
      <c r="B10332"/>
      <c r="C10332"/>
      <c r="D10332" s="90"/>
      <c r="E10332" s="36"/>
      <c r="F10332" s="91"/>
      <c r="G10332" s="91"/>
    </row>
    <row r="10333" spans="1:7">
      <c r="A10333" s="21"/>
      <c r="B10333"/>
      <c r="C10333"/>
      <c r="D10333" s="90"/>
      <c r="E10333" s="36"/>
      <c r="F10333" s="91"/>
      <c r="G10333" s="91"/>
    </row>
    <row r="10334" spans="1:7">
      <c r="A10334" s="21"/>
      <c r="B10334"/>
      <c r="C10334"/>
      <c r="D10334" s="90"/>
      <c r="E10334" s="36"/>
      <c r="F10334" s="91"/>
      <c r="G10334" s="91"/>
    </row>
    <row r="10335" spans="1:7">
      <c r="A10335" s="21"/>
      <c r="B10335"/>
      <c r="C10335"/>
      <c r="D10335" s="90"/>
      <c r="E10335" s="36"/>
      <c r="F10335" s="91"/>
      <c r="G10335" s="91"/>
    </row>
    <row r="10336" spans="1:7">
      <c r="A10336" s="21"/>
      <c r="B10336"/>
      <c r="C10336"/>
      <c r="D10336" s="90"/>
      <c r="E10336" s="36"/>
      <c r="F10336" s="91"/>
      <c r="G10336" s="91"/>
    </row>
    <row r="10337" spans="1:7">
      <c r="A10337" s="21"/>
      <c r="B10337"/>
      <c r="C10337"/>
      <c r="D10337" s="90"/>
      <c r="E10337" s="36"/>
      <c r="F10337" s="91"/>
      <c r="G10337" s="91"/>
    </row>
    <row r="10338" spans="1:7">
      <c r="A10338" s="21"/>
      <c r="B10338"/>
      <c r="C10338"/>
      <c r="D10338" s="90"/>
      <c r="E10338" s="36"/>
      <c r="F10338" s="91"/>
      <c r="G10338" s="91"/>
    </row>
    <row r="10339" spans="1:7">
      <c r="A10339" s="21"/>
      <c r="B10339"/>
      <c r="C10339"/>
      <c r="D10339" s="90"/>
      <c r="E10339" s="36"/>
      <c r="F10339" s="91"/>
      <c r="G10339" s="91"/>
    </row>
    <row r="10340" spans="1:7">
      <c r="A10340" s="21"/>
      <c r="B10340"/>
      <c r="C10340"/>
      <c r="D10340" s="90"/>
      <c r="F10340" s="91"/>
      <c r="G10340" s="91"/>
    </row>
    <row r="10341" spans="1:7">
      <c r="A10341" s="21"/>
      <c r="B10341"/>
      <c r="C10341"/>
      <c r="D10341" s="90"/>
      <c r="E10341" s="36"/>
      <c r="F10341" s="91"/>
      <c r="G10341" s="91"/>
    </row>
    <row r="10342" spans="1:7">
      <c r="A10342" s="21"/>
      <c r="B10342"/>
      <c r="C10342"/>
      <c r="D10342" s="90"/>
      <c r="E10342" s="36"/>
      <c r="F10342" s="91"/>
      <c r="G10342" s="91"/>
    </row>
    <row r="10343" spans="1:7">
      <c r="A10343" s="21"/>
      <c r="B10343"/>
      <c r="C10343"/>
      <c r="D10343" s="90"/>
      <c r="E10343" s="36"/>
      <c r="F10343" s="91"/>
      <c r="G10343" s="91"/>
    </row>
    <row r="10344" spans="1:7">
      <c r="A10344" s="21"/>
      <c r="B10344"/>
      <c r="C10344"/>
      <c r="D10344" s="90"/>
      <c r="E10344" s="36"/>
      <c r="F10344" s="91"/>
      <c r="G10344" s="91"/>
    </row>
    <row r="10345" spans="1:7">
      <c r="A10345" s="21"/>
      <c r="B10345"/>
      <c r="C10345"/>
      <c r="D10345" s="90"/>
      <c r="E10345" s="36"/>
      <c r="F10345" s="91"/>
      <c r="G10345" s="91"/>
    </row>
    <row r="10346" spans="1:7">
      <c r="A10346" s="21"/>
      <c r="B10346"/>
      <c r="C10346"/>
      <c r="D10346" s="90"/>
      <c r="E10346" s="36"/>
      <c r="F10346" s="91"/>
      <c r="G10346" s="91"/>
    </row>
    <row r="10347" spans="1:7">
      <c r="A10347" s="21"/>
      <c r="B10347"/>
      <c r="C10347"/>
      <c r="D10347" s="90"/>
      <c r="E10347" s="36"/>
      <c r="F10347" s="91"/>
      <c r="G10347" s="91"/>
    </row>
    <row r="10348" spans="1:7">
      <c r="A10348" s="21"/>
      <c r="B10348"/>
      <c r="C10348"/>
      <c r="D10348" s="90"/>
      <c r="E10348" s="36"/>
      <c r="F10348" s="91"/>
      <c r="G10348" s="91"/>
    </row>
    <row r="10349" spans="1:7">
      <c r="A10349" s="21"/>
      <c r="B10349"/>
      <c r="C10349"/>
      <c r="D10349" s="90"/>
      <c r="E10349" s="36"/>
      <c r="F10349" s="91"/>
      <c r="G10349" s="91"/>
    </row>
    <row r="10350" spans="1:7">
      <c r="A10350" s="21"/>
      <c r="B10350"/>
      <c r="C10350"/>
      <c r="D10350" s="90"/>
      <c r="E10350" s="36"/>
      <c r="F10350" s="91"/>
      <c r="G10350" s="91"/>
    </row>
    <row r="10351" spans="1:7">
      <c r="A10351" s="21"/>
      <c r="B10351"/>
      <c r="C10351"/>
      <c r="D10351" s="90"/>
      <c r="E10351" s="36"/>
      <c r="F10351" s="91"/>
      <c r="G10351" s="91"/>
    </row>
    <row r="10352" spans="1:7">
      <c r="A10352" s="21"/>
      <c r="B10352"/>
      <c r="C10352"/>
      <c r="D10352" s="90"/>
      <c r="E10352" s="36"/>
      <c r="F10352" s="91"/>
      <c r="G10352" s="91"/>
    </row>
    <row r="10353" spans="1:7">
      <c r="A10353" s="21"/>
      <c r="B10353"/>
      <c r="C10353"/>
      <c r="D10353" s="90"/>
      <c r="E10353" s="36"/>
      <c r="F10353" s="91"/>
      <c r="G10353" s="91"/>
    </row>
    <row r="10354" spans="1:7">
      <c r="A10354" s="21"/>
      <c r="B10354"/>
      <c r="C10354"/>
      <c r="D10354" s="90"/>
      <c r="E10354" s="36"/>
      <c r="F10354" s="91"/>
      <c r="G10354" s="91"/>
    </row>
    <row r="10355" spans="1:7">
      <c r="A10355" s="21"/>
      <c r="B10355"/>
      <c r="C10355"/>
      <c r="D10355" s="90"/>
      <c r="E10355" s="36"/>
      <c r="F10355" s="91"/>
      <c r="G10355" s="91"/>
    </row>
    <row r="10356" spans="1:7">
      <c r="A10356" s="21"/>
      <c r="B10356"/>
      <c r="C10356"/>
      <c r="D10356" s="90"/>
      <c r="E10356" s="36"/>
      <c r="F10356" s="91"/>
      <c r="G10356" s="91"/>
    </row>
    <row r="10357" spans="1:7">
      <c r="A10357" s="21"/>
      <c r="B10357"/>
      <c r="C10357"/>
      <c r="D10357" s="90"/>
      <c r="E10357" s="36"/>
      <c r="F10357" s="91"/>
      <c r="G10357" s="91"/>
    </row>
    <row r="10358" spans="1:7">
      <c r="A10358" s="21"/>
      <c r="B10358"/>
      <c r="C10358"/>
      <c r="D10358" s="90"/>
      <c r="E10358" s="36"/>
      <c r="F10358" s="91"/>
      <c r="G10358" s="91"/>
    </row>
    <row r="10359" spans="1:7">
      <c r="A10359" s="21"/>
      <c r="B10359"/>
      <c r="C10359"/>
      <c r="D10359" s="90"/>
      <c r="E10359" s="36"/>
      <c r="F10359" s="91"/>
      <c r="G10359" s="91"/>
    </row>
    <row r="10360" spans="1:7">
      <c r="A10360" s="21"/>
      <c r="B10360"/>
      <c r="C10360"/>
      <c r="D10360" s="90"/>
      <c r="E10360" s="36"/>
      <c r="F10360" s="91"/>
      <c r="G10360" s="91"/>
    </row>
    <row r="10361" spans="1:7">
      <c r="A10361" s="21"/>
      <c r="B10361"/>
      <c r="C10361"/>
      <c r="D10361" s="90"/>
      <c r="E10361" s="36"/>
      <c r="F10361" s="91"/>
      <c r="G10361" s="91"/>
    </row>
    <row r="10362" spans="1:7">
      <c r="A10362" s="21"/>
      <c r="B10362"/>
      <c r="C10362"/>
      <c r="D10362" s="90"/>
      <c r="E10362" s="36"/>
      <c r="F10362" s="91"/>
      <c r="G10362" s="91"/>
    </row>
    <row r="10363" spans="1:7">
      <c r="A10363" s="21"/>
      <c r="B10363"/>
      <c r="C10363"/>
      <c r="D10363" s="90"/>
      <c r="E10363" s="36"/>
      <c r="F10363" s="91"/>
      <c r="G10363" s="91"/>
    </row>
    <row r="10364" spans="1:7">
      <c r="A10364" s="21"/>
      <c r="B10364"/>
      <c r="C10364"/>
      <c r="D10364" s="90"/>
      <c r="E10364" s="36"/>
      <c r="F10364" s="91"/>
      <c r="G10364" s="91"/>
    </row>
    <row r="10365" spans="1:7">
      <c r="A10365" s="21"/>
      <c r="B10365"/>
      <c r="C10365"/>
      <c r="D10365" s="90"/>
      <c r="E10365" s="36"/>
      <c r="F10365" s="91"/>
      <c r="G10365" s="91"/>
    </row>
    <row r="10366" spans="1:7">
      <c r="A10366" s="21"/>
      <c r="B10366"/>
      <c r="C10366"/>
      <c r="D10366" s="90"/>
      <c r="E10366" s="36"/>
      <c r="F10366" s="91"/>
      <c r="G10366" s="91"/>
    </row>
    <row r="10367" spans="1:7">
      <c r="A10367" s="21"/>
      <c r="B10367"/>
      <c r="C10367"/>
      <c r="D10367" s="90"/>
      <c r="E10367" s="36"/>
      <c r="F10367" s="91"/>
      <c r="G10367" s="91"/>
    </row>
    <row r="10368" spans="1:7">
      <c r="A10368" s="21"/>
      <c r="B10368"/>
      <c r="C10368"/>
      <c r="D10368" s="90"/>
      <c r="E10368" s="36"/>
      <c r="F10368" s="91"/>
      <c r="G10368" s="91"/>
    </row>
    <row r="10369" spans="1:7">
      <c r="A10369" s="21"/>
      <c r="B10369"/>
      <c r="C10369"/>
      <c r="D10369" s="90"/>
      <c r="E10369" s="36"/>
      <c r="F10369" s="91"/>
      <c r="G10369" s="91"/>
    </row>
    <row r="10370" spans="1:7">
      <c r="A10370" s="21"/>
      <c r="B10370"/>
      <c r="C10370"/>
      <c r="D10370" s="90"/>
      <c r="E10370" s="36"/>
      <c r="F10370" s="91"/>
      <c r="G10370" s="91"/>
    </row>
    <row r="10371" spans="1:7">
      <c r="A10371" s="21"/>
      <c r="B10371"/>
      <c r="C10371"/>
      <c r="D10371" s="90"/>
      <c r="E10371" s="36"/>
      <c r="F10371" s="91"/>
      <c r="G10371" s="91"/>
    </row>
    <row r="10372" spans="1:7">
      <c r="A10372" s="21"/>
      <c r="B10372"/>
      <c r="C10372"/>
      <c r="D10372" s="90"/>
      <c r="E10372" s="36"/>
      <c r="F10372" s="91"/>
      <c r="G10372" s="91"/>
    </row>
    <row r="10373" spans="1:7">
      <c r="A10373" s="21"/>
      <c r="B10373"/>
      <c r="C10373"/>
      <c r="D10373" s="90"/>
      <c r="E10373" s="36"/>
      <c r="F10373" s="91"/>
      <c r="G10373" s="91"/>
    </row>
    <row r="10374" spans="1:7">
      <c r="A10374" s="21"/>
      <c r="B10374"/>
      <c r="C10374"/>
      <c r="D10374" s="90"/>
      <c r="E10374" s="36"/>
      <c r="F10374" s="91"/>
      <c r="G10374" s="91"/>
    </row>
    <row r="10375" spans="1:7">
      <c r="A10375" s="21"/>
      <c r="B10375"/>
      <c r="C10375"/>
      <c r="D10375" s="90"/>
      <c r="E10375" s="36"/>
      <c r="F10375" s="91"/>
      <c r="G10375" s="91"/>
    </row>
    <row r="10376" spans="1:7">
      <c r="A10376" s="21"/>
      <c r="B10376"/>
      <c r="C10376"/>
      <c r="D10376" s="90"/>
      <c r="E10376" s="36"/>
      <c r="F10376" s="91"/>
      <c r="G10376" s="91"/>
    </row>
    <row r="10377" spans="1:7">
      <c r="A10377" s="21"/>
      <c r="B10377"/>
      <c r="C10377"/>
      <c r="D10377" s="90"/>
      <c r="E10377" s="36"/>
      <c r="F10377" s="91"/>
      <c r="G10377" s="91"/>
    </row>
    <row r="10378" spans="1:7">
      <c r="A10378" s="21"/>
      <c r="B10378"/>
      <c r="C10378"/>
      <c r="D10378" s="90"/>
      <c r="E10378" s="36"/>
      <c r="F10378" s="91"/>
      <c r="G10378" s="91"/>
    </row>
    <row r="10379" spans="1:7">
      <c r="A10379" s="21"/>
      <c r="B10379"/>
      <c r="C10379"/>
      <c r="D10379" s="90"/>
      <c r="E10379" s="36"/>
      <c r="F10379" s="91"/>
      <c r="G10379" s="91"/>
    </row>
    <row r="10380" spans="1:7">
      <c r="A10380" s="21"/>
      <c r="B10380"/>
      <c r="C10380"/>
      <c r="D10380" s="90"/>
      <c r="E10380" s="36"/>
      <c r="F10380" s="91"/>
      <c r="G10380" s="91"/>
    </row>
    <row r="10381" spans="1:7">
      <c r="A10381" s="21"/>
      <c r="B10381"/>
      <c r="C10381"/>
      <c r="D10381" s="90"/>
      <c r="F10381" s="91"/>
      <c r="G10381" s="91"/>
    </row>
    <row r="10382" spans="1:7">
      <c r="A10382" s="21"/>
      <c r="B10382"/>
      <c r="C10382"/>
      <c r="D10382" s="90"/>
      <c r="E10382" s="36"/>
      <c r="F10382" s="91"/>
      <c r="G10382" s="91"/>
    </row>
    <row r="10383" spans="1:7">
      <c r="A10383" s="21"/>
      <c r="B10383"/>
      <c r="C10383"/>
      <c r="D10383" s="90"/>
      <c r="E10383" s="36"/>
      <c r="F10383" s="91"/>
      <c r="G10383" s="91"/>
    </row>
    <row r="10384" spans="1:7">
      <c r="A10384" s="21"/>
      <c r="B10384"/>
      <c r="C10384"/>
      <c r="D10384" s="90"/>
      <c r="E10384" s="36"/>
      <c r="F10384" s="91"/>
      <c r="G10384" s="91"/>
    </row>
    <row r="10385" spans="1:7">
      <c r="A10385" s="21"/>
      <c r="B10385"/>
      <c r="C10385"/>
      <c r="D10385" s="90"/>
      <c r="E10385" s="36"/>
      <c r="F10385" s="91"/>
      <c r="G10385" s="91"/>
    </row>
    <row r="10386" spans="1:7">
      <c r="A10386" s="21"/>
      <c r="B10386"/>
      <c r="C10386"/>
      <c r="D10386" s="90"/>
      <c r="E10386" s="36"/>
      <c r="F10386" s="91"/>
      <c r="G10386" s="91"/>
    </row>
    <row r="10387" spans="1:7">
      <c r="A10387" s="21"/>
      <c r="B10387"/>
      <c r="C10387"/>
      <c r="D10387" s="90"/>
      <c r="E10387" s="36"/>
      <c r="F10387" s="91"/>
      <c r="G10387" s="91"/>
    </row>
    <row r="10388" spans="1:7">
      <c r="A10388" s="21"/>
      <c r="B10388"/>
      <c r="C10388"/>
      <c r="D10388" s="90"/>
      <c r="E10388" s="36"/>
      <c r="F10388" s="91"/>
      <c r="G10388" s="91"/>
    </row>
    <row r="10389" spans="1:7">
      <c r="A10389" s="21"/>
      <c r="B10389"/>
      <c r="C10389"/>
      <c r="D10389" s="90"/>
      <c r="E10389" s="36"/>
      <c r="F10389" s="91"/>
      <c r="G10389" s="91"/>
    </row>
    <row r="10390" spans="1:7">
      <c r="A10390" s="21"/>
      <c r="B10390"/>
      <c r="C10390"/>
      <c r="D10390" s="90"/>
      <c r="E10390" s="36"/>
      <c r="F10390" s="91"/>
      <c r="G10390" s="91"/>
    </row>
    <row r="10391" spans="1:7">
      <c r="A10391" s="21"/>
      <c r="B10391"/>
      <c r="C10391"/>
      <c r="D10391" s="90"/>
      <c r="E10391" s="36"/>
      <c r="F10391" s="91"/>
      <c r="G10391" s="91"/>
    </row>
    <row r="10392" spans="1:7">
      <c r="A10392" s="21"/>
      <c r="B10392"/>
      <c r="C10392"/>
      <c r="D10392" s="90"/>
      <c r="E10392" s="36"/>
      <c r="F10392" s="91"/>
      <c r="G10392" s="91"/>
    </row>
    <row r="10393" spans="1:7">
      <c r="A10393" s="21"/>
      <c r="B10393"/>
      <c r="C10393"/>
      <c r="D10393" s="90"/>
      <c r="E10393" s="36"/>
      <c r="F10393" s="91"/>
      <c r="G10393" s="91"/>
    </row>
    <row r="10394" spans="1:7">
      <c r="A10394" s="21"/>
      <c r="B10394"/>
      <c r="C10394"/>
      <c r="D10394" s="90"/>
      <c r="E10394" s="36"/>
      <c r="F10394" s="91"/>
      <c r="G10394" s="91"/>
    </row>
    <row r="10395" spans="1:7">
      <c r="A10395" s="21"/>
      <c r="B10395"/>
      <c r="C10395"/>
      <c r="D10395" s="90"/>
      <c r="E10395" s="36"/>
      <c r="F10395" s="91"/>
      <c r="G10395" s="91"/>
    </row>
    <row r="10396" spans="1:7">
      <c r="A10396" s="21"/>
      <c r="B10396"/>
      <c r="C10396"/>
      <c r="D10396" s="90"/>
      <c r="E10396" s="36"/>
      <c r="F10396" s="91"/>
      <c r="G10396" s="91"/>
    </row>
    <row r="10397" spans="1:7">
      <c r="A10397" s="21"/>
      <c r="B10397"/>
      <c r="C10397"/>
      <c r="D10397" s="90"/>
      <c r="E10397" s="36"/>
      <c r="F10397" s="91"/>
      <c r="G10397" s="91"/>
    </row>
    <row r="10398" spans="1:7">
      <c r="A10398" s="21"/>
      <c r="B10398"/>
      <c r="C10398"/>
      <c r="D10398" s="90"/>
      <c r="E10398" s="36"/>
      <c r="F10398" s="91"/>
      <c r="G10398" s="91"/>
    </row>
    <row r="10399" spans="1:7">
      <c r="A10399" s="21"/>
      <c r="B10399"/>
      <c r="C10399"/>
      <c r="D10399" s="90"/>
      <c r="E10399" s="36"/>
      <c r="F10399" s="91"/>
      <c r="G10399" s="91"/>
    </row>
    <row r="10400" spans="1:7">
      <c r="A10400" s="21"/>
      <c r="B10400"/>
      <c r="C10400"/>
      <c r="D10400" s="90"/>
      <c r="E10400" s="36"/>
      <c r="F10400" s="91"/>
      <c r="G10400" s="91"/>
    </row>
    <row r="10401" spans="1:7">
      <c r="A10401" s="21"/>
      <c r="B10401"/>
      <c r="C10401"/>
      <c r="D10401" s="90"/>
      <c r="E10401" s="36"/>
      <c r="F10401" s="91"/>
      <c r="G10401" s="91"/>
    </row>
    <row r="10402" spans="1:7">
      <c r="A10402" s="21"/>
      <c r="B10402"/>
      <c r="C10402"/>
      <c r="D10402" s="90"/>
      <c r="E10402" s="36"/>
      <c r="F10402" s="91"/>
      <c r="G10402" s="91"/>
    </row>
    <row r="10403" spans="1:7">
      <c r="A10403" s="21"/>
      <c r="B10403"/>
      <c r="C10403"/>
      <c r="D10403" s="90"/>
      <c r="E10403" s="36"/>
      <c r="F10403" s="91"/>
      <c r="G10403" s="91"/>
    </row>
    <row r="10404" spans="1:7">
      <c r="A10404" s="21"/>
      <c r="B10404"/>
      <c r="C10404"/>
      <c r="D10404" s="90"/>
      <c r="E10404" s="36"/>
      <c r="F10404" s="91"/>
      <c r="G10404" s="91"/>
    </row>
    <row r="10405" spans="1:7">
      <c r="A10405" s="21"/>
      <c r="B10405"/>
      <c r="C10405"/>
      <c r="D10405" s="90"/>
      <c r="E10405" s="36"/>
      <c r="F10405" s="91"/>
      <c r="G10405" s="91"/>
    </row>
    <row r="10406" spans="1:7">
      <c r="A10406" s="21"/>
      <c r="B10406"/>
      <c r="C10406"/>
      <c r="D10406" s="90"/>
      <c r="E10406" s="36"/>
      <c r="F10406" s="91"/>
      <c r="G10406" s="91"/>
    </row>
    <row r="10407" spans="1:7">
      <c r="A10407" s="21"/>
      <c r="B10407"/>
      <c r="C10407"/>
      <c r="D10407" s="90"/>
      <c r="E10407" s="36"/>
      <c r="F10407" s="91"/>
      <c r="G10407" s="91"/>
    </row>
    <row r="10408" spans="1:7">
      <c r="A10408" s="21"/>
      <c r="B10408"/>
      <c r="C10408"/>
      <c r="D10408" s="90"/>
      <c r="E10408" s="36"/>
      <c r="F10408" s="91"/>
      <c r="G10408" s="91"/>
    </row>
    <row r="10409" spans="1:7">
      <c r="A10409" s="21"/>
      <c r="B10409"/>
      <c r="C10409"/>
      <c r="D10409" s="90"/>
      <c r="E10409" s="36"/>
      <c r="F10409" s="91"/>
      <c r="G10409" s="91"/>
    </row>
    <row r="10410" spans="1:7">
      <c r="A10410" s="21"/>
      <c r="B10410"/>
      <c r="C10410"/>
      <c r="D10410" s="90"/>
      <c r="E10410" s="36"/>
      <c r="F10410" s="91"/>
      <c r="G10410" s="91"/>
    </row>
    <row r="10411" spans="1:7">
      <c r="A10411" s="21"/>
      <c r="B10411"/>
      <c r="C10411"/>
      <c r="D10411" s="90"/>
      <c r="E10411" s="36"/>
      <c r="F10411" s="91"/>
      <c r="G10411" s="91"/>
    </row>
    <row r="10412" spans="1:7">
      <c r="A10412" s="21"/>
      <c r="B10412"/>
      <c r="C10412"/>
      <c r="D10412" s="90"/>
      <c r="F10412" s="91"/>
      <c r="G10412" s="91"/>
    </row>
    <row r="10413" spans="1:7">
      <c r="A10413" s="21"/>
      <c r="B10413"/>
      <c r="C10413"/>
      <c r="D10413" s="90"/>
      <c r="E10413" s="36"/>
      <c r="F10413" s="91"/>
      <c r="G10413" s="91"/>
    </row>
    <row r="10414" spans="1:7">
      <c r="A10414" s="21"/>
      <c r="B10414"/>
      <c r="C10414"/>
      <c r="D10414" s="90"/>
      <c r="E10414" s="36"/>
      <c r="F10414" s="91"/>
      <c r="G10414" s="91"/>
    </row>
    <row r="10415" spans="1:7">
      <c r="A10415" s="21"/>
      <c r="B10415"/>
      <c r="C10415"/>
      <c r="D10415" s="90"/>
      <c r="E10415" s="36"/>
      <c r="F10415" s="91"/>
      <c r="G10415" s="91"/>
    </row>
    <row r="10416" spans="1:7">
      <c r="A10416" s="21"/>
      <c r="B10416"/>
      <c r="C10416"/>
      <c r="D10416" s="90"/>
      <c r="E10416" s="36"/>
      <c r="F10416" s="91"/>
      <c r="G10416" s="91"/>
    </row>
    <row r="10417" spans="1:7">
      <c r="A10417" s="21"/>
      <c r="B10417"/>
      <c r="C10417"/>
      <c r="D10417" s="90"/>
      <c r="E10417" s="36"/>
      <c r="F10417" s="91"/>
      <c r="G10417" s="91"/>
    </row>
    <row r="10418" spans="1:7">
      <c r="A10418" s="21"/>
      <c r="B10418"/>
      <c r="C10418"/>
      <c r="D10418" s="90"/>
      <c r="E10418" s="36"/>
      <c r="F10418" s="91"/>
      <c r="G10418" s="91"/>
    </row>
    <row r="10419" spans="1:7">
      <c r="A10419" s="21"/>
      <c r="B10419"/>
      <c r="C10419"/>
      <c r="D10419" s="90"/>
      <c r="E10419" s="36"/>
      <c r="F10419" s="91"/>
      <c r="G10419" s="91"/>
    </row>
    <row r="10420" spans="1:7">
      <c r="A10420" s="21"/>
      <c r="B10420"/>
      <c r="C10420"/>
      <c r="D10420" s="90"/>
      <c r="E10420" s="36"/>
      <c r="F10420" s="91"/>
      <c r="G10420" s="91"/>
    </row>
    <row r="10421" spans="1:7">
      <c r="A10421" s="21"/>
      <c r="B10421"/>
      <c r="C10421"/>
      <c r="D10421" s="90"/>
      <c r="E10421" s="36"/>
      <c r="F10421" s="91"/>
      <c r="G10421" s="91"/>
    </row>
    <row r="10422" spans="1:7">
      <c r="A10422" s="21"/>
      <c r="B10422"/>
      <c r="C10422"/>
      <c r="D10422" s="90"/>
      <c r="E10422" s="36"/>
      <c r="F10422" s="91"/>
      <c r="G10422" s="91"/>
    </row>
    <row r="10423" spans="1:7">
      <c r="A10423" s="21"/>
      <c r="B10423"/>
      <c r="C10423"/>
      <c r="D10423" s="90"/>
      <c r="E10423" s="36"/>
      <c r="F10423" s="91"/>
      <c r="G10423" s="91"/>
    </row>
    <row r="10424" spans="1:7">
      <c r="A10424" s="21"/>
      <c r="B10424"/>
      <c r="C10424"/>
      <c r="D10424" s="90"/>
      <c r="E10424" s="36"/>
      <c r="F10424" s="91"/>
      <c r="G10424" s="91"/>
    </row>
    <row r="10425" spans="1:7">
      <c r="A10425" s="21"/>
      <c r="B10425"/>
      <c r="C10425"/>
      <c r="D10425" s="90"/>
      <c r="E10425" s="36"/>
      <c r="F10425" s="91"/>
      <c r="G10425" s="91"/>
    </row>
    <row r="10426" spans="1:7">
      <c r="A10426" s="21"/>
      <c r="B10426"/>
      <c r="C10426"/>
      <c r="D10426" s="90"/>
      <c r="E10426" s="36"/>
      <c r="F10426" s="91"/>
      <c r="G10426" s="91"/>
    </row>
    <row r="10427" spans="1:7">
      <c r="A10427" s="21"/>
      <c r="B10427"/>
      <c r="C10427"/>
      <c r="D10427" s="90"/>
      <c r="E10427" s="36"/>
      <c r="F10427" s="91"/>
      <c r="G10427" s="91"/>
    </row>
    <row r="10428" spans="1:7">
      <c r="A10428" s="21"/>
      <c r="B10428"/>
      <c r="C10428"/>
      <c r="D10428" s="90"/>
      <c r="E10428" s="36"/>
      <c r="F10428" s="91"/>
      <c r="G10428" s="91"/>
    </row>
    <row r="10429" spans="1:7">
      <c r="A10429" s="21"/>
      <c r="B10429"/>
      <c r="C10429"/>
      <c r="D10429" s="90"/>
      <c r="E10429" s="36"/>
      <c r="F10429" s="91"/>
      <c r="G10429" s="91"/>
    </row>
    <row r="10430" spans="1:7">
      <c r="A10430" s="21"/>
      <c r="B10430"/>
      <c r="C10430"/>
      <c r="D10430" s="90"/>
      <c r="E10430" s="36"/>
      <c r="F10430" s="91"/>
      <c r="G10430" s="91"/>
    </row>
    <row r="10431" spans="1:7">
      <c r="A10431" s="21"/>
      <c r="B10431"/>
      <c r="C10431"/>
      <c r="D10431" s="90"/>
      <c r="E10431" s="36"/>
      <c r="F10431" s="91"/>
      <c r="G10431" s="91"/>
    </row>
    <row r="10432" spans="1:7">
      <c r="A10432" s="21"/>
      <c r="B10432"/>
      <c r="C10432"/>
      <c r="D10432" s="90"/>
      <c r="E10432" s="36"/>
      <c r="F10432" s="91"/>
      <c r="G10432" s="91"/>
    </row>
    <row r="10433" spans="1:7">
      <c r="A10433" s="21"/>
      <c r="B10433"/>
      <c r="C10433"/>
      <c r="D10433" s="90"/>
      <c r="E10433" s="36"/>
      <c r="F10433" s="91"/>
      <c r="G10433" s="91"/>
    </row>
    <row r="10434" spans="1:7">
      <c r="A10434" s="21"/>
      <c r="B10434"/>
      <c r="C10434"/>
      <c r="D10434" s="90"/>
      <c r="E10434" s="36"/>
      <c r="F10434" s="91"/>
      <c r="G10434" s="91"/>
    </row>
    <row r="10435" spans="1:7">
      <c r="A10435" s="21"/>
      <c r="B10435"/>
      <c r="C10435"/>
      <c r="D10435" s="90"/>
      <c r="E10435" s="36"/>
      <c r="F10435" s="91"/>
      <c r="G10435" s="91"/>
    </row>
    <row r="10436" spans="1:7">
      <c r="A10436" s="21"/>
      <c r="B10436"/>
      <c r="C10436"/>
      <c r="D10436" s="90"/>
      <c r="E10436" s="36"/>
      <c r="F10436" s="91"/>
      <c r="G10436" s="91"/>
    </row>
    <row r="10437" spans="1:7">
      <c r="A10437" s="21"/>
      <c r="B10437"/>
      <c r="C10437"/>
      <c r="D10437" s="90"/>
      <c r="E10437" s="36"/>
      <c r="F10437" s="91"/>
      <c r="G10437" s="91"/>
    </row>
    <row r="10438" spans="1:7">
      <c r="A10438" s="21"/>
      <c r="B10438"/>
      <c r="C10438"/>
      <c r="D10438" s="90"/>
      <c r="E10438" s="36"/>
      <c r="F10438" s="91"/>
      <c r="G10438" s="91"/>
    </row>
    <row r="10439" spans="1:7">
      <c r="A10439" s="21"/>
      <c r="B10439"/>
      <c r="C10439"/>
      <c r="D10439" s="90"/>
      <c r="E10439" s="36"/>
      <c r="F10439" s="91"/>
      <c r="G10439" s="91"/>
    </row>
    <row r="10440" spans="1:7">
      <c r="A10440" s="21"/>
      <c r="B10440"/>
      <c r="C10440"/>
      <c r="D10440" s="90"/>
      <c r="E10440" s="36"/>
      <c r="F10440" s="91"/>
      <c r="G10440" s="91"/>
    </row>
    <row r="10441" spans="1:7">
      <c r="A10441" s="21"/>
      <c r="B10441"/>
      <c r="C10441"/>
      <c r="D10441" s="90"/>
      <c r="E10441" s="36"/>
      <c r="F10441" s="91"/>
      <c r="G10441" s="91"/>
    </row>
    <row r="10442" spans="1:7">
      <c r="A10442" s="21"/>
      <c r="B10442"/>
      <c r="C10442"/>
      <c r="D10442" s="90"/>
      <c r="E10442" s="36"/>
      <c r="F10442" s="91"/>
      <c r="G10442" s="91"/>
    </row>
    <row r="10443" spans="1:7">
      <c r="A10443" s="21"/>
      <c r="B10443"/>
      <c r="C10443"/>
      <c r="D10443" s="90"/>
      <c r="E10443" s="36"/>
      <c r="F10443" s="91"/>
      <c r="G10443" s="91"/>
    </row>
    <row r="10444" spans="1:7">
      <c r="A10444" s="21"/>
      <c r="B10444"/>
      <c r="C10444"/>
      <c r="D10444" s="90"/>
      <c r="E10444" s="36"/>
      <c r="F10444" s="91"/>
      <c r="G10444" s="91"/>
    </row>
    <row r="10445" spans="1:7">
      <c r="A10445" s="21"/>
      <c r="B10445"/>
      <c r="C10445"/>
      <c r="D10445" s="90"/>
      <c r="E10445" s="36"/>
      <c r="F10445" s="91"/>
      <c r="G10445" s="91"/>
    </row>
    <row r="10446" spans="1:7">
      <c r="A10446" s="21"/>
      <c r="B10446"/>
      <c r="C10446"/>
      <c r="D10446" s="90"/>
      <c r="E10446" s="36"/>
      <c r="F10446" s="91"/>
      <c r="G10446" s="91"/>
    </row>
    <row r="10447" spans="1:7">
      <c r="A10447" s="21"/>
      <c r="B10447"/>
      <c r="C10447"/>
      <c r="D10447" s="90"/>
      <c r="E10447" s="36"/>
      <c r="F10447" s="91"/>
      <c r="G10447" s="91"/>
    </row>
    <row r="10448" spans="1:7">
      <c r="A10448" s="21"/>
      <c r="B10448"/>
      <c r="C10448"/>
      <c r="D10448" s="90"/>
      <c r="E10448" s="36"/>
      <c r="F10448" s="91"/>
      <c r="G10448" s="91"/>
    </row>
    <row r="10449" spans="1:7">
      <c r="A10449" s="21"/>
      <c r="B10449"/>
      <c r="C10449"/>
      <c r="D10449" s="90"/>
      <c r="E10449" s="36"/>
      <c r="F10449" s="91"/>
      <c r="G10449" s="91"/>
    </row>
    <row r="10450" spans="1:7">
      <c r="A10450" s="21"/>
      <c r="B10450"/>
      <c r="C10450"/>
      <c r="D10450" s="90"/>
      <c r="E10450" s="36"/>
      <c r="F10450" s="91"/>
      <c r="G10450" s="91"/>
    </row>
    <row r="10451" spans="1:7">
      <c r="A10451" s="21"/>
      <c r="B10451"/>
      <c r="C10451"/>
      <c r="D10451" s="90"/>
      <c r="E10451" s="36"/>
      <c r="F10451" s="91"/>
      <c r="G10451" s="91"/>
    </row>
    <row r="10452" spans="1:7">
      <c r="A10452" s="21"/>
      <c r="B10452"/>
      <c r="C10452"/>
      <c r="D10452" s="90"/>
      <c r="E10452" s="36"/>
      <c r="F10452" s="91"/>
      <c r="G10452" s="91"/>
    </row>
    <row r="10453" spans="1:7">
      <c r="A10453" s="21"/>
      <c r="B10453"/>
      <c r="C10453"/>
      <c r="D10453" s="90"/>
      <c r="E10453" s="36"/>
      <c r="F10453" s="91"/>
      <c r="G10453" s="91"/>
    </row>
    <row r="10454" spans="1:7">
      <c r="A10454" s="21"/>
      <c r="B10454"/>
      <c r="C10454"/>
      <c r="D10454" s="90"/>
      <c r="E10454" s="36"/>
      <c r="F10454" s="91"/>
      <c r="G10454" s="91"/>
    </row>
    <row r="10455" spans="1:7">
      <c r="A10455" s="21"/>
      <c r="B10455"/>
      <c r="C10455"/>
      <c r="D10455" s="90"/>
      <c r="E10455" s="36"/>
      <c r="F10455" s="91"/>
      <c r="G10455" s="91"/>
    </row>
    <row r="10456" spans="1:7">
      <c r="A10456" s="21"/>
      <c r="B10456"/>
      <c r="C10456"/>
      <c r="D10456" s="90"/>
      <c r="E10456" s="36"/>
      <c r="F10456" s="91"/>
      <c r="G10456" s="91"/>
    </row>
    <row r="10457" spans="1:7">
      <c r="A10457" s="21"/>
      <c r="B10457"/>
      <c r="C10457"/>
      <c r="D10457" s="90"/>
      <c r="E10457" s="36"/>
      <c r="F10457" s="91"/>
      <c r="G10457" s="91"/>
    </row>
    <row r="10458" spans="1:7">
      <c r="A10458" s="21"/>
      <c r="B10458"/>
      <c r="C10458"/>
      <c r="D10458" s="90"/>
      <c r="E10458" s="36"/>
      <c r="F10458" s="91"/>
      <c r="G10458" s="91"/>
    </row>
    <row r="10459" spans="1:7">
      <c r="A10459" s="21"/>
      <c r="B10459"/>
      <c r="C10459"/>
      <c r="D10459" s="90"/>
      <c r="E10459" s="36"/>
      <c r="F10459" s="91"/>
      <c r="G10459" s="91"/>
    </row>
    <row r="10460" spans="1:7">
      <c r="A10460" s="21"/>
      <c r="B10460"/>
      <c r="C10460"/>
      <c r="D10460" s="90"/>
      <c r="E10460" s="36"/>
      <c r="F10460" s="91"/>
      <c r="G10460" s="91"/>
    </row>
    <row r="10461" spans="1:7">
      <c r="A10461" s="21"/>
      <c r="B10461"/>
      <c r="C10461"/>
      <c r="D10461" s="90"/>
      <c r="E10461" s="36"/>
      <c r="F10461" s="91"/>
      <c r="G10461" s="91"/>
    </row>
    <row r="10462" spans="1:7">
      <c r="A10462" s="21"/>
      <c r="B10462"/>
      <c r="C10462"/>
      <c r="D10462" s="90"/>
      <c r="E10462" s="36"/>
      <c r="F10462" s="91"/>
      <c r="G10462" s="91"/>
    </row>
    <row r="10463" spans="1:7">
      <c r="A10463" s="21"/>
      <c r="B10463"/>
      <c r="C10463"/>
      <c r="D10463" s="90"/>
      <c r="E10463" s="36"/>
      <c r="F10463" s="91"/>
      <c r="G10463" s="91"/>
    </row>
    <row r="10464" spans="1:7">
      <c r="A10464" s="21"/>
      <c r="B10464"/>
      <c r="C10464"/>
      <c r="D10464" s="90"/>
      <c r="E10464" s="36"/>
      <c r="F10464" s="91"/>
      <c r="G10464" s="91"/>
    </row>
    <row r="10465" spans="1:7">
      <c r="A10465" s="21"/>
      <c r="B10465"/>
      <c r="C10465"/>
      <c r="D10465" s="90"/>
      <c r="F10465" s="91"/>
      <c r="G10465" s="91"/>
    </row>
    <row r="10466" spans="1:7">
      <c r="A10466" s="21"/>
      <c r="B10466"/>
      <c r="C10466"/>
      <c r="D10466" s="90"/>
      <c r="E10466" s="36"/>
      <c r="F10466" s="91"/>
      <c r="G10466" s="91"/>
    </row>
    <row r="10467" spans="1:7">
      <c r="A10467" s="21"/>
      <c r="B10467"/>
      <c r="C10467"/>
      <c r="D10467" s="90"/>
      <c r="E10467" s="36"/>
      <c r="F10467" s="91"/>
      <c r="G10467" s="91"/>
    </row>
    <row r="10468" spans="1:7">
      <c r="A10468" s="21"/>
      <c r="B10468"/>
      <c r="C10468"/>
      <c r="D10468" s="90"/>
      <c r="E10468" s="36"/>
      <c r="F10468" s="91"/>
      <c r="G10468" s="91"/>
    </row>
    <row r="10469" spans="1:7">
      <c r="A10469" s="21"/>
      <c r="B10469"/>
      <c r="C10469"/>
      <c r="D10469" s="90"/>
      <c r="E10469" s="36"/>
      <c r="F10469" s="91"/>
      <c r="G10469" s="91"/>
    </row>
    <row r="10470" spans="1:7">
      <c r="A10470" s="21"/>
      <c r="B10470"/>
      <c r="C10470"/>
      <c r="D10470" s="90"/>
      <c r="E10470" s="36"/>
      <c r="F10470" s="91"/>
      <c r="G10470" s="91"/>
    </row>
    <row r="10471" spans="1:7">
      <c r="A10471" s="21"/>
      <c r="B10471"/>
      <c r="C10471"/>
      <c r="D10471" s="90"/>
      <c r="E10471" s="36"/>
      <c r="F10471" s="91"/>
      <c r="G10471" s="91"/>
    </row>
    <row r="10472" spans="1:7">
      <c r="A10472" s="21"/>
      <c r="B10472"/>
      <c r="C10472"/>
      <c r="D10472" s="90"/>
      <c r="E10472" s="36"/>
      <c r="F10472" s="91"/>
      <c r="G10472" s="91"/>
    </row>
    <row r="10473" spans="1:7">
      <c r="A10473" s="21"/>
      <c r="B10473"/>
      <c r="C10473"/>
      <c r="D10473" s="90"/>
      <c r="E10473" s="36"/>
      <c r="F10473" s="91"/>
      <c r="G10473" s="91"/>
    </row>
    <row r="10474" spans="1:7">
      <c r="A10474" s="21"/>
      <c r="B10474"/>
      <c r="C10474"/>
      <c r="D10474" s="90"/>
      <c r="E10474" s="36"/>
      <c r="F10474" s="91"/>
      <c r="G10474" s="91"/>
    </row>
    <row r="10475" spans="1:7">
      <c r="A10475" s="21"/>
      <c r="B10475"/>
      <c r="C10475"/>
      <c r="D10475" s="90"/>
      <c r="E10475" s="36"/>
      <c r="F10475" s="91"/>
      <c r="G10475" s="91"/>
    </row>
    <row r="10476" spans="1:7">
      <c r="A10476" s="21"/>
      <c r="B10476"/>
      <c r="C10476"/>
      <c r="D10476" s="90"/>
      <c r="E10476" s="36"/>
      <c r="F10476" s="91"/>
      <c r="G10476" s="91"/>
    </row>
    <row r="10477" spans="1:7">
      <c r="A10477" s="21"/>
      <c r="B10477"/>
      <c r="C10477"/>
      <c r="D10477" s="90"/>
      <c r="E10477" s="36"/>
      <c r="F10477" s="91"/>
      <c r="G10477" s="91"/>
    </row>
    <row r="10478" spans="1:7">
      <c r="A10478" s="21"/>
      <c r="B10478"/>
      <c r="C10478"/>
      <c r="D10478" s="90"/>
      <c r="E10478" s="36"/>
      <c r="F10478" s="91"/>
      <c r="G10478" s="91"/>
    </row>
    <row r="10479" spans="1:7">
      <c r="A10479" s="21"/>
      <c r="B10479"/>
      <c r="C10479"/>
      <c r="D10479" s="90"/>
      <c r="E10479" s="36"/>
      <c r="F10479" s="91"/>
      <c r="G10479" s="91"/>
    </row>
    <row r="10480" spans="1:7">
      <c r="A10480" s="21"/>
      <c r="B10480"/>
      <c r="C10480"/>
      <c r="D10480" s="90"/>
      <c r="E10480" s="36"/>
      <c r="F10480" s="91"/>
      <c r="G10480" s="91"/>
    </row>
    <row r="10481" spans="1:7">
      <c r="A10481" s="21"/>
      <c r="B10481"/>
      <c r="C10481"/>
      <c r="D10481" s="90"/>
      <c r="E10481" s="36"/>
      <c r="F10481" s="91"/>
      <c r="G10481" s="91"/>
    </row>
    <row r="10482" spans="1:7">
      <c r="A10482" s="21"/>
      <c r="B10482"/>
      <c r="C10482"/>
      <c r="D10482" s="90"/>
      <c r="E10482" s="36"/>
      <c r="F10482" s="91"/>
      <c r="G10482" s="91"/>
    </row>
    <row r="10483" spans="1:7">
      <c r="A10483" s="21"/>
      <c r="B10483"/>
      <c r="C10483"/>
      <c r="D10483" s="90"/>
      <c r="E10483" s="36"/>
      <c r="F10483" s="91"/>
      <c r="G10483" s="91"/>
    </row>
    <row r="10484" spans="1:7">
      <c r="A10484" s="21"/>
      <c r="B10484"/>
      <c r="C10484"/>
      <c r="D10484" s="90"/>
      <c r="E10484" s="36"/>
      <c r="F10484" s="91"/>
      <c r="G10484" s="91"/>
    </row>
    <row r="10485" spans="1:7">
      <c r="A10485" s="21"/>
      <c r="B10485"/>
      <c r="C10485"/>
      <c r="D10485" s="90"/>
      <c r="E10485" s="36"/>
      <c r="F10485" s="91"/>
      <c r="G10485" s="91"/>
    </row>
    <row r="10486" spans="1:7">
      <c r="A10486" s="21"/>
      <c r="B10486"/>
      <c r="C10486"/>
      <c r="D10486" s="90"/>
      <c r="E10486" s="36"/>
      <c r="F10486" s="91"/>
      <c r="G10486" s="91"/>
    </row>
    <row r="10487" spans="1:7">
      <c r="A10487" s="21"/>
      <c r="B10487"/>
      <c r="C10487"/>
      <c r="D10487" s="90"/>
      <c r="E10487" s="36"/>
      <c r="F10487" s="91"/>
      <c r="G10487" s="91"/>
    </row>
    <row r="10488" spans="1:7">
      <c r="A10488" s="21"/>
      <c r="B10488"/>
      <c r="C10488"/>
      <c r="D10488" s="90"/>
      <c r="E10488" s="36"/>
      <c r="F10488" s="91"/>
      <c r="G10488" s="91"/>
    </row>
    <row r="10489" spans="1:7">
      <c r="A10489" s="21"/>
      <c r="B10489"/>
      <c r="C10489"/>
      <c r="D10489" s="90"/>
      <c r="E10489" s="36"/>
      <c r="F10489" s="91"/>
      <c r="G10489" s="91"/>
    </row>
    <row r="10490" spans="1:7">
      <c r="A10490" s="21"/>
      <c r="B10490"/>
      <c r="C10490"/>
      <c r="D10490" s="90"/>
      <c r="E10490" s="36"/>
      <c r="F10490" s="91"/>
      <c r="G10490" s="91"/>
    </row>
    <row r="10491" spans="1:7">
      <c r="A10491" s="21"/>
      <c r="B10491"/>
      <c r="C10491"/>
      <c r="D10491" s="90"/>
      <c r="E10491" s="36"/>
      <c r="F10491" s="91"/>
      <c r="G10491" s="91"/>
    </row>
    <row r="10492" spans="1:7">
      <c r="A10492" s="21"/>
      <c r="B10492"/>
      <c r="C10492"/>
      <c r="D10492" s="90"/>
      <c r="E10492" s="36"/>
      <c r="F10492" s="91"/>
      <c r="G10492" s="91"/>
    </row>
    <row r="10493" spans="1:7">
      <c r="A10493" s="21"/>
      <c r="B10493"/>
      <c r="C10493"/>
      <c r="D10493" s="90"/>
      <c r="E10493" s="36"/>
      <c r="F10493" s="91"/>
      <c r="G10493" s="91"/>
    </row>
    <row r="10494" spans="1:7">
      <c r="A10494" s="21"/>
      <c r="B10494"/>
      <c r="C10494"/>
      <c r="D10494" s="90"/>
      <c r="E10494" s="36"/>
      <c r="F10494" s="91"/>
      <c r="G10494" s="91"/>
    </row>
    <row r="10495" spans="1:7">
      <c r="A10495" s="21"/>
      <c r="B10495"/>
      <c r="C10495"/>
      <c r="D10495" s="90"/>
      <c r="E10495" s="36"/>
      <c r="F10495" s="91"/>
      <c r="G10495" s="91"/>
    </row>
    <row r="10496" spans="1:7">
      <c r="A10496" s="21"/>
      <c r="B10496"/>
      <c r="C10496"/>
      <c r="D10496" s="90"/>
      <c r="E10496" s="36"/>
      <c r="F10496" s="91"/>
      <c r="G10496" s="91"/>
    </row>
    <row r="10497" spans="1:7">
      <c r="A10497" s="21"/>
      <c r="B10497"/>
      <c r="C10497"/>
      <c r="D10497" s="90"/>
      <c r="E10497" s="36"/>
      <c r="F10497" s="91"/>
      <c r="G10497" s="91"/>
    </row>
    <row r="10498" spans="1:7">
      <c r="A10498" s="21"/>
      <c r="B10498"/>
      <c r="C10498"/>
      <c r="D10498" s="90"/>
      <c r="E10498" s="36"/>
      <c r="F10498" s="91"/>
      <c r="G10498" s="91"/>
    </row>
    <row r="10499" spans="1:7">
      <c r="A10499" s="21"/>
      <c r="B10499"/>
      <c r="C10499"/>
      <c r="D10499" s="90"/>
      <c r="E10499" s="36"/>
      <c r="F10499" s="91"/>
      <c r="G10499" s="91"/>
    </row>
    <row r="10500" spans="1:7">
      <c r="A10500" s="21"/>
      <c r="B10500"/>
      <c r="C10500"/>
      <c r="D10500" s="90"/>
      <c r="E10500" s="36"/>
      <c r="F10500" s="91"/>
      <c r="G10500" s="91"/>
    </row>
    <row r="10501" spans="1:7">
      <c r="A10501" s="21"/>
      <c r="B10501"/>
      <c r="C10501"/>
      <c r="D10501" s="90"/>
      <c r="E10501" s="36"/>
      <c r="F10501" s="91"/>
      <c r="G10501" s="91"/>
    </row>
    <row r="10502" spans="1:7">
      <c r="A10502" s="21"/>
      <c r="B10502"/>
      <c r="C10502"/>
      <c r="D10502" s="90"/>
      <c r="E10502" s="36"/>
      <c r="F10502" s="91"/>
      <c r="G10502" s="91"/>
    </row>
    <row r="10503" spans="1:7">
      <c r="A10503" s="21"/>
      <c r="B10503"/>
      <c r="C10503"/>
      <c r="D10503" s="90"/>
      <c r="E10503" s="36"/>
      <c r="F10503" s="91"/>
      <c r="G10503" s="91"/>
    </row>
    <row r="10504" spans="1:7">
      <c r="A10504" s="21"/>
      <c r="B10504"/>
      <c r="C10504"/>
      <c r="D10504" s="90"/>
      <c r="E10504" s="36"/>
      <c r="F10504" s="91"/>
      <c r="G10504" s="91"/>
    </row>
    <row r="10505" spans="1:7">
      <c r="A10505" s="21"/>
      <c r="B10505"/>
      <c r="C10505"/>
      <c r="D10505" s="90"/>
      <c r="E10505" s="36"/>
      <c r="F10505" s="91"/>
      <c r="G10505" s="91"/>
    </row>
    <row r="10506" spans="1:7">
      <c r="A10506" s="21"/>
      <c r="B10506"/>
      <c r="C10506"/>
      <c r="D10506" s="90"/>
      <c r="E10506" s="36"/>
      <c r="F10506" s="91"/>
      <c r="G10506" s="91"/>
    </row>
    <row r="10507" spans="1:7">
      <c r="A10507" s="21"/>
      <c r="B10507"/>
      <c r="C10507"/>
      <c r="D10507" s="90"/>
      <c r="E10507" s="36"/>
      <c r="F10507" s="91"/>
      <c r="G10507" s="91"/>
    </row>
    <row r="10508" spans="1:7">
      <c r="A10508" s="21"/>
      <c r="B10508"/>
      <c r="C10508"/>
      <c r="D10508" s="90"/>
      <c r="E10508" s="36"/>
      <c r="F10508" s="91"/>
      <c r="G10508" s="91"/>
    </row>
    <row r="10509" spans="1:7">
      <c r="A10509" s="21"/>
      <c r="B10509"/>
      <c r="C10509"/>
      <c r="D10509" s="90"/>
      <c r="E10509" s="36"/>
      <c r="F10509" s="91"/>
      <c r="G10509" s="91"/>
    </row>
    <row r="10510" spans="1:7">
      <c r="A10510" s="21"/>
      <c r="B10510"/>
      <c r="C10510"/>
      <c r="D10510" s="90"/>
      <c r="E10510" s="36"/>
      <c r="F10510" s="91"/>
      <c r="G10510" s="91"/>
    </row>
    <row r="10511" spans="1:7">
      <c r="A10511" s="21"/>
      <c r="B10511"/>
      <c r="C10511"/>
      <c r="D10511" s="90"/>
      <c r="E10511" s="36"/>
      <c r="F10511" s="91"/>
      <c r="G10511" s="91"/>
    </row>
    <row r="10512" spans="1:7">
      <c r="A10512" s="21"/>
      <c r="B10512"/>
      <c r="C10512"/>
      <c r="D10512" s="90"/>
      <c r="E10512" s="36"/>
      <c r="F10512" s="91"/>
      <c r="G10512" s="91"/>
    </row>
    <row r="10513" spans="1:7">
      <c r="A10513" s="21"/>
      <c r="B10513"/>
      <c r="C10513"/>
      <c r="D10513" s="90"/>
      <c r="E10513" s="36"/>
      <c r="F10513" s="91"/>
      <c r="G10513" s="91"/>
    </row>
    <row r="10514" spans="1:7">
      <c r="A10514" s="21"/>
      <c r="B10514"/>
      <c r="C10514"/>
      <c r="D10514" s="90"/>
      <c r="E10514" s="36"/>
      <c r="F10514" s="91"/>
      <c r="G10514" s="91"/>
    </row>
    <row r="10515" spans="1:7">
      <c r="A10515" s="21"/>
      <c r="B10515"/>
      <c r="C10515"/>
      <c r="D10515" s="90"/>
      <c r="E10515" s="36"/>
      <c r="F10515" s="91"/>
      <c r="G10515" s="91"/>
    </row>
    <row r="10516" spans="1:7">
      <c r="A10516" s="21"/>
      <c r="B10516"/>
      <c r="C10516"/>
      <c r="D10516" s="90"/>
      <c r="E10516" s="36"/>
      <c r="F10516" s="91"/>
      <c r="G10516" s="91"/>
    </row>
    <row r="10517" spans="1:7">
      <c r="A10517" s="21"/>
      <c r="B10517"/>
      <c r="C10517"/>
      <c r="D10517" s="90"/>
      <c r="E10517" s="36"/>
      <c r="F10517" s="91"/>
      <c r="G10517" s="91"/>
    </row>
    <row r="10518" spans="1:7">
      <c r="A10518" s="21"/>
      <c r="B10518"/>
      <c r="C10518"/>
      <c r="D10518" s="90"/>
      <c r="E10518" s="36"/>
      <c r="F10518" s="91"/>
      <c r="G10518" s="91"/>
    </row>
    <row r="10519" spans="1:7">
      <c r="A10519" s="21"/>
      <c r="B10519"/>
      <c r="C10519"/>
      <c r="D10519" s="90"/>
      <c r="E10519" s="36"/>
      <c r="F10519" s="91"/>
      <c r="G10519" s="91"/>
    </row>
    <row r="10520" spans="1:7">
      <c r="A10520" s="21"/>
      <c r="B10520"/>
      <c r="C10520"/>
      <c r="D10520" s="90"/>
      <c r="E10520" s="36"/>
      <c r="F10520" s="91"/>
      <c r="G10520" s="91"/>
    </row>
    <row r="10521" spans="1:7">
      <c r="A10521" s="21"/>
      <c r="B10521"/>
      <c r="C10521"/>
      <c r="D10521" s="90"/>
      <c r="E10521" s="36"/>
      <c r="F10521" s="91"/>
      <c r="G10521" s="91"/>
    </row>
    <row r="10522" spans="1:7">
      <c r="A10522" s="21"/>
      <c r="B10522"/>
      <c r="C10522"/>
      <c r="D10522" s="90"/>
      <c r="E10522" s="36"/>
      <c r="F10522" s="91"/>
      <c r="G10522" s="91"/>
    </row>
    <row r="10523" spans="1:7">
      <c r="A10523" s="21"/>
      <c r="B10523"/>
      <c r="C10523"/>
      <c r="D10523" s="90"/>
      <c r="F10523" s="91"/>
      <c r="G10523" s="91"/>
    </row>
    <row r="10524" spans="1:7">
      <c r="A10524" s="21"/>
      <c r="B10524"/>
      <c r="C10524"/>
      <c r="D10524" s="90"/>
      <c r="E10524" s="36"/>
      <c r="F10524" s="91"/>
      <c r="G10524" s="91"/>
    </row>
    <row r="10525" spans="1:7">
      <c r="A10525" s="21"/>
      <c r="B10525"/>
      <c r="C10525"/>
      <c r="D10525" s="90"/>
      <c r="E10525" s="36"/>
      <c r="F10525" s="91"/>
      <c r="G10525" s="91"/>
    </row>
    <row r="10526" spans="1:7">
      <c r="A10526" s="21"/>
      <c r="B10526"/>
      <c r="C10526"/>
      <c r="D10526" s="90"/>
      <c r="E10526" s="36"/>
      <c r="F10526" s="91"/>
      <c r="G10526" s="91"/>
    </row>
    <row r="10527" spans="1:7">
      <c r="A10527" s="21"/>
      <c r="B10527"/>
      <c r="C10527"/>
      <c r="D10527" s="90"/>
      <c r="E10527" s="36"/>
      <c r="F10527" s="91"/>
      <c r="G10527" s="91"/>
    </row>
    <row r="10528" spans="1:7">
      <c r="A10528" s="21"/>
      <c r="B10528"/>
      <c r="C10528"/>
      <c r="D10528" s="90"/>
      <c r="E10528" s="36"/>
      <c r="F10528" s="91"/>
      <c r="G10528" s="91"/>
    </row>
    <row r="10529" spans="1:7">
      <c r="A10529" s="21"/>
      <c r="B10529"/>
      <c r="C10529"/>
      <c r="D10529" s="90"/>
      <c r="E10529" s="36"/>
      <c r="F10529" s="91"/>
      <c r="G10529" s="91"/>
    </row>
    <row r="10530" spans="1:7">
      <c r="A10530" s="21"/>
      <c r="B10530"/>
      <c r="C10530"/>
      <c r="D10530" s="90"/>
      <c r="E10530" s="36"/>
      <c r="F10530" s="91"/>
      <c r="G10530" s="91"/>
    </row>
    <row r="10531" spans="1:7">
      <c r="A10531" s="21"/>
      <c r="B10531"/>
      <c r="C10531"/>
      <c r="D10531" s="90"/>
      <c r="E10531" s="36"/>
      <c r="F10531" s="91"/>
      <c r="G10531" s="91"/>
    </row>
    <row r="10532" spans="1:7">
      <c r="A10532" s="21"/>
      <c r="B10532"/>
      <c r="C10532"/>
      <c r="D10532" s="90"/>
      <c r="E10532" s="36"/>
      <c r="F10532" s="91"/>
      <c r="G10532" s="91"/>
    </row>
    <row r="10533" spans="1:7">
      <c r="A10533" s="21"/>
      <c r="B10533"/>
      <c r="C10533"/>
      <c r="D10533" s="90"/>
      <c r="E10533" s="36"/>
      <c r="F10533" s="91"/>
      <c r="G10533" s="91"/>
    </row>
    <row r="10534" spans="1:7">
      <c r="A10534" s="21"/>
      <c r="B10534"/>
      <c r="C10534"/>
      <c r="D10534" s="90"/>
      <c r="E10534" s="36"/>
      <c r="F10534" s="91"/>
      <c r="G10534" s="91"/>
    </row>
    <row r="10535" spans="1:7">
      <c r="A10535" s="21"/>
      <c r="B10535"/>
      <c r="C10535"/>
      <c r="D10535" s="90"/>
      <c r="E10535" s="36"/>
      <c r="F10535" s="91"/>
      <c r="G10535" s="91"/>
    </row>
    <row r="10536" spans="1:7">
      <c r="A10536" s="21"/>
      <c r="B10536"/>
      <c r="C10536"/>
      <c r="D10536" s="90"/>
      <c r="E10536" s="36"/>
      <c r="F10536" s="91"/>
      <c r="G10536" s="91"/>
    </row>
    <row r="10537" spans="1:7">
      <c r="A10537" s="21"/>
      <c r="B10537"/>
      <c r="C10537"/>
      <c r="D10537" s="90"/>
      <c r="E10537" s="36"/>
      <c r="F10537" s="91"/>
      <c r="G10537" s="91"/>
    </row>
    <row r="10538" spans="1:7">
      <c r="A10538" s="21"/>
      <c r="B10538"/>
      <c r="C10538"/>
      <c r="D10538" s="90"/>
      <c r="E10538" s="36"/>
      <c r="F10538" s="91"/>
      <c r="G10538" s="91"/>
    </row>
    <row r="10539" spans="1:7">
      <c r="A10539" s="21"/>
      <c r="B10539"/>
      <c r="C10539"/>
      <c r="D10539" s="90"/>
      <c r="E10539" s="36"/>
      <c r="F10539" s="91"/>
      <c r="G10539" s="91"/>
    </row>
    <row r="10540" spans="1:7">
      <c r="A10540" s="21"/>
      <c r="B10540"/>
      <c r="C10540"/>
      <c r="D10540" s="90"/>
      <c r="E10540" s="36"/>
      <c r="F10540" s="91"/>
      <c r="G10540" s="91"/>
    </row>
    <row r="10541" spans="1:7">
      <c r="A10541" s="21"/>
      <c r="B10541"/>
      <c r="C10541"/>
      <c r="D10541" s="90"/>
      <c r="E10541" s="36"/>
      <c r="F10541" s="91"/>
      <c r="G10541" s="91"/>
    </row>
    <row r="10542" spans="1:7">
      <c r="A10542" s="21"/>
      <c r="B10542"/>
      <c r="C10542"/>
      <c r="D10542" s="90"/>
      <c r="E10542" s="36"/>
      <c r="F10542" s="91"/>
      <c r="G10542" s="91"/>
    </row>
    <row r="10543" spans="1:7">
      <c r="A10543" s="21"/>
      <c r="B10543"/>
      <c r="C10543"/>
      <c r="D10543" s="90"/>
      <c r="E10543" s="36"/>
      <c r="F10543" s="91"/>
      <c r="G10543" s="91"/>
    </row>
    <row r="10544" spans="1:7">
      <c r="A10544" s="21"/>
      <c r="B10544"/>
      <c r="C10544"/>
      <c r="D10544" s="90"/>
      <c r="E10544" s="36"/>
      <c r="F10544" s="91"/>
      <c r="G10544" s="91"/>
    </row>
    <row r="10545" spans="1:7">
      <c r="A10545" s="21"/>
      <c r="B10545"/>
      <c r="C10545"/>
      <c r="D10545" s="90"/>
      <c r="E10545" s="36"/>
      <c r="F10545" s="91"/>
      <c r="G10545" s="91"/>
    </row>
    <row r="10546" spans="1:7">
      <c r="A10546" s="21"/>
      <c r="B10546"/>
      <c r="C10546"/>
      <c r="D10546" s="90"/>
      <c r="E10546" s="36"/>
      <c r="F10546" s="91"/>
      <c r="G10546" s="91"/>
    </row>
    <row r="10547" spans="1:7">
      <c r="A10547" s="21"/>
      <c r="B10547"/>
      <c r="C10547"/>
      <c r="D10547" s="90"/>
      <c r="E10547" s="36"/>
      <c r="F10547" s="91"/>
      <c r="G10547" s="91"/>
    </row>
    <row r="10548" spans="1:7">
      <c r="A10548" s="21"/>
      <c r="B10548"/>
      <c r="C10548"/>
      <c r="D10548" s="90"/>
      <c r="E10548" s="36"/>
      <c r="F10548" s="91"/>
      <c r="G10548" s="91"/>
    </row>
    <row r="10549" spans="1:7">
      <c r="A10549" s="21"/>
      <c r="B10549"/>
      <c r="C10549"/>
      <c r="D10549" s="90"/>
      <c r="F10549" s="91"/>
      <c r="G10549" s="91"/>
    </row>
    <row r="10550" spans="1:7">
      <c r="A10550" s="21"/>
      <c r="B10550"/>
      <c r="C10550"/>
      <c r="D10550" s="90"/>
      <c r="E10550" s="36"/>
      <c r="F10550" s="91"/>
      <c r="G10550" s="91"/>
    </row>
    <row r="10551" spans="1:7">
      <c r="A10551" s="21"/>
      <c r="B10551"/>
      <c r="C10551"/>
      <c r="D10551" s="90"/>
      <c r="E10551" s="36"/>
      <c r="F10551" s="91"/>
      <c r="G10551" s="91"/>
    </row>
    <row r="10552" spans="1:7">
      <c r="A10552" s="21"/>
      <c r="B10552"/>
      <c r="C10552"/>
      <c r="D10552" s="90"/>
      <c r="E10552" s="36"/>
      <c r="F10552" s="91"/>
      <c r="G10552" s="91"/>
    </row>
    <row r="10553" spans="1:7">
      <c r="A10553" s="21"/>
      <c r="B10553"/>
      <c r="C10553"/>
      <c r="D10553" s="90"/>
      <c r="E10553" s="36"/>
      <c r="F10553" s="91"/>
      <c r="G10553" s="91"/>
    </row>
    <row r="10554" spans="1:7">
      <c r="A10554" s="21"/>
      <c r="B10554"/>
      <c r="C10554"/>
      <c r="D10554" s="90"/>
      <c r="E10554" s="36"/>
      <c r="F10554" s="91"/>
      <c r="G10554" s="91"/>
    </row>
    <row r="10555" spans="1:7">
      <c r="A10555" s="21"/>
      <c r="B10555"/>
      <c r="C10555"/>
      <c r="D10555" s="90"/>
      <c r="E10555" s="36"/>
      <c r="F10555" s="91"/>
      <c r="G10555" s="91"/>
    </row>
    <row r="10556" spans="1:7">
      <c r="A10556" s="21"/>
      <c r="B10556"/>
      <c r="C10556"/>
      <c r="D10556" s="90"/>
      <c r="E10556" s="36"/>
      <c r="F10556" s="91"/>
      <c r="G10556" s="91"/>
    </row>
    <row r="10557" spans="1:7">
      <c r="A10557" s="21"/>
      <c r="B10557"/>
      <c r="C10557"/>
      <c r="D10557" s="90"/>
      <c r="E10557" s="36"/>
      <c r="F10557" s="91"/>
      <c r="G10557" s="91"/>
    </row>
    <row r="10558" spans="1:7">
      <c r="A10558" s="21"/>
      <c r="B10558"/>
      <c r="C10558"/>
      <c r="D10558" s="90"/>
      <c r="E10558" s="36"/>
      <c r="F10558" s="91"/>
      <c r="G10558" s="91"/>
    </row>
    <row r="10559" spans="1:7">
      <c r="A10559" s="21"/>
      <c r="B10559"/>
      <c r="C10559"/>
      <c r="D10559" s="90"/>
      <c r="E10559" s="36"/>
      <c r="F10559" s="91"/>
      <c r="G10559" s="91"/>
    </row>
    <row r="10560" spans="1:7">
      <c r="A10560" s="21"/>
      <c r="B10560"/>
      <c r="C10560"/>
      <c r="D10560" s="90"/>
      <c r="E10560" s="36"/>
      <c r="F10560" s="91"/>
      <c r="G10560" s="91"/>
    </row>
    <row r="10561" spans="1:7">
      <c r="A10561" s="21"/>
      <c r="B10561"/>
      <c r="C10561"/>
      <c r="D10561" s="90"/>
      <c r="E10561" s="36"/>
      <c r="F10561" s="91"/>
      <c r="G10561" s="91"/>
    </row>
    <row r="10562" spans="1:7">
      <c r="A10562" s="21"/>
      <c r="B10562"/>
      <c r="C10562"/>
      <c r="D10562" s="90"/>
      <c r="E10562" s="36"/>
      <c r="F10562" s="91"/>
      <c r="G10562" s="91"/>
    </row>
    <row r="10563" spans="1:7">
      <c r="A10563" s="21"/>
      <c r="B10563"/>
      <c r="C10563"/>
      <c r="D10563" s="90"/>
      <c r="E10563" s="36"/>
      <c r="F10563" s="91"/>
      <c r="G10563" s="91"/>
    </row>
    <row r="10564" spans="1:7">
      <c r="A10564" s="21"/>
      <c r="B10564"/>
      <c r="C10564"/>
      <c r="D10564" s="90"/>
      <c r="E10564" s="36"/>
      <c r="F10564" s="91"/>
      <c r="G10564" s="91"/>
    </row>
    <row r="10565" spans="1:7">
      <c r="A10565" s="21"/>
      <c r="B10565"/>
      <c r="C10565"/>
      <c r="D10565" s="90"/>
      <c r="E10565" s="36"/>
      <c r="F10565" s="91"/>
      <c r="G10565" s="91"/>
    </row>
    <row r="10566" spans="1:7">
      <c r="A10566" s="21"/>
      <c r="B10566"/>
      <c r="C10566"/>
      <c r="D10566" s="90"/>
      <c r="E10566" s="36"/>
      <c r="F10566" s="91"/>
      <c r="G10566" s="91"/>
    </row>
    <row r="10567" spans="1:7">
      <c r="A10567" s="21"/>
      <c r="B10567"/>
      <c r="C10567"/>
      <c r="D10567" s="90"/>
      <c r="E10567" s="36"/>
      <c r="F10567" s="91"/>
      <c r="G10567" s="91"/>
    </row>
    <row r="10568" spans="1:7">
      <c r="A10568" s="21"/>
      <c r="B10568"/>
      <c r="C10568"/>
      <c r="D10568" s="90"/>
      <c r="E10568" s="36"/>
      <c r="F10568" s="91"/>
      <c r="G10568" s="91"/>
    </row>
    <row r="10569" spans="1:7">
      <c r="A10569" s="21"/>
      <c r="B10569"/>
      <c r="C10569"/>
      <c r="D10569" s="90"/>
      <c r="E10569" s="36"/>
      <c r="F10569" s="91"/>
      <c r="G10569" s="91"/>
    </row>
    <row r="10570" spans="1:7">
      <c r="A10570" s="21"/>
      <c r="B10570"/>
      <c r="C10570"/>
      <c r="D10570" s="90"/>
      <c r="E10570" s="36"/>
      <c r="F10570" s="91"/>
      <c r="G10570" s="91"/>
    </row>
    <row r="10571" spans="1:7">
      <c r="A10571" s="21"/>
      <c r="B10571"/>
      <c r="C10571"/>
      <c r="D10571" s="90"/>
      <c r="E10571" s="36"/>
      <c r="F10571" s="91"/>
      <c r="G10571" s="91"/>
    </row>
    <row r="10572" spans="1:7">
      <c r="A10572" s="21"/>
      <c r="B10572"/>
      <c r="C10572"/>
      <c r="D10572" s="90"/>
      <c r="E10572" s="36"/>
      <c r="F10572" s="91"/>
      <c r="G10572" s="91"/>
    </row>
    <row r="10573" spans="1:7">
      <c r="A10573" s="21"/>
      <c r="B10573"/>
      <c r="C10573"/>
      <c r="D10573" s="90"/>
      <c r="E10573" s="36"/>
      <c r="F10573" s="91"/>
      <c r="G10573" s="91"/>
    </row>
    <row r="10574" spans="1:7">
      <c r="A10574" s="21"/>
      <c r="B10574"/>
      <c r="C10574"/>
      <c r="D10574" s="90"/>
      <c r="E10574" s="36"/>
      <c r="F10574" s="91"/>
      <c r="G10574" s="91"/>
    </row>
    <row r="10575" spans="1:7">
      <c r="A10575" s="21"/>
      <c r="B10575"/>
      <c r="C10575"/>
      <c r="D10575" s="90"/>
      <c r="E10575" s="36"/>
      <c r="F10575" s="91"/>
      <c r="G10575" s="91"/>
    </row>
    <row r="10576" spans="1:7">
      <c r="A10576" s="21"/>
      <c r="B10576"/>
      <c r="C10576"/>
      <c r="D10576" s="90"/>
      <c r="E10576" s="36"/>
      <c r="F10576" s="91"/>
      <c r="G10576" s="91"/>
    </row>
    <row r="10577" spans="1:7">
      <c r="A10577" s="21"/>
      <c r="B10577"/>
      <c r="C10577"/>
      <c r="D10577" s="90"/>
      <c r="E10577" s="36"/>
      <c r="F10577" s="91"/>
      <c r="G10577" s="91"/>
    </row>
    <row r="10578" spans="1:7">
      <c r="A10578" s="21"/>
      <c r="B10578"/>
      <c r="C10578"/>
      <c r="D10578" s="90"/>
      <c r="E10578" s="36"/>
      <c r="F10578" s="91"/>
      <c r="G10578" s="91"/>
    </row>
    <row r="10579" spans="1:7">
      <c r="A10579" s="21"/>
      <c r="B10579"/>
      <c r="C10579"/>
      <c r="D10579" s="90"/>
      <c r="E10579" s="36"/>
      <c r="F10579" s="91"/>
      <c r="G10579" s="91"/>
    </row>
    <row r="10580" spans="1:7">
      <c r="A10580" s="21"/>
      <c r="B10580"/>
      <c r="C10580"/>
      <c r="D10580" s="90"/>
      <c r="E10580" s="36"/>
      <c r="F10580" s="91"/>
      <c r="G10580" s="91"/>
    </row>
    <row r="10581" spans="1:7">
      <c r="A10581" s="21"/>
      <c r="B10581"/>
      <c r="C10581"/>
      <c r="D10581" s="90"/>
      <c r="E10581" s="36"/>
      <c r="F10581" s="91"/>
      <c r="G10581" s="91"/>
    </row>
    <row r="10582" spans="1:7">
      <c r="A10582" s="21"/>
      <c r="B10582"/>
      <c r="C10582"/>
      <c r="D10582" s="90"/>
      <c r="E10582" s="36"/>
      <c r="F10582" s="91"/>
      <c r="G10582" s="91"/>
    </row>
    <row r="10583" spans="1:7">
      <c r="A10583" s="21"/>
      <c r="B10583"/>
      <c r="C10583"/>
      <c r="D10583" s="90"/>
      <c r="E10583" s="36"/>
      <c r="F10583" s="91"/>
      <c r="G10583" s="91"/>
    </row>
    <row r="10584" spans="1:7">
      <c r="A10584" s="21"/>
      <c r="B10584"/>
      <c r="C10584"/>
      <c r="D10584" s="90"/>
      <c r="E10584" s="36"/>
      <c r="F10584" s="91"/>
      <c r="G10584" s="91"/>
    </row>
    <row r="10585" spans="1:7">
      <c r="A10585" s="21"/>
      <c r="B10585"/>
      <c r="C10585"/>
      <c r="D10585" s="90"/>
      <c r="E10585" s="36"/>
      <c r="F10585" s="91"/>
      <c r="G10585" s="91"/>
    </row>
    <row r="10586" spans="1:7">
      <c r="A10586" s="21"/>
      <c r="B10586"/>
      <c r="C10586"/>
      <c r="D10586" s="90"/>
      <c r="E10586" s="36"/>
      <c r="F10586" s="91"/>
      <c r="G10586" s="91"/>
    </row>
    <row r="10587" spans="1:7">
      <c r="A10587" s="21"/>
      <c r="B10587"/>
      <c r="C10587"/>
      <c r="D10587" s="90"/>
      <c r="E10587" s="36"/>
      <c r="F10587" s="91"/>
      <c r="G10587" s="91"/>
    </row>
    <row r="10588" spans="1:7">
      <c r="A10588" s="21"/>
      <c r="B10588"/>
      <c r="C10588"/>
      <c r="D10588" s="90"/>
      <c r="E10588" s="36"/>
      <c r="F10588" s="91"/>
      <c r="G10588" s="91"/>
    </row>
    <row r="10589" spans="1:7">
      <c r="A10589" s="21"/>
      <c r="B10589"/>
      <c r="C10589"/>
      <c r="D10589" s="90"/>
      <c r="E10589" s="36"/>
      <c r="F10589" s="91"/>
      <c r="G10589" s="91"/>
    </row>
    <row r="10590" spans="1:7">
      <c r="A10590" s="21"/>
      <c r="B10590"/>
      <c r="C10590"/>
      <c r="D10590" s="90"/>
      <c r="E10590" s="36"/>
      <c r="F10590" s="91"/>
      <c r="G10590" s="91"/>
    </row>
    <row r="10591" spans="1:7">
      <c r="A10591" s="21"/>
      <c r="B10591"/>
      <c r="C10591"/>
      <c r="D10591" s="90"/>
      <c r="E10591" s="36"/>
      <c r="F10591" s="91"/>
      <c r="G10591" s="91"/>
    </row>
    <row r="10592" spans="1:7">
      <c r="A10592" s="21"/>
      <c r="B10592"/>
      <c r="C10592"/>
      <c r="D10592" s="90"/>
      <c r="F10592" s="91"/>
      <c r="G10592" s="91"/>
    </row>
    <row r="10593" spans="1:7">
      <c r="A10593" s="21"/>
      <c r="B10593"/>
      <c r="C10593"/>
      <c r="D10593" s="90"/>
      <c r="E10593" s="36"/>
      <c r="F10593" s="91"/>
      <c r="G10593" s="91"/>
    </row>
    <row r="10594" spans="1:7">
      <c r="A10594" s="21"/>
      <c r="B10594"/>
      <c r="C10594"/>
      <c r="D10594" s="90"/>
      <c r="E10594" s="36"/>
      <c r="F10594" s="91"/>
      <c r="G10594" s="91"/>
    </row>
    <row r="10595" spans="1:7">
      <c r="A10595" s="21"/>
      <c r="B10595"/>
      <c r="C10595"/>
      <c r="D10595" s="90"/>
      <c r="E10595" s="36"/>
      <c r="F10595" s="91"/>
      <c r="G10595" s="91"/>
    </row>
    <row r="10596" spans="1:7">
      <c r="A10596" s="21"/>
      <c r="B10596"/>
      <c r="C10596"/>
      <c r="D10596" s="90"/>
      <c r="E10596" s="36"/>
      <c r="F10596" s="91"/>
      <c r="G10596" s="91"/>
    </row>
    <row r="10597" spans="1:7">
      <c r="A10597" s="21"/>
      <c r="B10597"/>
      <c r="C10597"/>
      <c r="D10597" s="90"/>
      <c r="E10597" s="36"/>
      <c r="F10597" s="91"/>
      <c r="G10597" s="91"/>
    </row>
    <row r="10598" spans="1:7">
      <c r="A10598" s="21"/>
      <c r="B10598"/>
      <c r="C10598"/>
      <c r="D10598" s="90"/>
      <c r="E10598" s="36"/>
      <c r="F10598" s="91"/>
      <c r="G10598" s="91"/>
    </row>
    <row r="10599" spans="1:7">
      <c r="A10599" s="21"/>
      <c r="B10599"/>
      <c r="C10599"/>
      <c r="D10599" s="90"/>
      <c r="E10599" s="36"/>
      <c r="F10599" s="91"/>
      <c r="G10599" s="91"/>
    </row>
    <row r="10600" spans="1:7">
      <c r="A10600" s="21"/>
      <c r="B10600"/>
      <c r="C10600"/>
      <c r="D10600" s="90"/>
      <c r="E10600" s="36"/>
      <c r="F10600" s="91"/>
      <c r="G10600" s="91"/>
    </row>
    <row r="10601" spans="1:7">
      <c r="A10601" s="21"/>
      <c r="B10601"/>
      <c r="C10601"/>
      <c r="D10601" s="90"/>
      <c r="E10601" s="36"/>
      <c r="F10601" s="91"/>
      <c r="G10601" s="91"/>
    </row>
    <row r="10602" spans="1:7">
      <c r="A10602" s="21"/>
      <c r="B10602"/>
      <c r="C10602"/>
      <c r="D10602" s="90"/>
      <c r="E10602" s="36"/>
      <c r="F10602" s="91"/>
      <c r="G10602" s="91"/>
    </row>
    <row r="10603" spans="1:7">
      <c r="A10603" s="21"/>
      <c r="B10603"/>
      <c r="C10603"/>
      <c r="D10603" s="90"/>
      <c r="E10603" s="36"/>
      <c r="F10603" s="91"/>
      <c r="G10603" s="91"/>
    </row>
    <row r="10604" spans="1:7">
      <c r="A10604" s="21"/>
      <c r="B10604"/>
      <c r="C10604"/>
      <c r="D10604" s="90"/>
      <c r="E10604" s="36"/>
      <c r="F10604" s="91"/>
      <c r="G10604" s="91"/>
    </row>
    <row r="10605" spans="1:7">
      <c r="D10605" s="90"/>
    </row>
    <row r="10606" spans="1:7">
      <c r="D10606" s="90"/>
    </row>
    <row r="10607" spans="1:7">
      <c r="D10607" s="90"/>
    </row>
    <row r="10608" spans="1:7">
      <c r="D10608" s="90"/>
    </row>
    <row r="10609" spans="4:4">
      <c r="D10609" s="90"/>
    </row>
    <row r="10610" spans="4:4">
      <c r="D10610" s="90"/>
    </row>
    <row r="10611" spans="4:4">
      <c r="D10611" s="90"/>
    </row>
    <row r="10612" spans="4:4">
      <c r="D10612" s="90"/>
    </row>
    <row r="10613" spans="4:4">
      <c r="D10613" s="90"/>
    </row>
    <row r="10614" spans="4:4">
      <c r="D10614" s="90"/>
    </row>
    <row r="10615" spans="4:4">
      <c r="D10615" s="90"/>
    </row>
    <row r="10616" spans="4:4">
      <c r="D10616" s="90"/>
    </row>
    <row r="10617" spans="4:4">
      <c r="D10617" s="90"/>
    </row>
    <row r="10618" spans="4:4">
      <c r="D10618" s="90"/>
    </row>
    <row r="10619" spans="4:4">
      <c r="D10619" s="90"/>
    </row>
    <row r="10620" spans="4:4">
      <c r="D10620" s="90"/>
    </row>
    <row r="10621" spans="4:4">
      <c r="D10621" s="90"/>
    </row>
    <row r="10622" spans="4:4">
      <c r="D10622" s="90"/>
    </row>
    <row r="10623" spans="4:4">
      <c r="D10623" s="90"/>
    </row>
    <row r="10624" spans="4:4">
      <c r="D10624" s="90"/>
    </row>
    <row r="10625" spans="4:4">
      <c r="D10625" s="90"/>
    </row>
    <row r="10626" spans="4:4">
      <c r="D10626" s="90"/>
    </row>
    <row r="10627" spans="4:4">
      <c r="D10627" s="90"/>
    </row>
    <row r="10628" spans="4:4">
      <c r="D10628" s="90"/>
    </row>
    <row r="10629" spans="4:4">
      <c r="D10629" s="90"/>
    </row>
    <row r="10630" spans="4:4">
      <c r="D10630" s="90"/>
    </row>
    <row r="10631" spans="4:4">
      <c r="D10631" s="90"/>
    </row>
    <row r="10632" spans="4:4">
      <c r="D10632" s="90"/>
    </row>
    <row r="10633" spans="4:4">
      <c r="D10633" s="90"/>
    </row>
    <row r="10634" spans="4:4">
      <c r="D10634" s="90"/>
    </row>
    <row r="10635" spans="4:4">
      <c r="D10635" s="90"/>
    </row>
    <row r="10636" spans="4:4">
      <c r="D10636" s="90"/>
    </row>
    <row r="10637" spans="4:4">
      <c r="D10637" s="90"/>
    </row>
    <row r="10638" spans="4:4">
      <c r="D10638" s="90"/>
    </row>
    <row r="10639" spans="4:4">
      <c r="D10639" s="90"/>
    </row>
    <row r="10640" spans="4:4">
      <c r="D10640" s="90"/>
    </row>
    <row r="10641" spans="4:4">
      <c r="D10641" s="90"/>
    </row>
    <row r="10642" spans="4:4">
      <c r="D10642" s="90"/>
    </row>
    <row r="10643" spans="4:4">
      <c r="D10643" s="90"/>
    </row>
    <row r="10644" spans="4:4">
      <c r="D10644" s="90"/>
    </row>
    <row r="10645" spans="4:4">
      <c r="D10645" s="90"/>
    </row>
  </sheetData>
  <autoFilter ref="A1:I10645"/>
  <sortState ref="A2:H4249">
    <sortCondition ref="A2"/>
  </sortState>
  <dataConsolidate/>
  <phoneticPr fontId="3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L68"/>
  <sheetViews>
    <sheetView zoomScale="85" zoomScaleNormal="85" workbookViewId="0">
      <pane xSplit="3" ySplit="5" topLeftCell="CK6" activePane="bottomRight" state="frozen"/>
      <selection pane="topRight" activeCell="D1" sqref="D1"/>
      <selection pane="bottomLeft" activeCell="A6" sqref="A6"/>
      <selection pane="bottomRight" activeCell="CX2" sqref="CX2:DT2"/>
    </sheetView>
  </sheetViews>
  <sheetFormatPr defaultColWidth="6.625" defaultRowHeight="12"/>
  <cols>
    <col min="1" max="1" width="2.625" style="4" customWidth="1"/>
    <col min="2" max="2" width="4.875" style="65" bestFit="1" customWidth="1"/>
    <col min="3" max="3" width="4.875" style="65" customWidth="1"/>
    <col min="4" max="4" width="7.5" style="4" customWidth="1"/>
    <col min="5" max="5" width="6.75" style="4" bestFit="1" customWidth="1"/>
    <col min="6" max="6" width="7.5" style="4" customWidth="1"/>
    <col min="7" max="7" width="6.625" style="4" customWidth="1"/>
    <col min="8" max="8" width="8.125" style="4" customWidth="1"/>
    <col min="9" max="14" width="6.75" style="4" bestFit="1" customWidth="1"/>
    <col min="15" max="15" width="6.625" style="4" customWidth="1"/>
    <col min="16" max="36" width="6.75" style="4" bestFit="1" customWidth="1"/>
    <col min="37" max="37" width="6.625" style="4"/>
    <col min="38" max="41" width="6.75" style="4" bestFit="1" customWidth="1"/>
    <col min="42" max="42" width="7.375" style="4" bestFit="1" customWidth="1"/>
    <col min="43" max="54" width="6.75" style="4" bestFit="1" customWidth="1"/>
    <col min="55" max="55" width="6.625" style="4"/>
    <col min="56" max="62" width="6.75" style="4" bestFit="1" customWidth="1"/>
    <col min="63" max="63" width="6.625" style="4"/>
    <col min="64" max="65" width="6.75" style="4" bestFit="1" customWidth="1"/>
    <col min="66" max="69" width="6.625" style="4"/>
    <col min="70" max="71" width="6.75" style="4" bestFit="1" customWidth="1"/>
    <col min="72" max="73" width="6.625" style="4"/>
    <col min="74" max="79" width="6.75" style="4" bestFit="1" customWidth="1"/>
    <col min="80" max="80" width="7.375" style="4" bestFit="1" customWidth="1"/>
    <col min="81" max="289" width="6.625" style="4"/>
    <col min="290" max="290" width="9.625" style="4" bestFit="1" customWidth="1"/>
    <col min="291" max="16384" width="6.625" style="4"/>
  </cols>
  <sheetData>
    <row r="1" spans="1:298" ht="21" customHeight="1" thickBot="1">
      <c r="A1" s="127"/>
      <c r="B1" s="127"/>
      <c r="C1" s="127"/>
      <c r="D1" s="127"/>
      <c r="E1" s="9" t="s">
        <v>4</v>
      </c>
      <c r="H1" s="4" t="s">
        <v>3</v>
      </c>
      <c r="I1" s="7">
        <v>3</v>
      </c>
      <c r="O1" s="8"/>
    </row>
    <row r="2" spans="1:298" s="6" customFormat="1" ht="16.5" customHeight="1">
      <c r="B2" s="128"/>
      <c r="C2" s="66"/>
      <c r="D2" s="118" t="s">
        <v>30</v>
      </c>
      <c r="E2" s="118"/>
      <c r="F2" s="118"/>
      <c r="G2" s="118" t="s">
        <v>34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 t="s">
        <v>52</v>
      </c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 t="s">
        <v>68</v>
      </c>
      <c r="AN2" s="118"/>
      <c r="AO2" s="118"/>
      <c r="AP2" s="118"/>
      <c r="AQ2" s="118"/>
      <c r="AR2" s="118" t="s">
        <v>74</v>
      </c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 t="s">
        <v>91</v>
      </c>
      <c r="BI2" s="118"/>
      <c r="BJ2" s="118" t="s">
        <v>94</v>
      </c>
      <c r="BK2" s="118"/>
      <c r="BL2" s="118" t="s">
        <v>97</v>
      </c>
      <c r="BM2" s="118"/>
      <c r="BN2" s="118"/>
      <c r="BO2" s="118"/>
      <c r="BP2" s="118"/>
      <c r="BQ2" s="118"/>
      <c r="BR2" s="118"/>
      <c r="BS2" s="118"/>
      <c r="BT2" s="118"/>
      <c r="BU2" s="118"/>
      <c r="BV2" s="118" t="s">
        <v>108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 t="s">
        <v>131</v>
      </c>
      <c r="CS2" s="118"/>
      <c r="CT2" s="118"/>
      <c r="CU2" s="118"/>
      <c r="CV2" s="118" t="s">
        <v>136</v>
      </c>
      <c r="CW2" s="118"/>
      <c r="CX2" s="118" t="s">
        <v>139</v>
      </c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 t="s">
        <v>163</v>
      </c>
      <c r="DV2" s="118"/>
      <c r="DW2" s="118"/>
      <c r="DX2" s="118"/>
      <c r="DY2" s="118"/>
      <c r="DZ2" s="118"/>
      <c r="EA2" s="118"/>
      <c r="EB2" s="118"/>
      <c r="EC2" s="118"/>
      <c r="ED2" s="118"/>
      <c r="EE2" s="118" t="s">
        <v>174</v>
      </c>
      <c r="EF2" s="118"/>
      <c r="EG2" s="73" t="s">
        <v>176</v>
      </c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</row>
    <row r="3" spans="1:298" s="3" customFormat="1" ht="81" customHeight="1">
      <c r="B3" s="129"/>
      <c r="C3" s="67"/>
      <c r="D3" s="74" t="s">
        <v>31</v>
      </c>
      <c r="E3" s="74" t="s">
        <v>32</v>
      </c>
      <c r="F3" s="74" t="s">
        <v>33</v>
      </c>
      <c r="G3" s="81" t="s">
        <v>35</v>
      </c>
      <c r="H3" s="74" t="s">
        <v>36</v>
      </c>
      <c r="I3" s="74" t="s">
        <v>37</v>
      </c>
      <c r="J3" s="74" t="s">
        <v>38</v>
      </c>
      <c r="K3" s="74" t="s">
        <v>39</v>
      </c>
      <c r="L3" s="74" t="s">
        <v>40</v>
      </c>
      <c r="M3" s="74" t="s">
        <v>41</v>
      </c>
      <c r="N3" s="74" t="s">
        <v>42</v>
      </c>
      <c r="O3" s="81" t="s">
        <v>43</v>
      </c>
      <c r="P3" s="74" t="s">
        <v>44</v>
      </c>
      <c r="Q3" s="74" t="s">
        <v>45</v>
      </c>
      <c r="R3" s="74" t="s">
        <v>46</v>
      </c>
      <c r="S3" s="74" t="s">
        <v>47</v>
      </c>
      <c r="T3" s="74" t="s">
        <v>48</v>
      </c>
      <c r="U3" s="74" t="s">
        <v>49</v>
      </c>
      <c r="V3" s="74" t="s">
        <v>50</v>
      </c>
      <c r="W3" s="74" t="s">
        <v>51</v>
      </c>
      <c r="X3" s="74" t="s">
        <v>53</v>
      </c>
      <c r="Y3" s="74" t="s">
        <v>54</v>
      </c>
      <c r="Z3" s="74" t="s">
        <v>55</v>
      </c>
      <c r="AA3" s="74" t="s">
        <v>56</v>
      </c>
      <c r="AB3" s="74" t="s">
        <v>57</v>
      </c>
      <c r="AC3" s="74" t="s">
        <v>58</v>
      </c>
      <c r="AD3" s="74" t="s">
        <v>59</v>
      </c>
      <c r="AE3" s="74" t="s">
        <v>60</v>
      </c>
      <c r="AF3" s="74" t="s">
        <v>61</v>
      </c>
      <c r="AG3" s="74" t="s">
        <v>62</v>
      </c>
      <c r="AH3" s="74" t="s">
        <v>63</v>
      </c>
      <c r="AI3" s="74" t="s">
        <v>64</v>
      </c>
      <c r="AJ3" s="74" t="s">
        <v>65</v>
      </c>
      <c r="AK3" s="74" t="s">
        <v>66</v>
      </c>
      <c r="AL3" s="74" t="s">
        <v>67</v>
      </c>
      <c r="AM3" s="74" t="s">
        <v>69</v>
      </c>
      <c r="AN3" s="74" t="s">
        <v>70</v>
      </c>
      <c r="AO3" s="74" t="s">
        <v>71</v>
      </c>
      <c r="AP3" s="74" t="s">
        <v>72</v>
      </c>
      <c r="AQ3" s="74" t="s">
        <v>73</v>
      </c>
      <c r="AR3" s="74" t="s">
        <v>75</v>
      </c>
      <c r="AS3" s="74" t="s">
        <v>76</v>
      </c>
      <c r="AT3" s="74" t="s">
        <v>77</v>
      </c>
      <c r="AU3" s="74" t="s">
        <v>78</v>
      </c>
      <c r="AV3" s="74" t="s">
        <v>79</v>
      </c>
      <c r="AW3" s="74" t="s">
        <v>80</v>
      </c>
      <c r="AX3" s="74" t="s">
        <v>81</v>
      </c>
      <c r="AY3" s="74" t="s">
        <v>82</v>
      </c>
      <c r="AZ3" s="74" t="s">
        <v>83</v>
      </c>
      <c r="BA3" s="74" t="s">
        <v>84</v>
      </c>
      <c r="BB3" s="74" t="s">
        <v>85</v>
      </c>
      <c r="BC3" s="74" t="s">
        <v>86</v>
      </c>
      <c r="BD3" s="74" t="s">
        <v>87</v>
      </c>
      <c r="BE3" s="74" t="s">
        <v>88</v>
      </c>
      <c r="BF3" s="74" t="s">
        <v>89</v>
      </c>
      <c r="BG3" s="74" t="s">
        <v>90</v>
      </c>
      <c r="BH3" s="74" t="s">
        <v>92</v>
      </c>
      <c r="BI3" s="74" t="s">
        <v>93</v>
      </c>
      <c r="BJ3" s="74" t="s">
        <v>95</v>
      </c>
      <c r="BK3" s="74" t="s">
        <v>96</v>
      </c>
      <c r="BL3" s="74" t="s">
        <v>98</v>
      </c>
      <c r="BM3" s="74" t="s">
        <v>99</v>
      </c>
      <c r="BN3" s="74" t="s">
        <v>100</v>
      </c>
      <c r="BO3" s="74" t="s">
        <v>101</v>
      </c>
      <c r="BP3" s="74" t="s">
        <v>102</v>
      </c>
      <c r="BQ3" s="74" t="s">
        <v>103</v>
      </c>
      <c r="BR3" s="74" t="s">
        <v>104</v>
      </c>
      <c r="BS3" s="74" t="s">
        <v>105</v>
      </c>
      <c r="BT3" s="74" t="s">
        <v>106</v>
      </c>
      <c r="BU3" s="74" t="s">
        <v>107</v>
      </c>
      <c r="BV3" s="74" t="s">
        <v>109</v>
      </c>
      <c r="BW3" s="74" t="s">
        <v>110</v>
      </c>
      <c r="BX3" s="74" t="s">
        <v>111</v>
      </c>
      <c r="BY3" s="74" t="s">
        <v>112</v>
      </c>
      <c r="BZ3" s="74" t="s">
        <v>113</v>
      </c>
      <c r="CA3" s="74" t="s">
        <v>114</v>
      </c>
      <c r="CB3" s="74" t="s">
        <v>115</v>
      </c>
      <c r="CC3" s="74" t="s">
        <v>116</v>
      </c>
      <c r="CD3" s="74" t="s">
        <v>117</v>
      </c>
      <c r="CE3" s="74" t="s">
        <v>118</v>
      </c>
      <c r="CF3" s="74" t="s">
        <v>119</v>
      </c>
      <c r="CG3" s="74" t="s">
        <v>120</v>
      </c>
      <c r="CH3" s="74" t="s">
        <v>121</v>
      </c>
      <c r="CI3" s="74" t="s">
        <v>122</v>
      </c>
      <c r="CJ3" s="74" t="s">
        <v>123</v>
      </c>
      <c r="CK3" s="74" t="s">
        <v>124</v>
      </c>
      <c r="CL3" s="74" t="s">
        <v>125</v>
      </c>
      <c r="CM3" s="74" t="s">
        <v>126</v>
      </c>
      <c r="CN3" s="74" t="s">
        <v>127</v>
      </c>
      <c r="CO3" s="74" t="s">
        <v>128</v>
      </c>
      <c r="CP3" s="74" t="s">
        <v>129</v>
      </c>
      <c r="CQ3" s="74" t="s">
        <v>130</v>
      </c>
      <c r="CR3" s="74" t="s">
        <v>132</v>
      </c>
      <c r="CS3" s="74" t="s">
        <v>133</v>
      </c>
      <c r="CT3" s="74" t="s">
        <v>134</v>
      </c>
      <c r="CU3" s="74" t="s">
        <v>135</v>
      </c>
      <c r="CV3" s="74" t="s">
        <v>137</v>
      </c>
      <c r="CW3" s="74" t="s">
        <v>138</v>
      </c>
      <c r="CX3" s="74" t="s">
        <v>140</v>
      </c>
      <c r="CY3" s="74" t="s">
        <v>141</v>
      </c>
      <c r="CZ3" s="74" t="s">
        <v>142</v>
      </c>
      <c r="DA3" s="74" t="s">
        <v>143</v>
      </c>
      <c r="DB3" s="74" t="s">
        <v>144</v>
      </c>
      <c r="DC3" s="74" t="s">
        <v>145</v>
      </c>
      <c r="DD3" s="74" t="s">
        <v>146</v>
      </c>
      <c r="DE3" s="74" t="s">
        <v>147</v>
      </c>
      <c r="DF3" s="74" t="s">
        <v>148</v>
      </c>
      <c r="DG3" s="74" t="s">
        <v>149</v>
      </c>
      <c r="DH3" s="74" t="s">
        <v>150</v>
      </c>
      <c r="DI3" s="74" t="s">
        <v>151</v>
      </c>
      <c r="DJ3" s="74" t="s">
        <v>152</v>
      </c>
      <c r="DK3" s="74" t="s">
        <v>153</v>
      </c>
      <c r="DL3" s="74" t="s">
        <v>154</v>
      </c>
      <c r="DM3" s="74" t="s">
        <v>155</v>
      </c>
      <c r="DN3" s="74" t="s">
        <v>156</v>
      </c>
      <c r="DO3" s="74" t="s">
        <v>157</v>
      </c>
      <c r="DP3" s="74" t="s">
        <v>158</v>
      </c>
      <c r="DQ3" s="74" t="s">
        <v>159</v>
      </c>
      <c r="DR3" s="74" t="s">
        <v>160</v>
      </c>
      <c r="DS3" s="74" t="s">
        <v>161</v>
      </c>
      <c r="DT3" s="74" t="s">
        <v>162</v>
      </c>
      <c r="DU3" s="74" t="s">
        <v>164</v>
      </c>
      <c r="DV3" s="74" t="s">
        <v>165</v>
      </c>
      <c r="DW3" s="74" t="s">
        <v>166</v>
      </c>
      <c r="DX3" s="74" t="s">
        <v>167</v>
      </c>
      <c r="DY3" s="74" t="s">
        <v>168</v>
      </c>
      <c r="DZ3" s="74" t="s">
        <v>169</v>
      </c>
      <c r="EA3" s="74" t="s">
        <v>170</v>
      </c>
      <c r="EB3" s="74" t="s">
        <v>171</v>
      </c>
      <c r="EC3" s="74" t="s">
        <v>172</v>
      </c>
      <c r="ED3" s="74" t="s">
        <v>173</v>
      </c>
      <c r="EE3" s="74" t="s">
        <v>23</v>
      </c>
      <c r="EF3" s="74" t="s">
        <v>175</v>
      </c>
      <c r="EG3" s="74" t="s">
        <v>22</v>
      </c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</row>
    <row r="4" spans="1:298" s="3" customFormat="1" ht="15.75" customHeight="1">
      <c r="B4" s="122" t="s">
        <v>2</v>
      </c>
      <c r="C4" s="123"/>
      <c r="D4" s="79" t="str">
        <f>IF(SUMIF(C6:$C$67,"件数",$D$6:$D$67)=0,"",SUMIF(C6:$C$67,"件数",$D$6:$D$67))</f>
        <v/>
      </c>
      <c r="E4" s="79">
        <f>IF(SUMIF(C6:$C$67,"件数",$E$6:$E$67)=0,"",SUMIF(C6:$C$67,"件数",$E$6:$E$67))</f>
        <v>2</v>
      </c>
      <c r="F4" s="79" t="str">
        <f>IF(SUMIF(C6:$C$67,"件数",$F$6:$F$67)=0,"",SUMIF(C6:$C$67,"件数",$F$6:$F$67))</f>
        <v/>
      </c>
      <c r="G4" s="79"/>
      <c r="H4" s="79" t="str">
        <f>IF(SUMIF(C6:$C$67,"件数",$H$6:$H$67)=0,"",SUMIF(C6:$C$67,"件数",$H$6:$H$67))</f>
        <v/>
      </c>
      <c r="I4" s="79" t="str">
        <f>IF(SUMIF(C6:$C$67,"件数",$I$6:$I$67)=0,"",SUMIF(C6:$C$67,"件数",$I$6:$I$67))</f>
        <v/>
      </c>
      <c r="J4" s="79" t="str">
        <f>IF(SUMIF(C6:$C$67,"件数",$J$6:$J$67)=0,"",SUMIF(C6:$C$67,"件数",$J$6:$J$67))</f>
        <v/>
      </c>
      <c r="K4" s="79" t="str">
        <f>IF(SUMIF(C6:$C$67,"件数",$K$6:$K$67)=0,"",SUMIF(C6:$C$67,"件数",$K$6:$K$67))</f>
        <v/>
      </c>
      <c r="L4" s="79" t="str">
        <f>IF(SUMIF(C6:$C$67,"件数",$L$6:$L$67)=0,"",SUMIF(C6:$C$67,"件数",$L$6:$L$67))</f>
        <v/>
      </c>
      <c r="M4" s="79" t="str">
        <f>IF(SUMIF(C6:$C$67,"件数",$M$6:$M$67)=0,"",SUMIF(C6:$C$67,"件数",$M$6:$M$67))</f>
        <v/>
      </c>
      <c r="N4" s="79" t="str">
        <f>IF(SUMIF(C6:$C$67,"件数",$N$6:$N$67)=0,"",SUMIF(C6:$C$67,"件数",$N$6:$N$67))</f>
        <v/>
      </c>
      <c r="O4" s="79"/>
      <c r="P4" s="79" t="str">
        <f>IF(SUMIF(C6:$C$67,"件数",$P$6:$P$67)=0,"",SUMIF(C6:$C$67,"件数",$P$6:$P$67))</f>
        <v/>
      </c>
      <c r="Q4" s="79" t="str">
        <f>IF(SUMIF(C6:$C$67,"件数",$Q$6:$Q$67)=0,"",SUMIF(C6:$C$67,"件数",$Q$6:$Q$67))</f>
        <v/>
      </c>
      <c r="R4" s="79" t="str">
        <f>IF(SUMIF(C6:$C$67,"件数",$R$6:$R$67)=0,"",SUMIF(C6:$C$67,"件数",$R$6:$R$67))</f>
        <v/>
      </c>
      <c r="S4" s="79" t="str">
        <f>IF(SUMIF(C6:$C$67,"件数",$S$6:$S$67)=0,"",SUMIF(C6:$C$67,"件数",$S$6:$S$67))</f>
        <v/>
      </c>
      <c r="T4" s="79" t="str">
        <f>IF(SUMIF(C6:$C$67,"件数",$T$6:$T$67)=0,"",SUMIF(C6:$C$67,"件数",$T$6:$T$67))</f>
        <v/>
      </c>
      <c r="U4" s="79" t="str">
        <f>IF(SUMIF(C6:$C$67,"件数",$U$6:$U$67)=0,"",SUMIF(C6:$C$67,"件数",$U$6:$U$67))</f>
        <v/>
      </c>
      <c r="V4" s="79" t="str">
        <f>IF(SUMIF(C6:$C$67,"件数",$V$6:$V$67)=0,"",SUMIF(C6:$C$67,"件数",$V$6:$V$67))</f>
        <v/>
      </c>
      <c r="W4" s="79" t="str">
        <f>IF(SUMIF(C6:$C$67,"件数",$W$6:$W$67)=0,"",SUMIF(C6:$C$67,"件数",$W$6:$W$67))</f>
        <v/>
      </c>
      <c r="X4" s="79" t="str">
        <f>IF(SUMIF(C6:$C$67,"件数",$X$6:$X$67)=0,"",SUMIF(C6:$C$67,"件数",$X$6:$X$67))</f>
        <v/>
      </c>
      <c r="Y4" s="79" t="str">
        <f>IF(SUMIF(C6:$C$67,"件数",$Y$6:$Y$67)=0,"",SUMIF(C6:$C$67,"件数",$Y$6:$Y$67))</f>
        <v/>
      </c>
      <c r="Z4" s="79" t="str">
        <f>IF(SUMIF(C6:$C$67,"件数",$Z$6:$Z$67)=0,"",SUMIF(C6:$C$67,"件数",$Z$6:$Z$67))</f>
        <v/>
      </c>
      <c r="AA4" s="79" t="str">
        <f>IF(SUMIF(C6:$C$67,"件数",$AA$6:$AA$67)=0,"",SUMIF(C6:$C$67,"件数",$AA$6:$AA$67))</f>
        <v/>
      </c>
      <c r="AB4" s="79" t="str">
        <f>IF(SUMIF(C6:$C$67,"件数",$AB$6:$AB$67)=0,"",SUMIF(C6:$C$67,"件数",$AB$6:$AB$67))</f>
        <v/>
      </c>
      <c r="AC4" s="79" t="str">
        <f>IF(SUMIF(C6:$C$67,"件数",$AC$6:$AC$67)=0,"",SUMIF(C6:$C$67,"件数",$AC$6:$AC$67))</f>
        <v/>
      </c>
      <c r="AD4" s="79" t="str">
        <f>IF(SUMIF(C6:$C$67,"件数",$AD$6:$AD$67)=0,"",SUMIF(C6:$C$67,"件数",$AD$6:$AD$67))</f>
        <v/>
      </c>
      <c r="AE4" s="79" t="str">
        <f>IF(SUMIF(C6:$C$67,"件数",$AE$6:$AE$67)=0,"",SUMIF(C6:$C$67,"件数",$AE$6:$AE$67))</f>
        <v/>
      </c>
      <c r="AF4" s="79" t="str">
        <f>IF(SUMIF(C6:$C$67,"件数",$AF$6:$AF$67)=0,"",SUMIF(C6:$C$67,"件数",$AF$6:$AF$67))</f>
        <v/>
      </c>
      <c r="AG4" s="79" t="str">
        <f>IF(SUMIF(C6:$C$67,"件数",$AG$6:$AG$67)=0,"",SUMIF(C6:$C$67,"件数",$AG$6:$AG$67))</f>
        <v/>
      </c>
      <c r="AH4" s="79" t="str">
        <f>IF(SUMIF(C6:$C$67,"件数",$AH$6:$AH$67)=0,"",SUMIF(C6:$C$67,"件数",$AH$6:$AH$67))</f>
        <v/>
      </c>
      <c r="AI4" s="79" t="str">
        <f>IF(SUMIF(C6:$C$67,"件数",$AI$6:$AI$67)=0,"",SUMIF(C6:$C$67,"件数",$AI$6:$AI$67))</f>
        <v/>
      </c>
      <c r="AJ4" s="79" t="str">
        <f>IF(SUMIF(C6:$C$67,"件数",$AJ$6:$AJ$67)=0,"",SUMIF(C6:$C$67,"件数",$AJ$6:$AJ$67))</f>
        <v/>
      </c>
      <c r="AK4" s="79" t="str">
        <f>IF(SUMIF(C6:$C$67,"件数",$AK$6:$AK$67)=0,"",SUMIF(C6:$C$67,"件数",$AK$6:$AK$67))</f>
        <v/>
      </c>
      <c r="AL4" s="79" t="str">
        <f>IF(SUMIF(C6:$C$67,"件数",$AL$6:$AL$67)=0,"",SUMIF(C6:$C$67,"件数",$AL$6:$AL$67))</f>
        <v/>
      </c>
      <c r="AM4" s="79" t="str">
        <f>IF(SUMIF(C6:$C$67,"件数",$AM$6:$AM$67)=0,"",SUMIF(C6:$C$67,"件数",$AM$6:$AM$67))</f>
        <v/>
      </c>
      <c r="AN4" s="79" t="str">
        <f>IF(SUMIF(C6:$C$67,"件数",$AN$6:$AN$67)=0,"",SUMIF(C6:$C$67,"件数",$AN$6:$AN$67))</f>
        <v/>
      </c>
      <c r="AO4" s="79" t="str">
        <f>IF(SUMIF(C6:$C$67,"件数",$AO$6:$AO$67)=0,"",SUMIF(C6:$C$67,"件数",$AO$6:$AO$67))</f>
        <v/>
      </c>
      <c r="AP4" s="79" t="str">
        <f>IF(SUMIF(C6:$C$67,"件数",$AP$6:$AP$67)=0,"",SUMIF(C6:$C$67,"件数",$AP$6:$AP$67))</f>
        <v/>
      </c>
      <c r="AQ4" s="79" t="str">
        <f>IF(SUMIF(C6:$C$67,"件数",$AQ$6:$AQ$67)=0,"",SUMIF(C6:$C$67,"件数",$AQ$6:$AQ$67))</f>
        <v/>
      </c>
      <c r="AR4" s="79" t="str">
        <f>IF(SUMIF(C6:$C$67,"件数",$AR$6:$AR$67)=0,"",SUMIF(C6:$C$67,"件数",$AR$6:$AR$67))</f>
        <v/>
      </c>
      <c r="AS4" s="79" t="str">
        <f>IF(SUMIF(C6:$C$67,"件数",$AS$6:$AS$67)=0,"",SUMIF(C6:$C$67,"件数",$AS$6:$AS$67))</f>
        <v/>
      </c>
      <c r="AT4" s="79" t="str">
        <f>IF(SUMIF(C6:$C$67,"件数",$AT$6:$AT$67)=0,"",SUMIF(C6:$C$67,"件数",$AT$6:$AT$67))</f>
        <v/>
      </c>
      <c r="AU4" s="79" t="str">
        <f>IF(SUMIF(C6:$C$67,"件数",$AU$6:$AU$67)=0,"",SUMIF(C6:$C$67,"件数",$AU$6:$AU$67))</f>
        <v/>
      </c>
      <c r="AV4" s="79" t="str">
        <f>IF(SUMIF(C6:$C$67,"件数",$AV$6:$AV$67)=0,"",SUMIF(C6:$C$67,"件数",$AV$6:$AV$67))</f>
        <v/>
      </c>
      <c r="AW4" s="79" t="str">
        <f>IF(SUMIF(C6:$C$67,"件数",$AW$6:$AW$67)=0,"",SUMIF(C6:$C$67,"件数",$AW$6:$AW$67))</f>
        <v/>
      </c>
      <c r="AX4" s="79" t="str">
        <f>IF(SUMIF(C6:$C$67,"件数",$AX$6:$AX$67)=0,"",SUMIF(C6:$C$67,"件数",$AX$6:$AX$67))</f>
        <v/>
      </c>
      <c r="AY4" s="79" t="str">
        <f>IF(SUMIF(C6:$C$67,"件数",$AY$6:$AY$67)=0,"",SUMIF(C6:$C$67,"件数",$AY$6:$AY$67))</f>
        <v/>
      </c>
      <c r="AZ4" s="79" t="str">
        <f>IF(SUMIF(C6:$C$67,"件数",$AZ$6:$AZ$67)=0,"",SUMIF(C6:$C$67,"件数",$AZ$6:$AZ$67))</f>
        <v/>
      </c>
      <c r="BA4" s="79" t="str">
        <f>IF(SUMIF(C6:$C$67,"件数",$BA$6:$BA$67)=0,"",SUMIF(C6:$C$67,"件数",$BA$6:$BA$67))</f>
        <v/>
      </c>
      <c r="BB4" s="79" t="str">
        <f>IF(SUMIF(C6:$C$67,"件数",$BB$6:$BB$67)=0,"",SUMIF(C6:$C$67,"件数",$BB$6:$BB$67))</f>
        <v/>
      </c>
      <c r="BC4" s="79" t="str">
        <f>IF(SUMIF(C6:$C$67,"件数",$BC$6:$BC$67)=0,"",SUMIF(C6:$C$67,"件数",$BC$6:$BC$67))</f>
        <v/>
      </c>
      <c r="BD4" s="79" t="str">
        <f>IF(SUMIF(C6:$C$67,"件数",$BD$6:$BD$67)=0,"",SUMIF(C6:$C$67,"件数",$BD$6:$BD$67))</f>
        <v/>
      </c>
      <c r="BE4" s="79" t="str">
        <f>IF(SUMIF(C6:$C$67,"件数",$BE$6:$BE$67)=0,"",SUMIF(C6:$C$67,"件数",$BE$6:$BE$67))</f>
        <v/>
      </c>
      <c r="BF4" s="79" t="str">
        <f>IF(SUMIF(C6:$C$67,"件数",$BF$6:$BF$67)=0,"",SUMIF(C6:$C$67,"件数",$BF$6:$BF$67))</f>
        <v/>
      </c>
      <c r="BG4" s="79" t="str">
        <f>IF(SUMIF(C6:$C$67,"件数",$BG$6:$BG$67)=0,"",SUMIF(C6:$C$67,"件数",$BG$6:$BG$67))</f>
        <v/>
      </c>
      <c r="BH4" s="79" t="str">
        <f>IF(SUMIF(C6:$C$67,"件数",$BH$6:$BH$67)=0,"",SUMIF(C6:$C$67,"件数",$BH$6:$BH$67))</f>
        <v/>
      </c>
      <c r="BI4" s="79" t="str">
        <f>IF(SUMIF(C6:$C$67,"件数",$BI$6:$BI$67)=0,"",SUMIF(C6:$C$67,"件数",$BI$6:$BI$67))</f>
        <v/>
      </c>
      <c r="BJ4" s="79" t="str">
        <f>IF(SUMIF(C6:$C$67,"件数",$BJ$6:$BJ$67)=0,"",SUMIF(C6:$C$67,"件数",$BJ$6:$BJ$67))</f>
        <v/>
      </c>
      <c r="BK4" s="79" t="str">
        <f>IF(SUMIF(C6:$C$67,"件数",$BK$6:$BK$67)=0,"",SUMIF(C6:$C$67,"件数",$BK$6:$BK$67))</f>
        <v/>
      </c>
      <c r="BL4" s="79" t="str">
        <f>IF(SUMIF(C6:$C$67,"件数",$BL$6:$BL$67)=0,"",SUMIF(C6:$C$67,"件数",$BL$6:$BL$67))</f>
        <v/>
      </c>
      <c r="BM4" s="79" t="str">
        <f>IF(SUMIF(C6:$C$67,"件数",$BM$6:$BM$67)=0,"",SUMIF(C6:$C$67,"件数",$BM$6:$BM$67))</f>
        <v/>
      </c>
      <c r="BN4" s="79" t="str">
        <f>IF(SUMIF(C6:$C$67,"件数",$BN$6:$BN$67)=0,"",SUMIF(C6:$C$67,"件数",$BN$6:$BN$67))</f>
        <v/>
      </c>
      <c r="BO4" s="79" t="str">
        <f>IF(SUMIF(C6:$C$67,"件数",$BO$6:$BO$67)=0,"",SUMIF(C6:$C$67,"件数",$BO$6:$BO$67))</f>
        <v/>
      </c>
      <c r="BP4" s="79" t="str">
        <f>IF(SUMIF(C6:$C$67,"件数",$BP$6:$BP$67)=0,"",SUMIF(C6:$C$67,"件数",$BP$6:$BP$67))</f>
        <v/>
      </c>
      <c r="BQ4" s="79" t="str">
        <f>IF(SUMIF(C6:$C$67,"件数",$BQ$6:$BQ$67)=0,"",SUMIF(C6:$C$67,"件数",$BQ$6:$BQ$67))</f>
        <v/>
      </c>
      <c r="BR4" s="79" t="str">
        <f>IF(SUMIF(C6:$C$67,"件数",$BR$6:$BR$67)=0,"",SUMIF(C6:$C$67,"件数",$BR$6:$BR$67))</f>
        <v/>
      </c>
      <c r="BS4" s="79" t="str">
        <f>IF(SUMIF(C6:$C$67,"件数",$BS$6:$BS$67)=0,"",SUMIF(C6:$C$67,"件数",$BS$6:$BS$67))</f>
        <v/>
      </c>
      <c r="BT4" s="79" t="str">
        <f>IF(SUMIF(C6:$C$67,"件数",$BT$6:$BT$67)=0,"",SUMIF(C6:$C$67,"件数",$BT$6:$BT$67))</f>
        <v/>
      </c>
      <c r="BU4" s="79" t="str">
        <f>IF(SUMIF(C6:$C$67,"件数",$BU$6:$BU$67)=0,"",SUMIF(C6:$C$67,"件数",$BU$6:$BU$67))</f>
        <v/>
      </c>
      <c r="BV4" s="79" t="str">
        <f>IF(SUMIF(C6:$C$67,"件数",$BV$6:$BV$67)=0,"",SUMIF(C6:$C$67,"件数",$BV$6:$BV$67))</f>
        <v/>
      </c>
      <c r="BW4" s="79" t="str">
        <f>IF(SUMIF(C6:$C$67,"件数",$BW$6:$BW$67)=0,"",SUMIF(C6:$C$67,"件数",$BW$6:$BW$67))</f>
        <v/>
      </c>
      <c r="BX4" s="79" t="str">
        <f>IF(SUMIF(C6:$C$67,"件数",$BX$6:$BX$67)=0,"",SUMIF(C6:$C$67,"件数",$BX$6:$BX$67))</f>
        <v/>
      </c>
      <c r="BY4" s="79" t="str">
        <f>IF(SUMIF(C6:$C$67,"件数",$BY$6:$BY$67)=0,"",SUMIF(C6:$C$67,"件数",$BY$6:$BY$67))</f>
        <v/>
      </c>
      <c r="BZ4" s="79" t="str">
        <f>IF(SUMIF(C6:$C$67,"件数",$BZ$6:$BZ$67)=0,"",SUMIF(C6:$C$67,"件数",$BZ$6:$BZ$67))</f>
        <v/>
      </c>
      <c r="CA4" s="79" t="str">
        <f>IF(SUMIF(C6:$C$67,"件数",$CA$6:$CA$67)=0,"",SUMIF(C6:$C$67,"件数",$CA$6:$CA$67))</f>
        <v/>
      </c>
      <c r="CB4" s="79" t="str">
        <f>IF(SUMIF(C6:$C$67,"件数",$CB$6:$CB$67)=0,"",SUMIF(C6:$C$67,"件数",$CB$6:$CB$67))</f>
        <v/>
      </c>
      <c r="CC4" s="79" t="str">
        <f>IF(SUMIF(C6:$C$67,"件数",$CC$6:$CC$67)=0,"",SUMIF(C6:$C$67,"件数",$CC$6:$CC$67))</f>
        <v/>
      </c>
      <c r="CD4" s="79" t="str">
        <f>IF(SUMIF(C6:$C$67,"件数",$CD$6:$CD$67)=0,"",SUMIF(C6:$C$67,"件数",$CD$6:$CD$67))</f>
        <v/>
      </c>
      <c r="CE4" s="79" t="str">
        <f>IF(SUMIF(C6:$C$67,"件数",$CE$6:$CE$67)=0,"",SUMIF(C6:$C$67,"件数",$CE$6:$CE$67))</f>
        <v/>
      </c>
      <c r="CF4" s="79" t="str">
        <f>IF(SUMIF(C6:$C$67,"件数",$CF$6:$CF$67)=0,"",SUMIF(C6:$C$67,"件数",$CF$6:$CF$67))</f>
        <v/>
      </c>
      <c r="CG4" s="79" t="str">
        <f>IF(SUMIF(C6:$C$67,"件数",$CG$6:$CG$67)=0,"",SUMIF(C6:$C$67,"件数",$CG$6:$CG$67))</f>
        <v/>
      </c>
      <c r="CH4" s="79" t="str">
        <f>IF(SUMIF(C6:$C$67,"件数",$CH$6:$CH$67)=0,"",SUMIF(C6:$C$67,"件数",$CH$6:$CH$67))</f>
        <v/>
      </c>
      <c r="CI4" s="79" t="str">
        <f>IF(SUMIF(C6:$C$67,"件数",$CI$6:$CI$67)=0,"",SUMIF(C6:$C$67,"件数",$CI$6:$CI$67))</f>
        <v/>
      </c>
      <c r="CJ4" s="79" t="str">
        <f>IF(SUMIF(C6:$C$67,"件数",$CJ$6:$CJ$67)=0,"",SUMIF(C6:$C$67,"件数",$CJ$6:$CJ$67))</f>
        <v/>
      </c>
      <c r="CK4" s="79" t="str">
        <f>IF(SUMIF(C6:$C$67,"件数",$CK$6:$CK$67)=0,"",SUMIF(C6:$C$67,"件数",$CK$6:$CK$67))</f>
        <v/>
      </c>
      <c r="CL4" s="79" t="str">
        <f>IF(SUMIF(C6:$C$67,"件数",$CL$6:$CL$67)=0,"",SUMIF(C6:$C$67,"件数",$CL$6:$CL$67))</f>
        <v/>
      </c>
      <c r="CM4" s="79" t="str">
        <f>IF(SUMIF(C6:$C$67,"件数",$CM$6:$CM$67)=0,"",SUMIF(C6:$C$67,"件数",$CM$6:$CM$67))</f>
        <v/>
      </c>
      <c r="CN4" s="79" t="str">
        <f>IF(SUMIF(C6:$C$67,"件数",$CN$6:$CN$67)=0,"",SUMIF(C6:$C$67,"件数",$CN$6:$CN$67))</f>
        <v/>
      </c>
      <c r="CO4" s="79" t="str">
        <f>IF(SUMIF(C6:$C$67,"件数",$CO$6:$CO$67)=0,"",SUMIF(C6:$C$67,"件数",$CO$6:$CO$67))</f>
        <v/>
      </c>
      <c r="CP4" s="79" t="str">
        <f>IF(SUMIF(C6:$C$67,"件数",$CP$6:$CP$67)=0,"",SUMIF(C6:$C$67,"件数",$CP$6:$CP$67))</f>
        <v/>
      </c>
      <c r="CQ4" s="79" t="str">
        <f>IF(SUMIF(C6:$C$67,"件数",$CQ$6:$CQ$67)=0,"",SUMIF(C6:$C$67,"件数",$CQ$6:$CQ$67))</f>
        <v/>
      </c>
      <c r="CR4" s="79" t="str">
        <f>IF(SUMIF(C6:$C$67,"件数",$CR$6:$CR$67)=0,"",SUMIF(C6:$C$67,"件数",$CR$6:$CR$67))</f>
        <v/>
      </c>
      <c r="CS4" s="79" t="str">
        <f>IF(SUMIF(C6:$C$67,"件数",$CS$6:$CS$67)=0,"",SUMIF(C6:$C$67,"件数",$CS$6:$CS$67))</f>
        <v/>
      </c>
      <c r="CT4" s="79" t="str">
        <f>IF(SUMIF(C6:$C$67,"件数",$CT$6:$CT$67)=0,"",SUMIF(C6:$C$67,"件数",$CT$6:$CT$67))</f>
        <v/>
      </c>
      <c r="CU4" s="79" t="str">
        <f>IF(SUMIF(C6:$C$67,"件数",$CU$6:$CU$67)=0,"",SUMIF(C6:$C$67,"件数",$CU$6:$CU$67))</f>
        <v/>
      </c>
      <c r="CV4" s="79" t="str">
        <f>IF(SUMIF(C6:$C$67,"件数",$CV$6:$CV$67)=0,"",SUMIF(C6:$C$67,"件数",$CV$6:$CV$67))</f>
        <v/>
      </c>
      <c r="CW4" s="79" t="str">
        <f>IF(SUMIF(C6:$C$67,"件数",$CW$6:$CW$67)=0,"",SUMIF(C6:$C$67,"件数",$CW$6:$CW$67))</f>
        <v/>
      </c>
      <c r="CX4" s="79" t="str">
        <f>IF(SUMIF(C6:$C$67,"件数",$CX$6:$CX$67)=0,"",SUMIF(C6:$C$67,"件数",$CX$6:$CX$67))</f>
        <v/>
      </c>
      <c r="CY4" s="79" t="str">
        <f>IF(SUMIF(C6:$C$67,"件数",$CY$6:$CY$67)=0,"",SUMIF(C6:$C$67,"件数",$CY$6:$CY$67))</f>
        <v/>
      </c>
      <c r="CZ4" s="79" t="str">
        <f>IF(SUMIF(C6:$C$67,"件数",$CZ$6:$CZ$67)=0,"",SUMIF(C6:$C$67,"件数",$CZ$6:$CZ$67))</f>
        <v/>
      </c>
      <c r="DA4" s="79" t="str">
        <f>IF(SUMIF(C6:$C$67,"件数",$DA$6:$DA$67)=0,"",SUMIF(C6:$C$67,"件数",$DA$6:$DA$67))</f>
        <v/>
      </c>
      <c r="DB4" s="79" t="str">
        <f>IF(SUMIF(C6:$C$67,"件数",$DB$6:$DB$67)=0,"",SUMIF(C6:$C$67,"件数",$DB$6:$DB$67))</f>
        <v/>
      </c>
      <c r="DC4" s="79" t="str">
        <f>IF(SUMIF(C6:$C$67,"件数",$DC$6:$DC$67)=0,"",SUMIF(C6:$C$67,"件数",$DC$6:$DC$67))</f>
        <v/>
      </c>
      <c r="DD4" s="79">
        <f>IF(SUMIF(C6:$C$67,"件数",$DD$6:$DD$67)=0,"",SUMIF(C6:$C$67,"件数",$DD$6:$DD$67))</f>
        <v>2</v>
      </c>
      <c r="DE4" s="79">
        <f>IF(SUMIF(C6:$C$67,"件数",$DE$6:$DE$67)=0,"",SUMIF(C6:$C$67,"件数",$DE$6:$DE$67))</f>
        <v>2</v>
      </c>
      <c r="DF4" s="79" t="str">
        <f>IF(SUMIF(C6:$C$67,"件数",$DF$6:$DF$67)=0,"",SUMIF(C6:$C$67,"件数",$DF$6:$DF$67))</f>
        <v/>
      </c>
      <c r="DG4" s="79" t="str">
        <f>IF(SUMIF(C6:$C$67,"件数",$DG$6:$DG$67)=0,"",SUMIF(C6:$C$67,"件数",$DG$6:$DG$67))</f>
        <v/>
      </c>
      <c r="DH4" s="79" t="str">
        <f>IF(SUMIF(C6:$C$67,"件数",$DH$6:$DH$67)=0,"",SUMIF(C6:$C$67,"件数",$DH$6:$DH$67))</f>
        <v/>
      </c>
      <c r="DI4" s="79" t="str">
        <f>IF(SUMIF(C6:$C$67,"件数",$DI$6:$DI$67)=0,"",SUMIF(C6:$C$67,"件数",$DI$6:$DI$67))</f>
        <v/>
      </c>
      <c r="DJ4" s="79" t="str">
        <f>IF(SUMIF(C6:$C$67,"件数",$DJ$6:$DJ$67)=0,"",SUMIF(C6:$C$67,"件数",$DJ$6:$DJ$67))</f>
        <v/>
      </c>
      <c r="DK4" s="79" t="str">
        <f>IF(SUMIF(C6:$C$67,"件数",$DK$6:$DK$67)=0,"",SUMIF(C6:$C$67,"件数",$DK$6:$DK$67))</f>
        <v/>
      </c>
      <c r="DL4" s="79" t="str">
        <f>IF(SUMIF(C6:$C$67,"件数",$DL$6:$DL$67)=0,"",SUMIF(C6:$C$67,"件数",$DL$6:$DL$67))</f>
        <v/>
      </c>
      <c r="DM4" s="79" t="str">
        <f>IF(SUMIF(C6:$C$67,"件数",$DM$6:$DM$67)=0,"",SUMIF(C6:$C$67,"件数",$DM$6:$DM$67))</f>
        <v/>
      </c>
      <c r="DN4" s="79" t="str">
        <f>IF(SUMIF(C6:$C$67,"件数",$DN$6:$DN$67)=0,"",SUMIF(C6:$C$67,"件数",$DN$6:$DN$67))</f>
        <v/>
      </c>
      <c r="DO4" s="79" t="str">
        <f>IF(SUMIF(C6:$C$67,"件数",$DO$6:$DO$67)=0,"",SUMIF(C6:$C$67,"件数",$DO$6:$DO$67))</f>
        <v/>
      </c>
      <c r="DP4" s="79" t="str">
        <f>IF(SUMIF(C6:$C$67,"件数",$DP$6:$DP$67)=0,"",SUMIF(C6:$C$67,"件数",$DP$6:$DP$67))</f>
        <v/>
      </c>
      <c r="DQ4" s="79" t="str">
        <f>IF(SUMIF(C6:$C$67,"件数",$DQ$6:$DQ$67)=0,"",SUMIF(C6:$C$67,"件数",$DQ$6:$DQ$67))</f>
        <v/>
      </c>
      <c r="DR4" s="79" t="str">
        <f>IF(SUMIF(C6:$C$67,"件数",$DR$6:$DR$67)=0,"",SUMIF(C6:$C$67,"件数",$DR$6:$DR$67))</f>
        <v/>
      </c>
      <c r="DS4" s="79" t="str">
        <f>IF(SUMIF(C6:$C$67,"件数",$DS$6:$DS$67)=0,"",SUMIF(C6:$C$67,"件数",$DS$6:$DS$67))</f>
        <v/>
      </c>
      <c r="DT4" s="79" t="str">
        <f>IF(SUMIF(C6:$C$67,"件数",$DT$6:$DT$67)=0,"",SUMIF(C6:$C$67,"件数",$DT$6:$DT$67))</f>
        <v/>
      </c>
      <c r="DU4" s="79" t="str">
        <f>IF(SUMIF(C6:$C$67,"件数",$DU$6:$DU$67)=0,"",SUMIF(C6:$C$67,"件数",$DU$6:$DU$67))</f>
        <v/>
      </c>
      <c r="DV4" s="79" t="str">
        <f>IF(SUMIF(C6:$C$67,"件数",$DV$6:$DV$67)=0,"",SUMIF(C6:$C$67,"件数",$DV$6:$DV$67))</f>
        <v/>
      </c>
      <c r="DW4" s="79" t="str">
        <f>IF(SUMIF(C6:$C$67,"件数",$DW$6:$DW$67)=0,"",SUMIF(C6:$C$67,"件数",$DW$6:$DW$67))</f>
        <v/>
      </c>
      <c r="DX4" s="79" t="str">
        <f>IF(SUMIF(C6:$C$67,"件数",$DX$6:$DX$67)=0,"",SUMIF(C6:$C$67,"件数",$DX$6:$DX$67))</f>
        <v/>
      </c>
      <c r="DY4" s="79" t="str">
        <f>IF(SUMIF(C6:$C$67,"件数",$DY$6:$DY$67)=0,"",SUMIF(C6:$C$67,"件数",$DY$6:$DY$67))</f>
        <v/>
      </c>
      <c r="DZ4" s="79" t="str">
        <f>IF(SUMIF(C6:$C$67,"件数",$DZ$6:$DZ$67)=0,"",SUMIF(C6:$C$67,"件数",$DZ$6:$DZ$67))</f>
        <v/>
      </c>
      <c r="EA4" s="79" t="str">
        <f>IF(SUMIF(C6:$C$67,"件数",$EA$6:$EA$67)=0,"",SUMIF(C6:$C$67,"件数",$EA$6:$EA$67))</f>
        <v/>
      </c>
      <c r="EB4" s="79" t="str">
        <f>IF(SUMIF(C6:$C$67,"件数",$EB$6:$EB$67)=0,"",SUMIF(C6:$C$67,"件数",$EB$6:$EB$67))</f>
        <v/>
      </c>
      <c r="EC4" s="79" t="str">
        <f>IF(SUMIF(C6:$C$67,"件数",$EC$6:$EC$67)=0,"",SUMIF(C6:$C$67,"件数",$EC$6:$EC$67))</f>
        <v/>
      </c>
      <c r="ED4" s="79" t="str">
        <f>IF(SUMIF(C6:$C$67,"件数",$ED$6:$ED$67)=0,"",SUMIF(C6:$C$67,"件数",$ED$6:$ED$67))</f>
        <v/>
      </c>
      <c r="EE4" s="79" t="str">
        <f>IF(SUMIF(C6:$C$67,"件数",$EE$6:$EE$67)=0,"",SUMIF(C6:$C$67,"件数",$EE$6:$EE$67))</f>
        <v/>
      </c>
      <c r="EF4" s="79" t="str">
        <f>IF(SUMIF(C6:$C$67,"件数",$EF$6:$EF$67)=0,"",SUMIF(C6:$C$67,"件数",$EF$6:$EF$67))</f>
        <v/>
      </c>
      <c r="EG4" s="79" t="str">
        <f>IF(SUMIF(C6:$C$67,"件数",$EG$6:$EG$67)=0,"",SUMIF(C6:$C$67,"件数",$EG$6:$EG$67))</f>
        <v/>
      </c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</row>
    <row r="5" spans="1:298" s="3" customFormat="1" ht="15.75" customHeight="1" thickBot="1">
      <c r="B5" s="124"/>
      <c r="C5" s="125"/>
      <c r="D5" s="80" t="str">
        <f>IF(SUMIF(C6:$C$67,"時間",$D$6:$D$67)=0,"",SUMIF(C6:$C$67,"時間",$D$6:$D$67))</f>
        <v/>
      </c>
      <c r="E5" s="80">
        <f>IF(SUMIF(C6:$C$67,"時間",$E$6:$E$67)=0,"",SUMIF(C6:$C$67,"時間",$E$6:$E$67))</f>
        <v>120</v>
      </c>
      <c r="F5" s="80">
        <f>IF(SUMIF(C6:$C$67,"時間",$F$6:$F$67)=0,"",SUMIF(C6:$C$67,"時間",$F$6:$F$67))</f>
        <v>27</v>
      </c>
      <c r="G5" s="80"/>
      <c r="H5" s="80" t="str">
        <f>IF(SUMIF(C6:$C$67,"時間",$H$6:$H$67)=0,"",SUMIF(C6:$C$67,"時間",$H$6:$H$67))</f>
        <v/>
      </c>
      <c r="I5" s="80" t="str">
        <f>IF(SUMIF(C6:$C$67,"時間",$I$6:$I$67)=0,"",SUMIF(C6:$C$67,"時間",$I$6:$I$67))</f>
        <v/>
      </c>
      <c r="J5" s="80" t="str">
        <f>IF(SUMIF(C6:$C$67,"時間",$J$6:$J$67)=0,"",SUMIF(C6:$C$67,"時間",$J$6:$J$67))</f>
        <v/>
      </c>
      <c r="K5" s="80" t="str">
        <f>IF(SUMIF(C6:$C$67,"時間",$K$6:$K$67)=0,"",SUMIF(C6:$C$67,"時間",$K$6:$K$67))</f>
        <v/>
      </c>
      <c r="L5" s="80" t="str">
        <f>IF(SUMIF(C6:$C$67,"時間",$L$6:$L$67)=0,"",SUMIF(C6:$C$67,"時間",$L$6:$L$67))</f>
        <v/>
      </c>
      <c r="M5" s="80" t="str">
        <f>IF(SUMIF(C6:$C$67,"時間",$M$6:$M$67)=0,"",SUMIF(C6:$C$67,"時間",$M$6:$M$67))</f>
        <v/>
      </c>
      <c r="N5" s="80" t="str">
        <f>IF(SUMIF(C6:$C$67,"時間",$N$6:$N$67)=0,"",SUMIF(C6:$C$67,"時間",$N$6:$N$67))</f>
        <v/>
      </c>
      <c r="O5" s="80"/>
      <c r="P5" s="80" t="str">
        <f>IF(SUMIF(C6:$C$67,"時間",$P$6:$P$67)=0,"",SUMIF(C6:$C$67,"時間",$P$6:$P$67))</f>
        <v/>
      </c>
      <c r="Q5" s="80" t="str">
        <f>IF(SUMIF(C6:$C$67,"時間",$Q$6:$Q$67)=0,"",SUMIF(C6:$C$67,"時間",$Q$6:$Q$67))</f>
        <v/>
      </c>
      <c r="R5" s="80" t="str">
        <f>IF(SUMIF(C6:$C$67,"時間",$R$6:$R$67)=0,"",SUMIF(C6:$C$67,"時間",$R$6:$R$67))</f>
        <v/>
      </c>
      <c r="S5" s="80" t="str">
        <f>IF(SUMIF(C6:$C$67,"時間",$S$6:$S$67)=0,"",SUMIF(C6:$C$67,"時間",$S$6:$S$67))</f>
        <v/>
      </c>
      <c r="T5" s="80" t="str">
        <f>IF(SUMIF(C6:$C$67,"時間",$T$6:$T$67)=0,"",SUMIF(C6:$C$67,"時間",$T$6:$T$67))</f>
        <v/>
      </c>
      <c r="U5" s="80" t="str">
        <f>IF(SUMIF(C6:$C$67,"時間",$U$6:$U$67)=0,"",SUMIF(C6:$C$67,"時間",$U$6:$U$67))</f>
        <v/>
      </c>
      <c r="V5" s="80" t="str">
        <f>IF(SUMIF(C6:$C$67,"時間",$V$6:$V$67)=0,"",SUMIF(C6:$C$67,"時間",$V$6:$V$67))</f>
        <v/>
      </c>
      <c r="W5" s="80" t="str">
        <f>IF(SUMIF(C6:$C$67,"時間",$W$6:$W$67)=0,"",SUMIF(C6:$C$67,"時間",$W$6:$W$67))</f>
        <v/>
      </c>
      <c r="X5" s="80" t="str">
        <f>IF(SUMIF(C6:$C$67,"時間",$X$6:$X$67)=0,"",SUMIF(C6:$C$67,"時間",$X$6:$X$67))</f>
        <v/>
      </c>
      <c r="Y5" s="80" t="str">
        <f>IF(SUMIF(C6:$C$67,"時間",$Y$6:$Y$67)=0,"",SUMIF(C6:$C$67,"時間",$Y$6:$Y$67))</f>
        <v/>
      </c>
      <c r="Z5" s="80" t="str">
        <f>IF(SUMIF(C6:$C$67,"時間",$Z$6:$Z$67)=0,"",SUMIF(C6:$C$67,"時間",$Z$6:$Z$67))</f>
        <v/>
      </c>
      <c r="AA5" s="80" t="str">
        <f>IF(SUMIF(C6:$C$67,"時間",$AA$6:$AA$67)=0,"",SUMIF(C6:$C$67,"時間",$AA$6:$AA$67))</f>
        <v/>
      </c>
      <c r="AB5" s="80" t="str">
        <f>IF(SUMIF(C6:$C$67,"時間",$AB$6:$AB$67)=0,"",SUMIF(C6:$C$67,"時間",$AB$6:$AB$67))</f>
        <v/>
      </c>
      <c r="AC5" s="80" t="str">
        <f>IF(SUMIF(C6:$C$67,"時間",$AC$6:$AC$67)=0,"",SUMIF(C6:$C$67,"時間",$AC$6:$AC$67))</f>
        <v/>
      </c>
      <c r="AD5" s="80" t="str">
        <f>IF(SUMIF(C6:$C$67,"時間",$AD$6:$AD$67)=0,"",SUMIF(C6:$C$67,"時間",$AD$6:$AD$67))</f>
        <v/>
      </c>
      <c r="AE5" s="80" t="str">
        <f>IF(SUMIF(C6:$C$67,"時間",$AE$6:$AE$67)=0,"",SUMIF(C6:$C$67,"時間",$AE$6:$AE$67))</f>
        <v/>
      </c>
      <c r="AF5" s="80" t="str">
        <f>IF(SUMIF(C6:$C$67,"時間",$AF$6:$AF$67)=0,"",SUMIF(C6:$C$67,"時間",$AF$6:$AF$67))</f>
        <v/>
      </c>
      <c r="AG5" s="80" t="str">
        <f>IF(SUMIF(C6:$C$67,"時間",$AG$6:$AG$67)=0,"",SUMIF(C6:$C$67,"時間",$AG$6:$AG$67))</f>
        <v/>
      </c>
      <c r="AH5" s="80" t="str">
        <f>IF(SUMIF(C6:$C$67,"時間",$AH$6:$AH$67)=0,"",SUMIF(C6:$C$67,"時間",$AH$6:$AH$67))</f>
        <v/>
      </c>
      <c r="AI5" s="80" t="str">
        <f>IF(SUMIF(C6:$C$67,"時間",$AI$6:$AI$67)=0,"",SUMIF(C6:$C$67,"時間",$AI$6:$AI$67))</f>
        <v/>
      </c>
      <c r="AJ5" s="80" t="str">
        <f>IF(SUMIF(C6:$C$67,"時間",$AJ$6:$AJ$67)=0,"",SUMIF(C6:$C$67,"時間",$AJ$6:$AJ$67))</f>
        <v/>
      </c>
      <c r="AK5" s="80" t="str">
        <f>IF(SUMIF(C6:$C$67,"時間",$AK$6:$AK$67)=0,"",SUMIF(C6:$C$67,"時間",$AK$6:$AK$67))</f>
        <v/>
      </c>
      <c r="AL5" s="80" t="str">
        <f>IF(SUMIF(C6:$C$67,"時間",$AL$6:$AL$67)=0,"",SUMIF(C6:$C$67,"時間",$AL$6:$AL$67))</f>
        <v/>
      </c>
      <c r="AM5" s="80" t="str">
        <f>IF(SUMIF(C6:$C$67,"時間",$AM$6:$AM$67)=0,"",SUMIF(C6:$C$67,"時間",$AM$6:$AM$67))</f>
        <v/>
      </c>
      <c r="AN5" s="80" t="str">
        <f>IF(SUMIF(C6:$C$67,"時間",$AN$6:$AN$67)=0,"",SUMIF(C6:$C$67,"時間",$AN$6:$AN$67))</f>
        <v/>
      </c>
      <c r="AO5" s="80" t="str">
        <f>IF(SUMIF(C6:$C$67,"時間",$AO$6:$AO$67)=0,"",SUMIF(C6:$C$67,"時間",$AO$6:$AO$67))</f>
        <v/>
      </c>
      <c r="AP5" s="80" t="str">
        <f>IF(SUMIF(C6:$C$67,"時間",$AP$6:$AP$67)=0,"",SUMIF(C6:$C$67,"時間",$AP$6:$AP$67))</f>
        <v/>
      </c>
      <c r="AQ5" s="80" t="str">
        <f>IF(SUMIF(C6:$C$67,"時間",$AQ$6:$AQ$67)=0,"",SUMIF(C6:$C$67,"時間",$AQ$6:$AQ$67))</f>
        <v/>
      </c>
      <c r="AR5" s="80" t="str">
        <f>IF(SUMIF(C6:$C$67,"時間",$AR$6:$AR$67)=0,"",SUMIF(C6:$C$67,"時間",$AR$6:$AR$67))</f>
        <v/>
      </c>
      <c r="AS5" s="80" t="str">
        <f>IF(SUMIF(C6:$C$67,"時間",$AS$6:$AS$67)=0,"",SUMIF(C6:$C$67,"時間",$AS$6:$AS$67))</f>
        <v/>
      </c>
      <c r="AT5" s="80" t="str">
        <f>IF(SUMIF(C6:$C$67,"時間",$AT$6:$AT$67)=0,"",SUMIF(C6:$C$67,"時間",$AT$6:$AT$67))</f>
        <v/>
      </c>
      <c r="AU5" s="80" t="str">
        <f>IF(SUMIF(C6:$C$67,"時間",$AU$6:$AU$67)=0,"",SUMIF(C6:$C$67,"時間",$AU$6:$AU$67))</f>
        <v/>
      </c>
      <c r="AV5" s="80" t="str">
        <f>IF(SUMIF(C6:$C$67,"時間",$AV$6:$AV$67)=0,"",SUMIF(C6:$C$67,"時間",$AV$6:$AV$67))</f>
        <v/>
      </c>
      <c r="AW5" s="80" t="str">
        <f>IF(SUMIF(C6:$C$67,"時間",$AW$6:$AW$67)=0,"",SUMIF(C6:$C$67,"時間",$AW$6:$AW$67))</f>
        <v/>
      </c>
      <c r="AX5" s="80" t="str">
        <f>IF(SUMIF(C6:$C$67,"時間",$AX$6:$AX$67)=0,"",SUMIF(C6:$C$67,"時間",$AX$6:$AX$67))</f>
        <v/>
      </c>
      <c r="AY5" s="80" t="str">
        <f>IF(SUMIF(C6:$C$67,"時間",$AY$6:$AY$67)=0,"",SUMIF(C6:$C$67,"時間",$AY$6:$AY$67))</f>
        <v/>
      </c>
      <c r="AZ5" s="80" t="str">
        <f>IF(SUMIF(C6:$C$67,"時間",$AZ$6:$AZ$67)=0,"",SUMIF(C6:$C$67,"時間",$AZ$6:$AZ$67))</f>
        <v/>
      </c>
      <c r="BA5" s="80" t="str">
        <f>IF(SUMIF(C6:$C$67,"時間",$BA$6:$BA$67)=0,"",SUMIF(C6:$C$67,"時間",$BA$6:$BA$67))</f>
        <v/>
      </c>
      <c r="BB5" s="80" t="str">
        <f>IF(SUMIF(C6:$C$67,"時間",$BB$6:$BB$67)=0,"",SUMIF(C6:$C$67,"時間",$BB$6:$BB$67))</f>
        <v/>
      </c>
      <c r="BC5" s="80" t="str">
        <f>IF(SUMIF(C6:$C$67,"時間",$BC$6:$BC$67)=0,"",SUMIF(C6:$C$67,"時間",$BC$6:$BC$67))</f>
        <v/>
      </c>
      <c r="BD5" s="80" t="str">
        <f>IF(SUMIF(C6:$C$67,"時間",$BD$6:$BD$67)=0,"",SUMIF(C6:$C$67,"時間",$BD$6:$BD$67))</f>
        <v/>
      </c>
      <c r="BE5" s="80" t="str">
        <f>IF(SUMIF(C6:$C$67,"時間",$BE$6:$BE$67)=0,"",SUMIF(C6:$C$67,"時間",$BE$6:$BE$67))</f>
        <v/>
      </c>
      <c r="BF5" s="80" t="str">
        <f>IF(SUMIF(C6:$C$67,"時間",$BF$6:$BF$67)=0,"",SUMIF(C6:$C$67,"時間",$BF$6:$BF$67))</f>
        <v/>
      </c>
      <c r="BG5" s="80" t="str">
        <f>IF(SUMIF(C6:$C$67,"時間",$BG$6:$BG$67)=0,"",SUMIF(C6:$C$67,"時間",$BG$6:$BG$67))</f>
        <v/>
      </c>
      <c r="BH5" s="80" t="str">
        <f>IF(SUMIF(C6:$C$67,"時間",$BH$6:$BH$67)=0,"",SUMIF(C6:$C$67,"時間",$BH$6:$BH$67))</f>
        <v/>
      </c>
      <c r="BI5" s="80" t="str">
        <f>IF(SUMIF(C6:$C$67,"時間",$BI$6:$BI$67)=0,"",SUMIF(C6:$C$67,"時間",$BI$6:$BI$67))</f>
        <v/>
      </c>
      <c r="BJ5" s="80" t="str">
        <f>IF(SUMIF(C6:$C$67,"時間",$BJ$6:$BJ$67)=0,"",SUMIF(C6:$C$67,"時間",$BJ$6:$BJ$67))</f>
        <v/>
      </c>
      <c r="BK5" s="80" t="str">
        <f>IF(SUMIF(C6:$C$67,"時間",$BK$6:$BK$67)=0,"",SUMIF(C6:$C$67,"時間",$BK$6:$BK$67))</f>
        <v/>
      </c>
      <c r="BL5" s="80" t="str">
        <f>IF(SUMIF(C6:$C$67,"時間",$BL$6:$BL$67)=0,"",SUMIF(C6:$C$67,"時間",$BL$6:$BL$67))</f>
        <v/>
      </c>
      <c r="BM5" s="80" t="str">
        <f>IF(SUMIF(C6:$C$67,"時間",$BM$6:$BM$67)=0,"",SUMIF(C6:$C$67,"時間",$BM$6:$BM$67))</f>
        <v/>
      </c>
      <c r="BN5" s="80" t="str">
        <f>IF(SUMIF(C6:$C$67,"時間",$BN$6:$BN$67)=0,"",SUMIF(C6:$C$67,"時間",$BN$6:$BN$67))</f>
        <v/>
      </c>
      <c r="BO5" s="80" t="str">
        <f>IF(SUMIF(C6:$C$67,"時間",$BO$6:$BO$67)=0,"",SUMIF(C6:$C$67,"時間",$BO$6:$BO$67))</f>
        <v/>
      </c>
      <c r="BP5" s="80" t="str">
        <f>IF(SUMIF(C6:$C$67,"時間",$BP$6:$BP$67)=0,"",SUMIF(C6:$C$67,"時間",$BP$6:$BP$67))</f>
        <v/>
      </c>
      <c r="BQ5" s="80" t="str">
        <f>IF(SUMIF(C6:$C$67,"時間",$BQ$6:$BQ$67)=0,"",SUMIF(C6:$C$67,"時間",$BQ$6:$BQ$67))</f>
        <v/>
      </c>
      <c r="BR5" s="80" t="str">
        <f>IF(SUMIF(C6:$C$67,"時間",$BR$6:$BR$67)=0,"",SUMIF(C6:$C$67,"時間",$BR$6:$BR$67))</f>
        <v/>
      </c>
      <c r="BS5" s="80" t="str">
        <f>IF(SUMIF(C6:$C$67,"時間",$BS$6:$BS$67)=0,"",SUMIF(C6:$C$67,"時間",$BS$6:$BS$67))</f>
        <v/>
      </c>
      <c r="BT5" s="80" t="str">
        <f>IF(SUMIF(C6:$C$67,"時間",$BT$6:$BT$67)=0,"",SUMIF(C6:$C$67,"時間",$BT$6:$BT$67))</f>
        <v/>
      </c>
      <c r="BU5" s="80" t="str">
        <f>IF(SUMIF(C6:$C$67,"時間",$BU$6:$BU$67)=0,"",SUMIF(C6:$C$67,"時間",$BU$6:$BU$67))</f>
        <v/>
      </c>
      <c r="BV5" s="80" t="str">
        <f>IF(SUMIF(C6:$C$67,"時間",$BV$6:$BV$67)=0,"",SUMIF(C6:$C$67,"時間",$BV$6:$BV$67))</f>
        <v/>
      </c>
      <c r="BW5" s="80" t="str">
        <f>IF(SUMIF(C6:$C$67,"時間",$BW$6:$BW$67)=0,"",SUMIF(C6:$C$67,"時間",$BW$6:$BW$67))</f>
        <v/>
      </c>
      <c r="BX5" s="80" t="str">
        <f>IF(SUMIF(C6:$C$67,"時間",$BX$6:$BX$67)=0,"",SUMIF(C6:$C$67,"時間",$BX$6:$BX$67))</f>
        <v/>
      </c>
      <c r="BY5" s="80" t="str">
        <f>IF(SUMIF(C6:$C$67,"時間",$BY$6:$BY$67)=0,"",SUMIF(C6:$C$67,"時間",$BY$6:$BY$67))</f>
        <v/>
      </c>
      <c r="BZ5" s="80" t="str">
        <f>IF(SUMIF(C6:$C$67,"時間",$BZ$6:$BZ$67)=0,"",SUMIF(C6:$C$67,"時間",$BZ$6:$BZ$67))</f>
        <v/>
      </c>
      <c r="CA5" s="80" t="str">
        <f>IF(SUMIF(C6:$C$67,"時間",$CA$6:$CA$67)=0,"",SUMIF(C6:$C$67,"時間",$CA$6:$CA$67))</f>
        <v/>
      </c>
      <c r="CB5" s="80" t="str">
        <f>IF(SUMIF(C6:$C$67,"時間",$CB$6:$CB$67)=0,"",SUMIF(C6:$C$67,"時間",$CB$6:$CB$67))</f>
        <v/>
      </c>
      <c r="CC5" s="80" t="str">
        <f>IF(SUMIF(C6:$C$67,"時間",$CC$6:$CC$67)=0,"",SUMIF(C6:$C$67,"時間",$CC$6:$CC$67))</f>
        <v/>
      </c>
      <c r="CD5" s="80" t="str">
        <f>IF(SUMIF(C6:$C$67,"時間",$CD$6:$CD$67)=0,"",SUMIF(C6:$C$67,"時間",$CD$6:$CD$67))</f>
        <v/>
      </c>
      <c r="CE5" s="80" t="str">
        <f>IF(SUMIF(C6:$C$67,"時間",$CE$6:$CE$67)=0,"",SUMIF(C6:$C$67,"時間",$CE$6:$CE$67))</f>
        <v/>
      </c>
      <c r="CF5" s="80" t="str">
        <f>IF(SUMIF(C6:$C$67,"時間",$CF$6:$CF$67)=0,"",SUMIF(C6:$C$67,"時間",$CF$6:$CF$67))</f>
        <v/>
      </c>
      <c r="CG5" s="80" t="str">
        <f>IF(SUMIF(C6:$C$67,"時間",$CG$6:$CG$67)=0,"",SUMIF(C6:$C$67,"時間",$CG$6:$CG$67))</f>
        <v/>
      </c>
      <c r="CH5" s="80" t="str">
        <f>IF(SUMIF(C6:$C$67,"時間",$CH$6:$CH$67)=0,"",SUMIF(C6:$C$67,"時間",$CH$6:$CH$67))</f>
        <v/>
      </c>
      <c r="CI5" s="80" t="str">
        <f>IF(SUMIF(C6:$C$67,"時間",$CI$6:$CI$67)=0,"",SUMIF(C6:$C$67,"時間",$CI$6:$CI$67))</f>
        <v/>
      </c>
      <c r="CJ5" s="80" t="str">
        <f>IF(SUMIF(C6:$C$67,"時間",$CJ$6:$CJ$67)=0,"",SUMIF(C6:$C$67,"時間",$CJ$6:$CJ$67))</f>
        <v/>
      </c>
      <c r="CK5" s="80" t="str">
        <f>IF(SUMIF(C6:$C$67,"時間",$CK$6:$CK$67)=0,"",SUMIF(C6:$C$67,"時間",$CK$6:$CK$67))</f>
        <v/>
      </c>
      <c r="CL5" s="80" t="str">
        <f>IF(SUMIF(C6:$C$67,"時間",$CL$6:$CL$67)=0,"",SUMIF(C6:$C$67,"時間",$CL$6:$CL$67))</f>
        <v/>
      </c>
      <c r="CM5" s="80" t="str">
        <f>IF(SUMIF(C6:$C$67,"時間",$CM$6:$CM$67)=0,"",SUMIF(C6:$C$67,"時間",$CM$6:$CM$67))</f>
        <v/>
      </c>
      <c r="CN5" s="80" t="str">
        <f>IF(SUMIF(C6:$C$67,"時間",$CN$6:$CN$67)=0,"",SUMIF(C6:$C$67,"時間",$CN$6:$CN$67))</f>
        <v/>
      </c>
      <c r="CO5" s="80" t="str">
        <f>IF(SUMIF(C6:$C$67,"時間",$CO$6:$CO$67)=0,"",SUMIF(C6:$C$67,"時間",$CO$6:$CO$67))</f>
        <v/>
      </c>
      <c r="CP5" s="80" t="str">
        <f>IF(SUMIF(C6:$C$67,"時間",$CP$6:$CP$67)=0,"",SUMIF(C6:$C$67,"時間",$CP$6:$CP$67))</f>
        <v/>
      </c>
      <c r="CQ5" s="80" t="str">
        <f>IF(SUMIF(C6:$C$67,"時間",$CQ$6:$CQ$67)=0,"",SUMIF(C6:$C$67,"時間",$CQ$6:$CQ$67))</f>
        <v/>
      </c>
      <c r="CR5" s="80" t="str">
        <f>IF(SUMIF(C6:$C$67,"時間",$CR$6:$CR$67)=0,"",SUMIF(C6:$C$67,"時間",$CR$6:$CR$67))</f>
        <v/>
      </c>
      <c r="CS5" s="80" t="str">
        <f>IF(SUMIF(C6:$C$67,"時間",$CS$6:$CS$67)=0,"",SUMIF(C6:$C$67,"時間",$CS$6:$CS$67))</f>
        <v/>
      </c>
      <c r="CT5" s="80" t="str">
        <f>IF(SUMIF(C6:$C$67,"時間",$CT$6:$CT$67)=0,"",SUMIF(C6:$C$67,"時間",$CT$6:$CT$67))</f>
        <v/>
      </c>
      <c r="CU5" s="80" t="str">
        <f>IF(SUMIF(C6:$C$67,"時間",$CU$6:$CU$67)=0,"",SUMIF(C6:$C$67,"時間",$CU$6:$CU$67))</f>
        <v/>
      </c>
      <c r="CV5" s="80" t="str">
        <f>IF(SUMIF(C6:$C$67,"時間",$CV$6:$CV$67)=0,"",SUMIF(C6:$C$67,"時間",$CV$6:$CV$67))</f>
        <v/>
      </c>
      <c r="CW5" s="80" t="str">
        <f>IF(SUMIF(C6:$C$67,"時間",$CW$6:$CW$67)=0,"",SUMIF(C6:$C$67,"時間",$CW$6:$CW$67))</f>
        <v/>
      </c>
      <c r="CX5" s="80" t="str">
        <f>IF(SUMIF(C6:$C$67,"時間",$CX$6:$CX$67)=0,"",SUMIF(C6:$C$67,"時間",$CX$6:$CX$67))</f>
        <v/>
      </c>
      <c r="CY5" s="80" t="str">
        <f>IF(SUMIF(C6:$C$67,"時間",$CY$6:$CY$67)=0,"",SUMIF(C6:$C$67,"時間",$CY$6:$CY$67))</f>
        <v/>
      </c>
      <c r="CZ5" s="80" t="str">
        <f>IF(SUMIF(C6:$C$67,"時間",$CZ$6:$CZ$67)=0,"",SUMIF(C6:$C$67,"時間",$CZ$6:$CZ$67))</f>
        <v/>
      </c>
      <c r="DA5" s="80" t="str">
        <f>IF(SUMIF(C6:$C$67,"時間",$DA$6:$DA$67)=0,"",SUMIF(C6:$C$67,"時間",$DA$6:$DA$67))</f>
        <v/>
      </c>
      <c r="DB5" s="80" t="str">
        <f>IF(SUMIF(C6:$C$67,"時間",$DB$6:$DB$67)=0,"",SUMIF(C6:$C$67,"時間",$DB$6:$DB$67))</f>
        <v/>
      </c>
      <c r="DC5" s="80" t="str">
        <f>IF(SUMIF(C6:$C$67,"時間",$DC$6:$DC$67)=0,"",SUMIF(C6:$C$67,"時間",$DC$6:$DC$67))</f>
        <v/>
      </c>
      <c r="DD5" s="80">
        <f>IF(SUMIF(C6:$C$67,"時間",$DD$6:$DD$67)=0,"",SUMIF(C6:$C$67,"時間",$DD$6:$DD$67))</f>
        <v>33</v>
      </c>
      <c r="DE5" s="80">
        <f>IF(SUMIF(C6:$C$67,"時間",$DE$6:$DE$67)=0,"",SUMIF(C6:$C$67,"時間",$DE$6:$DE$67))</f>
        <v>15</v>
      </c>
      <c r="DF5" s="80" t="str">
        <f>IF(SUMIF(C6:$C$67,"時間",$DF$6:$DF$67)=0,"",SUMIF(C6:$C$67,"時間",$DF$6:$DF$67))</f>
        <v/>
      </c>
      <c r="DG5" s="80" t="str">
        <f>IF(SUMIF(C6:$C$67,"時間",$DG$6:$DG$67)=0,"",SUMIF(C6:$C$67,"時間",$DG$6:$DG$67))</f>
        <v/>
      </c>
      <c r="DH5" s="80" t="str">
        <f>IF(SUMIF(C6:$C$67,"時間",$DH$6:$DH$67)=0,"",SUMIF(C6:$C$67,"時間",$DH$6:$DH$67))</f>
        <v/>
      </c>
      <c r="DI5" s="80" t="str">
        <f>IF(SUMIF(C6:$C$67,"時間",$DI$6:$DI$67)=0,"",SUMIF(C6:$C$67,"時間",$DI$6:$DI$67))</f>
        <v/>
      </c>
      <c r="DJ5" s="80" t="str">
        <f>IF(SUMIF(C6:$C$67,"時間",$DJ$6:$DJ$67)=0,"",SUMIF(C6:$C$67,"時間",$DJ$6:$DJ$67))</f>
        <v/>
      </c>
      <c r="DK5" s="80" t="str">
        <f>IF(SUMIF(C6:$C$67,"時間",$DK$6:$DK$67)=0,"",SUMIF(C6:$C$67,"時間",$DK$6:$DK$67))</f>
        <v/>
      </c>
      <c r="DL5" s="80" t="str">
        <f>IF(SUMIF(C6:$C$67,"時間",$DL$6:$DL$67)=0,"",SUMIF(C6:$C$67,"時間",$DL$6:$DL$67))</f>
        <v/>
      </c>
      <c r="DM5" s="80" t="str">
        <f>IF(SUMIF(C6:$C$67,"時間",$DM$6:$DM$67)=0,"",SUMIF(C6:$C$67,"時間",$DM$6:$DM$67))</f>
        <v/>
      </c>
      <c r="DN5" s="80" t="str">
        <f>IF(SUMIF(C6:$C$67,"時間",$DN$6:$DN$67)=0,"",SUMIF(C6:$C$67,"時間",$DN$6:$DN$67))</f>
        <v/>
      </c>
      <c r="DO5" s="80" t="str">
        <f>IF(SUMIF(C6:$C$67,"時間",$DO$6:$DO$67)=0,"",SUMIF(C6:$C$67,"時間",$DO$6:$DO$67))</f>
        <v/>
      </c>
      <c r="DP5" s="80" t="str">
        <f>IF(SUMIF(C6:$C$67,"時間",$DP$6:$DP$67)=0,"",SUMIF(C6:$C$67,"時間",$DP$6:$DP$67))</f>
        <v/>
      </c>
      <c r="DQ5" s="80" t="str">
        <f>IF(SUMIF(C6:$C$67,"時間",$DQ$6:$DQ$67)=0,"",SUMIF(C6:$C$67,"時間",$DQ$6:$DQ$67))</f>
        <v/>
      </c>
      <c r="DR5" s="80" t="str">
        <f>IF(SUMIF(C6:$C$67,"時間",$DR$6:$DR$67)=0,"",SUMIF(C6:$C$67,"時間",$DR$6:$DR$67))</f>
        <v/>
      </c>
      <c r="DS5" s="80" t="str">
        <f>IF(SUMIF(C6:$C$67,"時間",$DS$6:$DS$67)=0,"",SUMIF(C6:$C$67,"時間",$DS$6:$DS$67))</f>
        <v/>
      </c>
      <c r="DT5" s="80" t="str">
        <f>IF(SUMIF(C6:$C$67,"時間",$DT$6:$DT$67)=0,"",SUMIF(C6:$C$67,"時間",$DT$6:$DT$67))</f>
        <v/>
      </c>
      <c r="DU5" s="80" t="str">
        <f>IF(SUMIF(C6:$C$67,"時間",$DU$6:$DU$67)=0,"",SUMIF(C6:$C$67,"時間",$DU$6:$DU$67))</f>
        <v/>
      </c>
      <c r="DV5" s="80" t="str">
        <f>IF(SUMIF(C6:$C$67,"時間",$DV$6:$DV$67)=0,"",SUMIF(C6:$C$67,"時間",$DV$6:$DV$67))</f>
        <v/>
      </c>
      <c r="DW5" s="80" t="str">
        <f>IF(SUMIF(C6:$C$67,"時間",$DW$6:$DW$67)=0,"",SUMIF(C6:$C$67,"時間",$DW$6:$DW$67))</f>
        <v/>
      </c>
      <c r="DX5" s="80" t="str">
        <f>IF(SUMIF(C6:$C$67,"時間",$DX$6:$DX$67)=0,"",SUMIF(C6:$C$67,"時間",$DX$6:$DX$67))</f>
        <v/>
      </c>
      <c r="DY5" s="80" t="str">
        <f>IF(SUMIF(C6:$C$67,"時間",$DY$6:$DY$67)=0,"",SUMIF(C6:$C$67,"時間",$DY$6:$DY$67))</f>
        <v/>
      </c>
      <c r="DZ5" s="80" t="str">
        <f>IF(SUMIF(C6:$C$67,"時間",$DZ$6:$DZ$67)=0,"",SUMIF(C6:$C$67,"時間",$DZ$6:$DZ$67))</f>
        <v/>
      </c>
      <c r="EA5" s="80" t="str">
        <f>IF(SUMIF(C6:$C$67,"時間",$EA$6:$EA$67)=0,"",SUMIF(C6:$C$67,"時間",$EA$6:$EA$67))</f>
        <v/>
      </c>
      <c r="EB5" s="80" t="str">
        <f>IF(SUMIF(C6:$C$67,"時間",$EB$6:$EB$67)=0,"",SUMIF(C6:$C$67,"時間",$EB$6:$EB$67))</f>
        <v/>
      </c>
      <c r="EC5" s="80" t="str">
        <f>IF(SUMIF(C6:$C$67,"時間",$EC$6:$EC$67)=0,"",SUMIF(C6:$C$67,"時間",$EC$6:$EC$67))</f>
        <v/>
      </c>
      <c r="ED5" s="80" t="str">
        <f>IF(SUMIF(C6:$C$67,"時間",$ED$6:$ED$67)=0,"",SUMIF(C6:$C$67,"時間",$ED$6:$ED$67))</f>
        <v/>
      </c>
      <c r="EE5" s="80">
        <f>IF(SUMIF(C6:$C$67,"時間",$EE$6:$EE$67)=0,"",SUMIF(C6:$C$67,"時間",$EE$6:$EE$67))</f>
        <v>195</v>
      </c>
      <c r="EF5" s="80" t="str">
        <f>IF(SUMIF(C6:$C$67,"時間",$EF$6:$EF$67)=0,"",SUMIF(C6:$C$67,"時間",$EF$6:$EF$67))</f>
        <v/>
      </c>
      <c r="EG5" s="80">
        <f>IF(SUMIF(C6:$C$67,"時間",$EG$6:$EG$67)=0,"",SUMIF(C6:$C$67,"時間",$EG$6:$EG$67))</f>
        <v>1002</v>
      </c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</row>
    <row r="6" spans="1:298" ht="14.25" thickTop="1">
      <c r="B6" s="126">
        <v>1</v>
      </c>
      <c r="C6" s="68" t="s">
        <v>13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</row>
    <row r="7" spans="1:298" ht="13.5" customHeight="1">
      <c r="B7" s="121"/>
      <c r="C7" s="69" t="s">
        <v>6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M7" s="76"/>
      <c r="CN7" s="76"/>
      <c r="CO7" s="76"/>
      <c r="CP7" s="76"/>
      <c r="CQ7" s="76"/>
      <c r="CR7" s="76"/>
      <c r="CS7" s="76"/>
      <c r="CT7" s="76"/>
      <c r="CU7" s="76"/>
      <c r="CV7" s="76"/>
      <c r="CW7" s="76"/>
      <c r="CX7" s="76"/>
      <c r="CY7" s="76"/>
      <c r="CZ7" s="76"/>
      <c r="DA7" s="76"/>
      <c r="DB7" s="76"/>
      <c r="DC7" s="76"/>
      <c r="DD7" s="76"/>
      <c r="DE7" s="76"/>
      <c r="DF7" s="76"/>
      <c r="DG7" s="76"/>
      <c r="DH7" s="76"/>
      <c r="DI7" s="76"/>
      <c r="DJ7" s="76"/>
      <c r="DK7" s="76"/>
      <c r="DL7" s="76"/>
      <c r="DM7" s="76"/>
      <c r="DN7" s="76"/>
      <c r="DO7" s="76"/>
      <c r="DP7" s="76"/>
      <c r="DQ7" s="76"/>
      <c r="DR7" s="76"/>
      <c r="DS7" s="76"/>
      <c r="DT7" s="76"/>
      <c r="DU7" s="76"/>
      <c r="DV7" s="76"/>
      <c r="DW7" s="76"/>
      <c r="DX7" s="76"/>
      <c r="DY7" s="76"/>
      <c r="DZ7" s="76"/>
      <c r="EA7" s="76"/>
      <c r="EB7" s="76"/>
      <c r="EC7" s="76"/>
      <c r="ED7" s="76"/>
      <c r="EE7" s="76"/>
      <c r="EF7" s="76"/>
      <c r="EG7" s="76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</row>
    <row r="8" spans="1:298" ht="13.5">
      <c r="B8" s="119">
        <v>2</v>
      </c>
      <c r="C8" s="70" t="s">
        <v>13</v>
      </c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</row>
    <row r="9" spans="1:298" ht="13.5" customHeight="1">
      <c r="B9" s="121"/>
      <c r="C9" s="71" t="s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  <c r="CE9" s="76"/>
      <c r="CF9" s="76"/>
      <c r="CG9" s="76"/>
      <c r="CH9" s="76"/>
      <c r="CI9" s="76"/>
      <c r="CJ9" s="76"/>
      <c r="CK9" s="76"/>
      <c r="CL9" s="76"/>
      <c r="CM9" s="76"/>
      <c r="CN9" s="76"/>
      <c r="CO9" s="76"/>
      <c r="CP9" s="76"/>
      <c r="CQ9" s="76"/>
      <c r="CR9" s="76"/>
      <c r="CS9" s="76"/>
      <c r="CT9" s="76"/>
      <c r="CU9" s="76"/>
      <c r="CV9" s="76"/>
      <c r="CW9" s="76"/>
      <c r="CX9" s="76"/>
      <c r="CY9" s="76"/>
      <c r="CZ9" s="76"/>
      <c r="DA9" s="76"/>
      <c r="DB9" s="76"/>
      <c r="DC9" s="76"/>
      <c r="DD9" s="76"/>
      <c r="DE9" s="76"/>
      <c r="DF9" s="76"/>
      <c r="DG9" s="76"/>
      <c r="DH9" s="76"/>
      <c r="DI9" s="76"/>
      <c r="DJ9" s="76"/>
      <c r="DK9" s="76"/>
      <c r="DL9" s="76"/>
      <c r="DM9" s="76"/>
      <c r="DN9" s="76"/>
      <c r="DO9" s="76"/>
      <c r="DP9" s="76"/>
      <c r="DQ9" s="76"/>
      <c r="DR9" s="76"/>
      <c r="DS9" s="76"/>
      <c r="DT9" s="76"/>
      <c r="DU9" s="76"/>
      <c r="DV9" s="76"/>
      <c r="DW9" s="76"/>
      <c r="DX9" s="76"/>
      <c r="DY9" s="76"/>
      <c r="DZ9" s="76"/>
      <c r="EA9" s="76"/>
      <c r="EB9" s="76"/>
      <c r="EC9" s="76"/>
      <c r="ED9" s="76"/>
      <c r="EE9" s="76"/>
      <c r="EF9" s="76"/>
      <c r="EG9" s="76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</row>
    <row r="10" spans="1:298" ht="13.5">
      <c r="B10" s="130">
        <v>3</v>
      </c>
      <c r="C10" s="70" t="s">
        <v>13</v>
      </c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/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/>
      <c r="DQ10" s="75"/>
      <c r="DR10" s="75"/>
      <c r="DS10" s="75"/>
      <c r="DT10" s="75"/>
      <c r="DU10" s="75"/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</row>
    <row r="11" spans="1:298" ht="13.5">
      <c r="B11" s="131"/>
      <c r="C11" s="71" t="s">
        <v>6</v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  <c r="CE11" s="76"/>
      <c r="CF11" s="76"/>
      <c r="CG11" s="76"/>
      <c r="CH11" s="76"/>
      <c r="CI11" s="76"/>
      <c r="CJ11" s="76"/>
      <c r="CK11" s="76"/>
      <c r="CL11" s="76"/>
      <c r="CM11" s="76"/>
      <c r="CN11" s="76"/>
      <c r="CO11" s="76"/>
      <c r="CP11" s="76"/>
      <c r="CQ11" s="76"/>
      <c r="CR11" s="76"/>
      <c r="CS11" s="76"/>
      <c r="CT11" s="76"/>
      <c r="CU11" s="76"/>
      <c r="CV11" s="76"/>
      <c r="CW11" s="76"/>
      <c r="CX11" s="76"/>
      <c r="CY11" s="76"/>
      <c r="CZ11" s="76"/>
      <c r="DA11" s="76"/>
      <c r="DB11" s="76"/>
      <c r="DC11" s="76"/>
      <c r="DD11" s="76"/>
      <c r="DE11" s="76"/>
      <c r="DF11" s="76"/>
      <c r="DG11" s="76"/>
      <c r="DH11" s="76"/>
      <c r="DI11" s="76"/>
      <c r="DJ11" s="76"/>
      <c r="DK11" s="76"/>
      <c r="DL11" s="76"/>
      <c r="DM11" s="76"/>
      <c r="DN11" s="76"/>
      <c r="DO11" s="76"/>
      <c r="DP11" s="76"/>
      <c r="DQ11" s="76"/>
      <c r="DR11" s="76"/>
      <c r="DS11" s="76"/>
      <c r="DT11" s="76"/>
      <c r="DU11" s="76"/>
      <c r="DV11" s="76"/>
      <c r="DW11" s="76"/>
      <c r="DX11" s="76"/>
      <c r="DY11" s="76"/>
      <c r="DZ11" s="76"/>
      <c r="EA11" s="76"/>
      <c r="EB11" s="76"/>
      <c r="EC11" s="76"/>
      <c r="ED11" s="76"/>
      <c r="EE11" s="76"/>
      <c r="EF11" s="76"/>
      <c r="EG11" s="76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</row>
    <row r="12" spans="1:298" ht="13.5">
      <c r="B12" s="119">
        <v>4</v>
      </c>
      <c r="C12" s="70" t="s">
        <v>13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</row>
    <row r="13" spans="1:298" ht="13.5">
      <c r="B13" s="121"/>
      <c r="C13" s="71" t="s">
        <v>6</v>
      </c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76"/>
      <c r="BH13" s="76"/>
      <c r="BI13" s="76"/>
      <c r="BJ13" s="76"/>
      <c r="BK13" s="76"/>
      <c r="BL13" s="76"/>
      <c r="BM13" s="76"/>
      <c r="BN13" s="76"/>
      <c r="BO13" s="76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  <c r="CE13" s="76"/>
      <c r="CF13" s="76"/>
      <c r="CG13" s="76"/>
      <c r="CH13" s="76"/>
      <c r="CI13" s="76"/>
      <c r="CJ13" s="76"/>
      <c r="CK13" s="76"/>
      <c r="CL13" s="76"/>
      <c r="CM13" s="76"/>
      <c r="CN13" s="76"/>
      <c r="CO13" s="76"/>
      <c r="CP13" s="76"/>
      <c r="CQ13" s="76"/>
      <c r="CR13" s="76"/>
      <c r="CS13" s="76"/>
      <c r="CT13" s="76"/>
      <c r="CU13" s="76"/>
      <c r="CV13" s="76"/>
      <c r="CW13" s="76"/>
      <c r="CX13" s="76"/>
      <c r="CY13" s="76"/>
      <c r="CZ13" s="76"/>
      <c r="DA13" s="76"/>
      <c r="DB13" s="76"/>
      <c r="DC13" s="76"/>
      <c r="DD13" s="76"/>
      <c r="DE13" s="76"/>
      <c r="DF13" s="76"/>
      <c r="DG13" s="76"/>
      <c r="DH13" s="76"/>
      <c r="DI13" s="76"/>
      <c r="DJ13" s="76"/>
      <c r="DK13" s="76"/>
      <c r="DL13" s="76"/>
      <c r="DM13" s="76"/>
      <c r="DN13" s="76"/>
      <c r="DO13" s="76"/>
      <c r="DP13" s="76"/>
      <c r="DQ13" s="76"/>
      <c r="DR13" s="76"/>
      <c r="DS13" s="76"/>
      <c r="DT13" s="76"/>
      <c r="DU13" s="76"/>
      <c r="DV13" s="76"/>
      <c r="DW13" s="76"/>
      <c r="DX13" s="76"/>
      <c r="DY13" s="76"/>
      <c r="DZ13" s="76"/>
      <c r="EA13" s="76"/>
      <c r="EB13" s="76"/>
      <c r="EC13" s="76"/>
      <c r="ED13" s="76"/>
      <c r="EE13" s="76"/>
      <c r="EF13" s="76"/>
      <c r="EG13" s="76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</row>
    <row r="14" spans="1:298" ht="13.5">
      <c r="B14" s="119">
        <v>5</v>
      </c>
      <c r="C14" s="70" t="s">
        <v>13</v>
      </c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/>
      <c r="DQ14" s="75"/>
      <c r="DR14" s="75"/>
      <c r="DS14" s="75"/>
      <c r="DT14" s="75"/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</row>
    <row r="15" spans="1:298" ht="13.5">
      <c r="B15" s="121"/>
      <c r="C15" s="71" t="s">
        <v>6</v>
      </c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  <c r="BG15" s="76"/>
      <c r="BH15" s="76"/>
      <c r="BI15" s="76"/>
      <c r="BJ15" s="76"/>
      <c r="BK15" s="76"/>
      <c r="BL15" s="76"/>
      <c r="BM15" s="76"/>
      <c r="BN15" s="76"/>
      <c r="BO15" s="76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  <c r="CE15" s="76"/>
      <c r="CF15" s="76"/>
      <c r="CG15" s="76"/>
      <c r="CH15" s="76"/>
      <c r="CI15" s="76"/>
      <c r="CJ15" s="76"/>
      <c r="CK15" s="76"/>
      <c r="CL15" s="76"/>
      <c r="CM15" s="76"/>
      <c r="CN15" s="76"/>
      <c r="CO15" s="76"/>
      <c r="CP15" s="76"/>
      <c r="CQ15" s="76"/>
      <c r="CR15" s="76"/>
      <c r="CS15" s="76"/>
      <c r="CT15" s="76"/>
      <c r="CU15" s="76"/>
      <c r="CV15" s="76"/>
      <c r="CW15" s="76"/>
      <c r="CX15" s="76"/>
      <c r="CY15" s="76"/>
      <c r="CZ15" s="76"/>
      <c r="DA15" s="76"/>
      <c r="DB15" s="76"/>
      <c r="DC15" s="76"/>
      <c r="DD15" s="76"/>
      <c r="DE15" s="76"/>
      <c r="DF15" s="76"/>
      <c r="DG15" s="76"/>
      <c r="DH15" s="76"/>
      <c r="DI15" s="76"/>
      <c r="DJ15" s="76"/>
      <c r="DK15" s="76"/>
      <c r="DL15" s="76"/>
      <c r="DM15" s="76"/>
      <c r="DN15" s="76"/>
      <c r="DO15" s="76"/>
      <c r="DP15" s="76"/>
      <c r="DQ15" s="76"/>
      <c r="DR15" s="76"/>
      <c r="DS15" s="76"/>
      <c r="DT15" s="76"/>
      <c r="DU15" s="76"/>
      <c r="DV15" s="76"/>
      <c r="DW15" s="76"/>
      <c r="DX15" s="76"/>
      <c r="DY15" s="76"/>
      <c r="DZ15" s="76"/>
      <c r="EA15" s="76"/>
      <c r="EB15" s="76"/>
      <c r="EC15" s="76"/>
      <c r="ED15" s="76"/>
      <c r="EE15" s="76"/>
      <c r="EF15" s="76"/>
      <c r="EG15" s="76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</row>
    <row r="16" spans="1:298" ht="13.5">
      <c r="B16" s="119">
        <v>6</v>
      </c>
      <c r="C16" s="70" t="s">
        <v>13</v>
      </c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/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</row>
    <row r="17" spans="2:298" ht="13.5">
      <c r="B17" s="121"/>
      <c r="C17" s="71" t="s">
        <v>6</v>
      </c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</row>
    <row r="18" spans="2:298" ht="13.5">
      <c r="B18" s="119">
        <v>7</v>
      </c>
      <c r="C18" s="70" t="s">
        <v>13</v>
      </c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/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</row>
    <row r="19" spans="2:298" ht="13.5">
      <c r="B19" s="121"/>
      <c r="C19" s="71" t="s">
        <v>6</v>
      </c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76"/>
      <c r="BH19" s="76"/>
      <c r="BI19" s="76"/>
      <c r="BJ19" s="76"/>
      <c r="BK19" s="76"/>
      <c r="BL19" s="76"/>
      <c r="BM19" s="76"/>
      <c r="BN19" s="76"/>
      <c r="BO19" s="76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  <c r="CE19" s="76"/>
      <c r="CF19" s="76"/>
      <c r="CG19" s="76"/>
      <c r="CH19" s="76"/>
      <c r="CI19" s="76"/>
      <c r="CJ19" s="76"/>
      <c r="CK19" s="76"/>
      <c r="CL19" s="76"/>
      <c r="CM19" s="76"/>
      <c r="CN19" s="76"/>
      <c r="CO19" s="76"/>
      <c r="CP19" s="76"/>
      <c r="CQ19" s="76"/>
      <c r="CR19" s="76"/>
      <c r="CS19" s="76"/>
      <c r="CT19" s="76"/>
      <c r="CU19" s="76"/>
      <c r="CV19" s="76"/>
      <c r="CW19" s="76"/>
      <c r="CX19" s="76"/>
      <c r="CY19" s="76"/>
      <c r="CZ19" s="76"/>
      <c r="DA19" s="76"/>
      <c r="DB19" s="76"/>
      <c r="DC19" s="76"/>
      <c r="DD19" s="76"/>
      <c r="DE19" s="76"/>
      <c r="DF19" s="76"/>
      <c r="DG19" s="76"/>
      <c r="DH19" s="76"/>
      <c r="DI19" s="76"/>
      <c r="DJ19" s="76"/>
      <c r="DK19" s="76"/>
      <c r="DL19" s="76"/>
      <c r="DM19" s="76"/>
      <c r="DN19" s="76"/>
      <c r="DO19" s="76"/>
      <c r="DP19" s="76"/>
      <c r="DQ19" s="76"/>
      <c r="DR19" s="76"/>
      <c r="DS19" s="76"/>
      <c r="DT19" s="76"/>
      <c r="DU19" s="76"/>
      <c r="DV19" s="76"/>
      <c r="DW19" s="76"/>
      <c r="DX19" s="76"/>
      <c r="DY19" s="76"/>
      <c r="DZ19" s="76"/>
      <c r="EA19" s="76"/>
      <c r="EB19" s="76"/>
      <c r="EC19" s="76"/>
      <c r="ED19" s="76"/>
      <c r="EE19" s="76"/>
      <c r="EF19" s="76"/>
      <c r="EG19" s="76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</row>
    <row r="20" spans="2:298" ht="13.5">
      <c r="B20" s="119">
        <v>8</v>
      </c>
      <c r="C20" s="70" t="s">
        <v>13</v>
      </c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/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</row>
    <row r="21" spans="2:298" ht="13.5">
      <c r="B21" s="121"/>
      <c r="C21" s="71" t="s">
        <v>6</v>
      </c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  <c r="CB21" s="76"/>
      <c r="CC21" s="76"/>
      <c r="CD21" s="76"/>
      <c r="CE21" s="76"/>
      <c r="CF21" s="76"/>
      <c r="CG21" s="76"/>
      <c r="CH21" s="76"/>
      <c r="CI21" s="76"/>
      <c r="CJ21" s="76"/>
      <c r="CK21" s="76"/>
      <c r="CL21" s="76"/>
      <c r="CM21" s="76"/>
      <c r="CN21" s="76"/>
      <c r="CO21" s="76"/>
      <c r="CP21" s="76"/>
      <c r="CQ21" s="76"/>
      <c r="CR21" s="76"/>
      <c r="CS21" s="76"/>
      <c r="CT21" s="76"/>
      <c r="CU21" s="76"/>
      <c r="CV21" s="76"/>
      <c r="CW21" s="76"/>
      <c r="CX21" s="76"/>
      <c r="CY21" s="76"/>
      <c r="CZ21" s="76"/>
      <c r="DA21" s="76"/>
      <c r="DB21" s="76"/>
      <c r="DC21" s="76"/>
      <c r="DD21" s="76"/>
      <c r="DE21" s="76"/>
      <c r="DF21" s="76"/>
      <c r="DG21" s="76"/>
      <c r="DH21" s="76"/>
      <c r="DI21" s="76"/>
      <c r="DJ21" s="76"/>
      <c r="DK21" s="76"/>
      <c r="DL21" s="76"/>
      <c r="DM21" s="76"/>
      <c r="DN21" s="76"/>
      <c r="DO21" s="76"/>
      <c r="DP21" s="76"/>
      <c r="DQ21" s="76"/>
      <c r="DR21" s="76"/>
      <c r="DS21" s="76"/>
      <c r="DT21" s="76"/>
      <c r="DU21" s="76"/>
      <c r="DV21" s="76"/>
      <c r="DW21" s="76"/>
      <c r="DX21" s="76"/>
      <c r="DY21" s="76"/>
      <c r="DZ21" s="76"/>
      <c r="EA21" s="76"/>
      <c r="EB21" s="76"/>
      <c r="EC21" s="76"/>
      <c r="ED21" s="76"/>
      <c r="EE21" s="76"/>
      <c r="EF21" s="76"/>
      <c r="EG21" s="76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</row>
    <row r="22" spans="2:298" ht="13.5">
      <c r="B22" s="119">
        <v>9</v>
      </c>
      <c r="C22" s="70" t="s">
        <v>13</v>
      </c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/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</row>
    <row r="23" spans="2:298" ht="13.5">
      <c r="B23" s="121"/>
      <c r="C23" s="71" t="s">
        <v>6</v>
      </c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76"/>
      <c r="CQ23" s="76"/>
      <c r="CR23" s="76"/>
      <c r="CS23" s="76"/>
      <c r="CT23" s="76"/>
      <c r="CU23" s="76"/>
      <c r="CV23" s="76"/>
      <c r="CW23" s="76"/>
      <c r="CX23" s="76"/>
      <c r="CY23" s="76"/>
      <c r="CZ23" s="76"/>
      <c r="DA23" s="76"/>
      <c r="DB23" s="76"/>
      <c r="DC23" s="76"/>
      <c r="DD23" s="76"/>
      <c r="DE23" s="76"/>
      <c r="DF23" s="76"/>
      <c r="DG23" s="76"/>
      <c r="DH23" s="76"/>
      <c r="DI23" s="76"/>
      <c r="DJ23" s="76"/>
      <c r="DK23" s="76"/>
      <c r="DL23" s="76"/>
      <c r="DM23" s="76"/>
      <c r="DN23" s="76"/>
      <c r="DO23" s="76"/>
      <c r="DP23" s="76"/>
      <c r="DQ23" s="76"/>
      <c r="DR23" s="76"/>
      <c r="DS23" s="76"/>
      <c r="DT23" s="76"/>
      <c r="DU23" s="76"/>
      <c r="DV23" s="76"/>
      <c r="DW23" s="76"/>
      <c r="DX23" s="76"/>
      <c r="DY23" s="76"/>
      <c r="DZ23" s="76"/>
      <c r="EA23" s="76"/>
      <c r="EB23" s="76"/>
      <c r="EC23" s="76"/>
      <c r="ED23" s="76"/>
      <c r="EE23" s="76"/>
      <c r="EF23" s="76"/>
      <c r="EG23" s="76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</row>
    <row r="24" spans="2:298" ht="13.5">
      <c r="B24" s="119">
        <v>10</v>
      </c>
      <c r="C24" s="70" t="s">
        <v>13</v>
      </c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  <c r="DF24" s="75"/>
      <c r="DG24" s="75"/>
      <c r="DH24" s="75"/>
      <c r="DI24" s="75"/>
      <c r="DJ24" s="75"/>
      <c r="DK24" s="75"/>
      <c r="DL24" s="75"/>
      <c r="DM24" s="75"/>
      <c r="DN24" s="75"/>
      <c r="DO24" s="75"/>
      <c r="DP24" s="75"/>
      <c r="DQ24" s="75"/>
      <c r="DR24" s="75"/>
      <c r="DS24" s="75"/>
      <c r="DT24" s="75"/>
      <c r="DU24" s="75"/>
      <c r="DV24" s="75"/>
      <c r="DW24" s="75"/>
      <c r="DX24" s="75"/>
      <c r="DY24" s="75"/>
      <c r="DZ24" s="75"/>
      <c r="EA24" s="75"/>
      <c r="EB24" s="75"/>
      <c r="EC24" s="75"/>
      <c r="ED24" s="75"/>
      <c r="EE24" s="75"/>
      <c r="EF24" s="75"/>
      <c r="EG24" s="75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</row>
    <row r="25" spans="2:298" ht="13.5">
      <c r="B25" s="121"/>
      <c r="C25" s="71" t="s">
        <v>6</v>
      </c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  <c r="BG25" s="76"/>
      <c r="BH25" s="76"/>
      <c r="BI25" s="76"/>
      <c r="BJ25" s="76"/>
      <c r="BK25" s="76"/>
      <c r="BL25" s="76"/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  <c r="CA25" s="76"/>
      <c r="CB25" s="76"/>
      <c r="CC25" s="76"/>
      <c r="CD25" s="76"/>
      <c r="CE25" s="76"/>
      <c r="CF25" s="76"/>
      <c r="CG25" s="76"/>
      <c r="CH25" s="76"/>
      <c r="CI25" s="76"/>
      <c r="CJ25" s="76"/>
      <c r="CK25" s="76"/>
      <c r="CL25" s="76"/>
      <c r="CM25" s="76"/>
      <c r="CN25" s="76"/>
      <c r="CO25" s="76"/>
      <c r="CP25" s="76"/>
      <c r="CQ25" s="76"/>
      <c r="CR25" s="76"/>
      <c r="CS25" s="76"/>
      <c r="CT25" s="76"/>
      <c r="CU25" s="76"/>
      <c r="CV25" s="76"/>
      <c r="CW25" s="76"/>
      <c r="CX25" s="76"/>
      <c r="CY25" s="76"/>
      <c r="CZ25" s="76"/>
      <c r="DA25" s="76"/>
      <c r="DB25" s="76"/>
      <c r="DC25" s="76"/>
      <c r="DD25" s="76"/>
      <c r="DE25" s="76"/>
      <c r="DF25" s="76"/>
      <c r="DG25" s="76"/>
      <c r="DH25" s="76"/>
      <c r="DI25" s="76"/>
      <c r="DJ25" s="76"/>
      <c r="DK25" s="76"/>
      <c r="DL25" s="76"/>
      <c r="DM25" s="76"/>
      <c r="DN25" s="76"/>
      <c r="DO25" s="76"/>
      <c r="DP25" s="76"/>
      <c r="DQ25" s="76"/>
      <c r="DR25" s="76"/>
      <c r="DS25" s="76"/>
      <c r="DT25" s="76"/>
      <c r="DU25" s="76"/>
      <c r="DV25" s="76"/>
      <c r="DW25" s="76"/>
      <c r="DX25" s="76"/>
      <c r="DY25" s="76"/>
      <c r="DZ25" s="76"/>
      <c r="EA25" s="76"/>
      <c r="EB25" s="76"/>
      <c r="EC25" s="76"/>
      <c r="ED25" s="76"/>
      <c r="EE25" s="76"/>
      <c r="EF25" s="76"/>
      <c r="EG25" s="76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</row>
    <row r="26" spans="2:298" ht="13.5">
      <c r="B26" s="119">
        <v>11</v>
      </c>
      <c r="C26" s="70" t="s">
        <v>13</v>
      </c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5"/>
      <c r="CG26" s="75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  <c r="CT26" s="75"/>
      <c r="CU26" s="75"/>
      <c r="CV26" s="75"/>
      <c r="CW26" s="75"/>
      <c r="CX26" s="75"/>
      <c r="CY26" s="75"/>
      <c r="CZ26" s="75"/>
      <c r="DA26" s="75"/>
      <c r="DB26" s="75"/>
      <c r="DC26" s="75"/>
      <c r="DD26" s="75"/>
      <c r="DE26" s="75"/>
      <c r="DF26" s="75"/>
      <c r="DG26" s="75"/>
      <c r="DH26" s="75"/>
      <c r="DI26" s="75"/>
      <c r="DJ26" s="75"/>
      <c r="DK26" s="75"/>
      <c r="DL26" s="75"/>
      <c r="DM26" s="75"/>
      <c r="DN26" s="75"/>
      <c r="DO26" s="75"/>
      <c r="DP26" s="75"/>
      <c r="DQ26" s="75"/>
      <c r="DR26" s="75"/>
      <c r="DS26" s="75"/>
      <c r="DT26" s="75"/>
      <c r="DU26" s="75"/>
      <c r="DV26" s="75"/>
      <c r="DW26" s="75"/>
      <c r="DX26" s="75"/>
      <c r="DY26" s="75"/>
      <c r="DZ26" s="75"/>
      <c r="EA26" s="75"/>
      <c r="EB26" s="75"/>
      <c r="EC26" s="75"/>
      <c r="ED26" s="75"/>
      <c r="EE26" s="75"/>
      <c r="EF26" s="75"/>
      <c r="EG26" s="75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</row>
    <row r="27" spans="2:298" ht="13.5">
      <c r="B27" s="121"/>
      <c r="C27" s="71" t="s">
        <v>6</v>
      </c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  <c r="CF27" s="76"/>
      <c r="CG27" s="76"/>
      <c r="CH27" s="76"/>
      <c r="CI27" s="76"/>
      <c r="CJ27" s="76"/>
      <c r="CK27" s="76"/>
      <c r="CL27" s="76"/>
      <c r="CM27" s="76"/>
      <c r="CN27" s="76"/>
      <c r="CO27" s="76"/>
      <c r="CP27" s="76"/>
      <c r="CQ27" s="76"/>
      <c r="CR27" s="76"/>
      <c r="CS27" s="76"/>
      <c r="CT27" s="76"/>
      <c r="CU27" s="76"/>
      <c r="CV27" s="76"/>
      <c r="CW27" s="76"/>
      <c r="CX27" s="76"/>
      <c r="CY27" s="76"/>
      <c r="CZ27" s="76"/>
      <c r="DA27" s="76"/>
      <c r="DB27" s="76"/>
      <c r="DC27" s="76"/>
      <c r="DD27" s="76"/>
      <c r="DE27" s="76"/>
      <c r="DF27" s="76"/>
      <c r="DG27" s="76"/>
      <c r="DH27" s="76"/>
      <c r="DI27" s="76"/>
      <c r="DJ27" s="76"/>
      <c r="DK27" s="76"/>
      <c r="DL27" s="76"/>
      <c r="DM27" s="76"/>
      <c r="DN27" s="76"/>
      <c r="DO27" s="76"/>
      <c r="DP27" s="76"/>
      <c r="DQ27" s="76"/>
      <c r="DR27" s="76"/>
      <c r="DS27" s="76"/>
      <c r="DT27" s="76"/>
      <c r="DU27" s="76"/>
      <c r="DV27" s="76"/>
      <c r="DW27" s="76"/>
      <c r="DX27" s="76"/>
      <c r="DY27" s="76"/>
      <c r="DZ27" s="76"/>
      <c r="EA27" s="76"/>
      <c r="EB27" s="76"/>
      <c r="EC27" s="76"/>
      <c r="ED27" s="76"/>
      <c r="EE27" s="76"/>
      <c r="EF27" s="76"/>
      <c r="EG27" s="76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</row>
    <row r="28" spans="2:298" ht="13.5">
      <c r="B28" s="119">
        <v>12</v>
      </c>
      <c r="C28" s="70" t="s">
        <v>13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/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</row>
    <row r="29" spans="2:298" ht="13.5">
      <c r="B29" s="121"/>
      <c r="C29" s="71" t="s">
        <v>6</v>
      </c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  <c r="CB29" s="76"/>
      <c r="CC29" s="76"/>
      <c r="CD29" s="76"/>
      <c r="CE29" s="76"/>
      <c r="CF29" s="76"/>
      <c r="CG29" s="76"/>
      <c r="CH29" s="76"/>
      <c r="CI29" s="76"/>
      <c r="CJ29" s="76"/>
      <c r="CK29" s="76"/>
      <c r="CL29" s="76"/>
      <c r="CM29" s="76"/>
      <c r="CN29" s="76"/>
      <c r="CO29" s="76"/>
      <c r="CP29" s="76"/>
      <c r="CQ29" s="76"/>
      <c r="CR29" s="76"/>
      <c r="CS29" s="76"/>
      <c r="CT29" s="76"/>
      <c r="CU29" s="76"/>
      <c r="CV29" s="76"/>
      <c r="CW29" s="76"/>
      <c r="CX29" s="76"/>
      <c r="CY29" s="76"/>
      <c r="CZ29" s="76"/>
      <c r="DA29" s="76"/>
      <c r="DB29" s="76"/>
      <c r="DC29" s="76"/>
      <c r="DD29" s="76"/>
      <c r="DE29" s="76"/>
      <c r="DF29" s="76"/>
      <c r="DG29" s="76"/>
      <c r="DH29" s="76"/>
      <c r="DI29" s="76"/>
      <c r="DJ29" s="76"/>
      <c r="DK29" s="76"/>
      <c r="DL29" s="76"/>
      <c r="DM29" s="76"/>
      <c r="DN29" s="76"/>
      <c r="DO29" s="76"/>
      <c r="DP29" s="76"/>
      <c r="DQ29" s="76"/>
      <c r="DR29" s="76"/>
      <c r="DS29" s="76"/>
      <c r="DT29" s="76"/>
      <c r="DU29" s="76"/>
      <c r="DV29" s="76"/>
      <c r="DW29" s="76"/>
      <c r="DX29" s="76"/>
      <c r="DY29" s="76"/>
      <c r="DZ29" s="76"/>
      <c r="EA29" s="76"/>
      <c r="EB29" s="76"/>
      <c r="EC29" s="76"/>
      <c r="ED29" s="76"/>
      <c r="EE29" s="76"/>
      <c r="EF29" s="76"/>
      <c r="EG29" s="76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</row>
    <row r="30" spans="2:298" ht="13.5">
      <c r="B30" s="119">
        <v>13</v>
      </c>
      <c r="C30" s="70" t="s">
        <v>13</v>
      </c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/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</row>
    <row r="31" spans="2:298" ht="13.5">
      <c r="B31" s="121"/>
      <c r="C31" s="71" t="s">
        <v>6</v>
      </c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  <c r="CB31" s="76"/>
      <c r="CC31" s="76"/>
      <c r="CD31" s="76"/>
      <c r="CE31" s="76"/>
      <c r="CF31" s="76"/>
      <c r="CG31" s="76"/>
      <c r="CH31" s="76"/>
      <c r="CI31" s="76"/>
      <c r="CJ31" s="76"/>
      <c r="CK31" s="76"/>
      <c r="CL31" s="76"/>
      <c r="CM31" s="76"/>
      <c r="CN31" s="76"/>
      <c r="CO31" s="76"/>
      <c r="CP31" s="76"/>
      <c r="CQ31" s="76"/>
      <c r="CR31" s="76"/>
      <c r="CS31" s="76"/>
      <c r="CT31" s="76"/>
      <c r="CU31" s="76"/>
      <c r="CV31" s="76"/>
      <c r="CW31" s="76"/>
      <c r="CX31" s="76"/>
      <c r="CY31" s="76"/>
      <c r="CZ31" s="76"/>
      <c r="DA31" s="76"/>
      <c r="DB31" s="76"/>
      <c r="DC31" s="76"/>
      <c r="DD31" s="76"/>
      <c r="DE31" s="76"/>
      <c r="DF31" s="76"/>
      <c r="DG31" s="76"/>
      <c r="DH31" s="76"/>
      <c r="DI31" s="76"/>
      <c r="DJ31" s="76"/>
      <c r="DK31" s="76"/>
      <c r="DL31" s="76"/>
      <c r="DM31" s="76"/>
      <c r="DN31" s="76"/>
      <c r="DO31" s="76"/>
      <c r="DP31" s="76"/>
      <c r="DQ31" s="76"/>
      <c r="DR31" s="76"/>
      <c r="DS31" s="76"/>
      <c r="DT31" s="76"/>
      <c r="DU31" s="76"/>
      <c r="DV31" s="76"/>
      <c r="DW31" s="76"/>
      <c r="DX31" s="76"/>
      <c r="DY31" s="76"/>
      <c r="DZ31" s="76"/>
      <c r="EA31" s="76"/>
      <c r="EB31" s="76"/>
      <c r="EC31" s="76"/>
      <c r="ED31" s="76"/>
      <c r="EE31" s="76"/>
      <c r="EF31" s="76"/>
      <c r="EG31" s="76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</row>
    <row r="32" spans="2:298" ht="13.5">
      <c r="B32" s="119">
        <v>14</v>
      </c>
      <c r="C32" s="70" t="s">
        <v>13</v>
      </c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/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</row>
    <row r="33" spans="2:298" ht="13.5">
      <c r="B33" s="121"/>
      <c r="C33" s="71" t="s">
        <v>6</v>
      </c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  <c r="CE33" s="76"/>
      <c r="CF33" s="76"/>
      <c r="CG33" s="76"/>
      <c r="CH33" s="76"/>
      <c r="CI33" s="76"/>
      <c r="CJ33" s="76"/>
      <c r="CK33" s="76"/>
      <c r="CL33" s="76"/>
      <c r="CM33" s="76"/>
      <c r="CN33" s="76"/>
      <c r="CO33" s="76"/>
      <c r="CP33" s="76"/>
      <c r="CQ33" s="76"/>
      <c r="CR33" s="76"/>
      <c r="CS33" s="76"/>
      <c r="CT33" s="76"/>
      <c r="CU33" s="76"/>
      <c r="CV33" s="76"/>
      <c r="CW33" s="76"/>
      <c r="CX33" s="76"/>
      <c r="CY33" s="76"/>
      <c r="CZ33" s="76"/>
      <c r="DA33" s="76"/>
      <c r="DB33" s="76"/>
      <c r="DC33" s="76"/>
      <c r="DD33" s="76"/>
      <c r="DE33" s="76"/>
      <c r="DF33" s="76"/>
      <c r="DG33" s="76"/>
      <c r="DH33" s="76"/>
      <c r="DI33" s="76"/>
      <c r="DJ33" s="76"/>
      <c r="DK33" s="76"/>
      <c r="DL33" s="76"/>
      <c r="DM33" s="76"/>
      <c r="DN33" s="76"/>
      <c r="DO33" s="76"/>
      <c r="DP33" s="76"/>
      <c r="DQ33" s="76"/>
      <c r="DR33" s="76"/>
      <c r="DS33" s="76"/>
      <c r="DT33" s="76"/>
      <c r="DU33" s="76"/>
      <c r="DV33" s="76"/>
      <c r="DW33" s="76"/>
      <c r="DX33" s="76"/>
      <c r="DY33" s="76"/>
      <c r="DZ33" s="76"/>
      <c r="EA33" s="76"/>
      <c r="EB33" s="76"/>
      <c r="EC33" s="76"/>
      <c r="ED33" s="76"/>
      <c r="EE33" s="76"/>
      <c r="EF33" s="76"/>
      <c r="EG33" s="76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</row>
    <row r="34" spans="2:298" ht="13.5">
      <c r="B34" s="119">
        <v>15</v>
      </c>
      <c r="C34" s="70" t="s">
        <v>13</v>
      </c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/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</row>
    <row r="35" spans="2:298" ht="13.5">
      <c r="B35" s="121"/>
      <c r="C35" s="71" t="s">
        <v>6</v>
      </c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6"/>
      <c r="CU35" s="76"/>
      <c r="CV35" s="76"/>
      <c r="CW35" s="76"/>
      <c r="CX35" s="76"/>
      <c r="CY35" s="76"/>
      <c r="CZ35" s="76"/>
      <c r="DA35" s="76"/>
      <c r="DB35" s="76"/>
      <c r="DC35" s="76"/>
      <c r="DD35" s="76"/>
      <c r="DE35" s="76"/>
      <c r="DF35" s="76"/>
      <c r="DG35" s="76"/>
      <c r="DH35" s="76"/>
      <c r="DI35" s="76"/>
      <c r="DJ35" s="76"/>
      <c r="DK35" s="76"/>
      <c r="DL35" s="76"/>
      <c r="DM35" s="76"/>
      <c r="DN35" s="76"/>
      <c r="DO35" s="76"/>
      <c r="DP35" s="76"/>
      <c r="DQ35" s="76"/>
      <c r="DR35" s="76"/>
      <c r="DS35" s="76"/>
      <c r="DT35" s="76"/>
      <c r="DU35" s="76"/>
      <c r="DV35" s="76"/>
      <c r="DW35" s="76"/>
      <c r="DX35" s="76"/>
      <c r="DY35" s="76"/>
      <c r="DZ35" s="76"/>
      <c r="EA35" s="76"/>
      <c r="EB35" s="76"/>
      <c r="EC35" s="76"/>
      <c r="ED35" s="76"/>
      <c r="EE35" s="76"/>
      <c r="EF35" s="76"/>
      <c r="EG35" s="76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</row>
    <row r="36" spans="2:298" ht="13.5">
      <c r="B36" s="119">
        <v>16</v>
      </c>
      <c r="C36" s="70" t="s">
        <v>13</v>
      </c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/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</row>
    <row r="37" spans="2:298" ht="13.5">
      <c r="B37" s="121"/>
      <c r="C37" s="71" t="s">
        <v>6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  <c r="CY37" s="76"/>
      <c r="CZ37" s="76"/>
      <c r="DA37" s="76"/>
      <c r="DB37" s="76"/>
      <c r="DC37" s="76"/>
      <c r="DD37" s="76"/>
      <c r="DE37" s="76"/>
      <c r="DF37" s="76"/>
      <c r="DG37" s="76"/>
      <c r="DH37" s="76"/>
      <c r="DI37" s="76"/>
      <c r="DJ37" s="76"/>
      <c r="DK37" s="76"/>
      <c r="DL37" s="76"/>
      <c r="DM37" s="76"/>
      <c r="DN37" s="76"/>
      <c r="DO37" s="76"/>
      <c r="DP37" s="76"/>
      <c r="DQ37" s="76"/>
      <c r="DR37" s="76"/>
      <c r="DS37" s="76"/>
      <c r="DT37" s="76"/>
      <c r="DU37" s="76"/>
      <c r="DV37" s="76"/>
      <c r="DW37" s="76"/>
      <c r="DX37" s="76"/>
      <c r="DY37" s="76"/>
      <c r="DZ37" s="76"/>
      <c r="EA37" s="76"/>
      <c r="EB37" s="76"/>
      <c r="EC37" s="76"/>
      <c r="ED37" s="76"/>
      <c r="EE37" s="76"/>
      <c r="EF37" s="76"/>
      <c r="EG37" s="76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</row>
    <row r="38" spans="2:298" ht="13.5">
      <c r="B38" s="119">
        <v>17</v>
      </c>
      <c r="C38" s="70" t="s">
        <v>13</v>
      </c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/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</row>
    <row r="39" spans="2:298" ht="13.5">
      <c r="B39" s="121"/>
      <c r="C39" s="71" t="s">
        <v>6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  <c r="CY39" s="76"/>
      <c r="CZ39" s="76"/>
      <c r="DA39" s="76"/>
      <c r="DB39" s="76"/>
      <c r="DC39" s="76"/>
      <c r="DD39" s="76"/>
      <c r="DE39" s="76"/>
      <c r="DF39" s="76"/>
      <c r="DG39" s="76"/>
      <c r="DH39" s="76"/>
      <c r="DI39" s="76"/>
      <c r="DJ39" s="76"/>
      <c r="DK39" s="76"/>
      <c r="DL39" s="76"/>
      <c r="DM39" s="76"/>
      <c r="DN39" s="76"/>
      <c r="DO39" s="76"/>
      <c r="DP39" s="76"/>
      <c r="DQ39" s="76"/>
      <c r="DR39" s="76"/>
      <c r="DS39" s="76"/>
      <c r="DT39" s="76"/>
      <c r="DU39" s="76"/>
      <c r="DV39" s="76"/>
      <c r="DW39" s="76"/>
      <c r="DX39" s="76"/>
      <c r="DY39" s="76"/>
      <c r="DZ39" s="76"/>
      <c r="EA39" s="76"/>
      <c r="EB39" s="76"/>
      <c r="EC39" s="76"/>
      <c r="ED39" s="76"/>
      <c r="EE39" s="76"/>
      <c r="EF39" s="76"/>
      <c r="EG39" s="76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</row>
    <row r="40" spans="2:298" ht="13.5">
      <c r="B40" s="119">
        <v>18</v>
      </c>
      <c r="C40" s="70" t="s">
        <v>13</v>
      </c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  <c r="CY40" s="75"/>
      <c r="CZ40" s="75"/>
      <c r="DA40" s="75"/>
      <c r="DB40" s="75"/>
      <c r="DC40" s="75"/>
      <c r="DD40" s="75"/>
      <c r="DE40" s="75"/>
      <c r="DF40" s="75"/>
      <c r="DG40" s="75"/>
      <c r="DH40" s="75"/>
      <c r="DI40" s="75"/>
      <c r="DJ40" s="75"/>
      <c r="DK40" s="75"/>
      <c r="DL40" s="75"/>
      <c r="DM40" s="75"/>
      <c r="DN40" s="75"/>
      <c r="DO40" s="75"/>
      <c r="DP40" s="75"/>
      <c r="DQ40" s="75"/>
      <c r="DR40" s="75"/>
      <c r="DS40" s="75"/>
      <c r="DT40" s="75"/>
      <c r="DU40" s="75"/>
      <c r="DV40" s="75"/>
      <c r="DW40" s="75"/>
      <c r="DX40" s="75"/>
      <c r="DY40" s="75"/>
      <c r="DZ40" s="75"/>
      <c r="EA40" s="75"/>
      <c r="EB40" s="75"/>
      <c r="EC40" s="75"/>
      <c r="ED40" s="75"/>
      <c r="EE40" s="75"/>
      <c r="EF40" s="75"/>
      <c r="EG40" s="75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</row>
    <row r="41" spans="2:298" ht="13.5">
      <c r="B41" s="121"/>
      <c r="C41" s="71" t="s">
        <v>6</v>
      </c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  <c r="CY41" s="76"/>
      <c r="CZ41" s="76"/>
      <c r="DA41" s="76"/>
      <c r="DB41" s="76"/>
      <c r="DC41" s="76"/>
      <c r="DD41" s="76"/>
      <c r="DE41" s="76"/>
      <c r="DF41" s="76"/>
      <c r="DG41" s="76"/>
      <c r="DH41" s="76"/>
      <c r="DI41" s="76"/>
      <c r="DJ41" s="76"/>
      <c r="DK41" s="76"/>
      <c r="DL41" s="76"/>
      <c r="DM41" s="76"/>
      <c r="DN41" s="76"/>
      <c r="DO41" s="76"/>
      <c r="DP41" s="76"/>
      <c r="DQ41" s="76"/>
      <c r="DR41" s="76"/>
      <c r="DS41" s="76"/>
      <c r="DT41" s="76"/>
      <c r="DU41" s="76"/>
      <c r="DV41" s="76"/>
      <c r="DW41" s="76"/>
      <c r="DX41" s="76"/>
      <c r="DY41" s="76"/>
      <c r="DZ41" s="76"/>
      <c r="EA41" s="76"/>
      <c r="EB41" s="76"/>
      <c r="EC41" s="76"/>
      <c r="ED41" s="76"/>
      <c r="EE41" s="76"/>
      <c r="EF41" s="76"/>
      <c r="EG41" s="76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</row>
    <row r="42" spans="2:298" ht="13.5">
      <c r="B42" s="119">
        <v>19</v>
      </c>
      <c r="C42" s="70" t="s">
        <v>13</v>
      </c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/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</row>
    <row r="43" spans="2:298" ht="13.5">
      <c r="B43" s="121"/>
      <c r="C43" s="71" t="s">
        <v>6</v>
      </c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6"/>
      <c r="DC43" s="76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6"/>
      <c r="EC43" s="76"/>
      <c r="ED43" s="76"/>
      <c r="EE43" s="76"/>
      <c r="EF43" s="76"/>
      <c r="EG43" s="76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</row>
    <row r="44" spans="2:298" ht="13.5">
      <c r="B44" s="119">
        <v>20</v>
      </c>
      <c r="C44" s="70" t="s">
        <v>13</v>
      </c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  <c r="DF44" s="75"/>
      <c r="DG44" s="75"/>
      <c r="DH44" s="75"/>
      <c r="DI44" s="75"/>
      <c r="DJ44" s="75"/>
      <c r="DK44" s="75"/>
      <c r="DL44" s="75"/>
      <c r="DM44" s="75"/>
      <c r="DN44" s="75"/>
      <c r="DO44" s="75"/>
      <c r="DP44" s="75"/>
      <c r="DQ44" s="75"/>
      <c r="DR44" s="75"/>
      <c r="DS44" s="75"/>
      <c r="DT44" s="75"/>
      <c r="DU44" s="75"/>
      <c r="DV44" s="75"/>
      <c r="DW44" s="75"/>
      <c r="DX44" s="75"/>
      <c r="DY44" s="75"/>
      <c r="DZ44" s="75"/>
      <c r="EA44" s="75"/>
      <c r="EB44" s="75"/>
      <c r="EC44" s="75"/>
      <c r="ED44" s="75"/>
      <c r="EE44" s="75"/>
      <c r="EF44" s="75"/>
      <c r="EG44" s="75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</row>
    <row r="45" spans="2:298" ht="13.5">
      <c r="B45" s="121"/>
      <c r="C45" s="71" t="s">
        <v>6</v>
      </c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  <c r="BF45" s="76"/>
      <c r="BG45" s="76"/>
      <c r="BH45" s="76"/>
      <c r="BI45" s="76"/>
      <c r="BJ45" s="76"/>
      <c r="BK45" s="76"/>
      <c r="BL45" s="76"/>
      <c r="BM45" s="76"/>
      <c r="BN45" s="76"/>
      <c r="BO45" s="76"/>
      <c r="BP45" s="76"/>
      <c r="BQ45" s="76"/>
      <c r="BR45" s="76"/>
      <c r="BS45" s="76"/>
      <c r="BT45" s="76"/>
      <c r="BU45" s="76"/>
      <c r="BV45" s="76"/>
      <c r="BW45" s="76"/>
      <c r="BX45" s="76"/>
      <c r="BY45" s="76"/>
      <c r="BZ45" s="76"/>
      <c r="CA45" s="76"/>
      <c r="CB45" s="76"/>
      <c r="CC45" s="76"/>
      <c r="CD45" s="76"/>
      <c r="CE45" s="76"/>
      <c r="CF45" s="76"/>
      <c r="CG45" s="76"/>
      <c r="CH45" s="76"/>
      <c r="CI45" s="76"/>
      <c r="CJ45" s="76"/>
      <c r="CK45" s="76"/>
      <c r="CL45" s="76"/>
      <c r="CM45" s="76"/>
      <c r="CN45" s="76"/>
      <c r="CO45" s="76"/>
      <c r="CP45" s="76"/>
      <c r="CQ45" s="76"/>
      <c r="CR45" s="76"/>
      <c r="CS45" s="76"/>
      <c r="CT45" s="76"/>
      <c r="CU45" s="76"/>
      <c r="CV45" s="76"/>
      <c r="CW45" s="76"/>
      <c r="CX45" s="76"/>
      <c r="CY45" s="76"/>
      <c r="CZ45" s="76"/>
      <c r="DA45" s="76"/>
      <c r="DB45" s="76"/>
      <c r="DC45" s="76"/>
      <c r="DD45" s="76"/>
      <c r="DE45" s="76"/>
      <c r="DF45" s="76"/>
      <c r="DG45" s="76"/>
      <c r="DH45" s="76"/>
      <c r="DI45" s="76"/>
      <c r="DJ45" s="76"/>
      <c r="DK45" s="76"/>
      <c r="DL45" s="76"/>
      <c r="DM45" s="76"/>
      <c r="DN45" s="76"/>
      <c r="DO45" s="76"/>
      <c r="DP45" s="76"/>
      <c r="DQ45" s="76"/>
      <c r="DR45" s="76"/>
      <c r="DS45" s="76"/>
      <c r="DT45" s="76"/>
      <c r="DU45" s="76"/>
      <c r="DV45" s="76"/>
      <c r="DW45" s="76"/>
      <c r="DX45" s="76"/>
      <c r="DY45" s="76"/>
      <c r="DZ45" s="76"/>
      <c r="EA45" s="76"/>
      <c r="EB45" s="76"/>
      <c r="EC45" s="76"/>
      <c r="ED45" s="76"/>
      <c r="EE45" s="76"/>
      <c r="EF45" s="76"/>
      <c r="EG45" s="76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</row>
    <row r="46" spans="2:298" ht="13.5">
      <c r="B46" s="119">
        <v>21</v>
      </c>
      <c r="C46" s="70" t="s">
        <v>13</v>
      </c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  <c r="DF46" s="75"/>
      <c r="DG46" s="75"/>
      <c r="DH46" s="75"/>
      <c r="DI46" s="75"/>
      <c r="DJ46" s="75"/>
      <c r="DK46" s="75"/>
      <c r="DL46" s="75"/>
      <c r="DM46" s="75"/>
      <c r="DN46" s="75"/>
      <c r="DO46" s="75"/>
      <c r="DP46" s="75"/>
      <c r="DQ46" s="75"/>
      <c r="DR46" s="75"/>
      <c r="DS46" s="75"/>
      <c r="DT46" s="75"/>
      <c r="DU46" s="75"/>
      <c r="DV46" s="75"/>
      <c r="DW46" s="75"/>
      <c r="DX46" s="75"/>
      <c r="DY46" s="75"/>
      <c r="DZ46" s="75"/>
      <c r="EA46" s="75"/>
      <c r="EB46" s="75"/>
      <c r="EC46" s="75"/>
      <c r="ED46" s="75"/>
      <c r="EE46" s="75"/>
      <c r="EF46" s="75"/>
      <c r="EG46" s="75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</row>
    <row r="47" spans="2:298" ht="13.5">
      <c r="B47" s="121"/>
      <c r="C47" s="71" t="s">
        <v>6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76"/>
      <c r="BJ47" s="76"/>
      <c r="BK47" s="76"/>
      <c r="BL47" s="76"/>
      <c r="BM47" s="76"/>
      <c r="BN47" s="76"/>
      <c r="BO47" s="76"/>
      <c r="BP47" s="76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  <c r="CB47" s="76"/>
      <c r="CC47" s="76"/>
      <c r="CD47" s="76"/>
      <c r="CE47" s="76"/>
      <c r="CF47" s="76"/>
      <c r="CG47" s="76"/>
      <c r="CH47" s="76"/>
      <c r="CI47" s="76"/>
      <c r="CJ47" s="76"/>
      <c r="CK47" s="76"/>
      <c r="CL47" s="76"/>
      <c r="CM47" s="76"/>
      <c r="CN47" s="76"/>
      <c r="CO47" s="76"/>
      <c r="CP47" s="76"/>
      <c r="CQ47" s="76"/>
      <c r="CR47" s="76"/>
      <c r="CS47" s="76"/>
      <c r="CT47" s="76"/>
      <c r="CU47" s="76"/>
      <c r="CV47" s="76"/>
      <c r="CW47" s="76"/>
      <c r="CX47" s="76"/>
      <c r="CY47" s="76"/>
      <c r="CZ47" s="76"/>
      <c r="DA47" s="76"/>
      <c r="DB47" s="76"/>
      <c r="DC47" s="76"/>
      <c r="DD47" s="76"/>
      <c r="DE47" s="76"/>
      <c r="DF47" s="76"/>
      <c r="DG47" s="76"/>
      <c r="DH47" s="76"/>
      <c r="DI47" s="76"/>
      <c r="DJ47" s="76"/>
      <c r="DK47" s="76"/>
      <c r="DL47" s="76"/>
      <c r="DM47" s="76"/>
      <c r="DN47" s="76"/>
      <c r="DO47" s="76"/>
      <c r="DP47" s="76"/>
      <c r="DQ47" s="76"/>
      <c r="DR47" s="76"/>
      <c r="DS47" s="76"/>
      <c r="DT47" s="76"/>
      <c r="DU47" s="76"/>
      <c r="DV47" s="76"/>
      <c r="DW47" s="76"/>
      <c r="DX47" s="76"/>
      <c r="DY47" s="76"/>
      <c r="DZ47" s="76"/>
      <c r="EA47" s="76"/>
      <c r="EB47" s="76"/>
      <c r="EC47" s="76"/>
      <c r="ED47" s="76"/>
      <c r="EE47" s="76">
        <v>87</v>
      </c>
      <c r="EF47" s="76"/>
      <c r="EG47" s="76">
        <v>464</v>
      </c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</row>
    <row r="48" spans="2:298" ht="13.5">
      <c r="B48" s="119">
        <v>22</v>
      </c>
      <c r="C48" s="70" t="s">
        <v>13</v>
      </c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  <c r="DF48" s="75"/>
      <c r="DG48" s="75"/>
      <c r="DH48" s="75"/>
      <c r="DI48" s="75"/>
      <c r="DJ48" s="75"/>
      <c r="DK48" s="75"/>
      <c r="DL48" s="75"/>
      <c r="DM48" s="75"/>
      <c r="DN48" s="75"/>
      <c r="DO48" s="75"/>
      <c r="DP48" s="75"/>
      <c r="DQ48" s="75"/>
      <c r="DR48" s="75"/>
      <c r="DS48" s="75"/>
      <c r="DT48" s="75"/>
      <c r="DU48" s="75"/>
      <c r="DV48" s="75"/>
      <c r="DW48" s="75"/>
      <c r="DX48" s="75"/>
      <c r="DY48" s="75"/>
      <c r="DZ48" s="75"/>
      <c r="EA48" s="75"/>
      <c r="EB48" s="75"/>
      <c r="EC48" s="75"/>
      <c r="ED48" s="75"/>
      <c r="EE48" s="75"/>
      <c r="EF48" s="75"/>
      <c r="EG48" s="75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</row>
    <row r="49" spans="2:298" ht="13.5">
      <c r="B49" s="121"/>
      <c r="C49" s="71" t="s">
        <v>6</v>
      </c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/>
      <c r="BI49" s="76"/>
      <c r="BJ49" s="76"/>
      <c r="BK49" s="76"/>
      <c r="BL49" s="76"/>
      <c r="BM49" s="76"/>
      <c r="BN49" s="76"/>
      <c r="BO49" s="76"/>
      <c r="BP49" s="76"/>
      <c r="BQ49" s="76"/>
      <c r="BR49" s="76"/>
      <c r="BS49" s="76"/>
      <c r="BT49" s="76"/>
      <c r="BU49" s="76"/>
      <c r="BV49" s="76"/>
      <c r="BW49" s="76"/>
      <c r="BX49" s="76"/>
      <c r="BY49" s="76"/>
      <c r="BZ49" s="76"/>
      <c r="CA49" s="76"/>
      <c r="CB49" s="76"/>
      <c r="CC49" s="76"/>
      <c r="CD49" s="76"/>
      <c r="CE49" s="76"/>
      <c r="CF49" s="76"/>
      <c r="CG49" s="76"/>
      <c r="CH49" s="76"/>
      <c r="CI49" s="76"/>
      <c r="CJ49" s="76"/>
      <c r="CK49" s="76"/>
      <c r="CL49" s="76"/>
      <c r="CM49" s="76"/>
      <c r="CN49" s="76"/>
      <c r="CO49" s="76"/>
      <c r="CP49" s="76"/>
      <c r="CQ49" s="76"/>
      <c r="CR49" s="76"/>
      <c r="CS49" s="76"/>
      <c r="CT49" s="76"/>
      <c r="CU49" s="76"/>
      <c r="CV49" s="76"/>
      <c r="CW49" s="76"/>
      <c r="CX49" s="76"/>
      <c r="CY49" s="76"/>
      <c r="CZ49" s="76"/>
      <c r="DA49" s="76"/>
      <c r="DB49" s="76"/>
      <c r="DC49" s="76"/>
      <c r="DD49" s="76"/>
      <c r="DE49" s="76"/>
      <c r="DF49" s="76"/>
      <c r="DG49" s="76"/>
      <c r="DH49" s="76"/>
      <c r="DI49" s="76"/>
      <c r="DJ49" s="76"/>
      <c r="DK49" s="76"/>
      <c r="DL49" s="76"/>
      <c r="DM49" s="76"/>
      <c r="DN49" s="76"/>
      <c r="DO49" s="76"/>
      <c r="DP49" s="76"/>
      <c r="DQ49" s="76"/>
      <c r="DR49" s="76"/>
      <c r="DS49" s="76"/>
      <c r="DT49" s="76"/>
      <c r="DU49" s="76"/>
      <c r="DV49" s="76"/>
      <c r="DW49" s="76"/>
      <c r="DX49" s="76"/>
      <c r="DY49" s="76"/>
      <c r="DZ49" s="76"/>
      <c r="EA49" s="76"/>
      <c r="EB49" s="76"/>
      <c r="EC49" s="76"/>
      <c r="ED49" s="76"/>
      <c r="EE49" s="76">
        <v>108</v>
      </c>
      <c r="EF49" s="76"/>
      <c r="EG49" s="76">
        <v>538</v>
      </c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</row>
    <row r="50" spans="2:298" ht="13.5">
      <c r="B50" s="119">
        <v>23</v>
      </c>
      <c r="C50" s="70" t="s">
        <v>13</v>
      </c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  <c r="DF50" s="75"/>
      <c r="DG50" s="75"/>
      <c r="DH50" s="75"/>
      <c r="DI50" s="75"/>
      <c r="DJ50" s="75"/>
      <c r="DK50" s="75"/>
      <c r="DL50" s="75"/>
      <c r="DM50" s="75"/>
      <c r="DN50" s="75"/>
      <c r="DO50" s="75"/>
      <c r="DP50" s="75"/>
      <c r="DQ50" s="75"/>
      <c r="DR50" s="75"/>
      <c r="DS50" s="75"/>
      <c r="DT50" s="75"/>
      <c r="DU50" s="75"/>
      <c r="DV50" s="75"/>
      <c r="DW50" s="75"/>
      <c r="DX50" s="75"/>
      <c r="DY50" s="75"/>
      <c r="DZ50" s="75"/>
      <c r="EA50" s="75"/>
      <c r="EB50" s="75"/>
      <c r="EC50" s="75"/>
      <c r="ED50" s="75"/>
      <c r="EE50" s="75"/>
      <c r="EF50" s="75"/>
      <c r="EG50" s="75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</row>
    <row r="51" spans="2:298" ht="13.5">
      <c r="B51" s="121"/>
      <c r="C51" s="71" t="s">
        <v>6</v>
      </c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  <c r="BF51" s="76"/>
      <c r="BG51" s="76"/>
      <c r="BH51" s="76"/>
      <c r="BI51" s="76"/>
      <c r="BJ51" s="76"/>
      <c r="BK51" s="76"/>
      <c r="BL51" s="76"/>
      <c r="BM51" s="76"/>
      <c r="BN51" s="76"/>
      <c r="BO51" s="76"/>
      <c r="BP51" s="76"/>
      <c r="BQ51" s="76"/>
      <c r="BR51" s="76"/>
      <c r="BS51" s="76"/>
      <c r="BT51" s="76"/>
      <c r="BU51" s="76"/>
      <c r="BV51" s="76"/>
      <c r="BW51" s="76"/>
      <c r="BX51" s="76"/>
      <c r="BY51" s="76"/>
      <c r="BZ51" s="76"/>
      <c r="CA51" s="76"/>
      <c r="CB51" s="76"/>
      <c r="CC51" s="76"/>
      <c r="CD51" s="76"/>
      <c r="CE51" s="76"/>
      <c r="CF51" s="76"/>
      <c r="CG51" s="76"/>
      <c r="CH51" s="76"/>
      <c r="CI51" s="76"/>
      <c r="CJ51" s="76"/>
      <c r="CK51" s="76"/>
      <c r="CL51" s="76"/>
      <c r="CM51" s="76"/>
      <c r="CN51" s="76"/>
      <c r="CO51" s="76"/>
      <c r="CP51" s="76"/>
      <c r="CQ51" s="76"/>
      <c r="CR51" s="76"/>
      <c r="CS51" s="76"/>
      <c r="CT51" s="76"/>
      <c r="CU51" s="76"/>
      <c r="CV51" s="76"/>
      <c r="CW51" s="76"/>
      <c r="CX51" s="76"/>
      <c r="CY51" s="76"/>
      <c r="CZ51" s="76"/>
      <c r="DA51" s="76"/>
      <c r="DB51" s="76"/>
      <c r="DC51" s="76"/>
      <c r="DD51" s="76"/>
      <c r="DE51" s="76"/>
      <c r="DF51" s="76"/>
      <c r="DG51" s="76"/>
      <c r="DH51" s="76"/>
      <c r="DI51" s="76"/>
      <c r="DJ51" s="76"/>
      <c r="DK51" s="76"/>
      <c r="DL51" s="76"/>
      <c r="DM51" s="76"/>
      <c r="DN51" s="76"/>
      <c r="DO51" s="76"/>
      <c r="DP51" s="76"/>
      <c r="DQ51" s="76"/>
      <c r="DR51" s="76"/>
      <c r="DS51" s="76"/>
      <c r="DT51" s="76"/>
      <c r="DU51" s="76"/>
      <c r="DV51" s="76"/>
      <c r="DW51" s="76"/>
      <c r="DX51" s="76"/>
      <c r="DY51" s="76"/>
      <c r="DZ51" s="76"/>
      <c r="EA51" s="76"/>
      <c r="EB51" s="76"/>
      <c r="EC51" s="76"/>
      <c r="ED51" s="76"/>
      <c r="EE51" s="76"/>
      <c r="EF51" s="76"/>
      <c r="EG51" s="76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</row>
    <row r="52" spans="2:298" ht="13.5">
      <c r="B52" s="119">
        <v>24</v>
      </c>
      <c r="C52" s="70" t="s">
        <v>13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  <c r="DF52" s="75"/>
      <c r="DG52" s="75"/>
      <c r="DH52" s="75"/>
      <c r="DI52" s="75"/>
      <c r="DJ52" s="75"/>
      <c r="DK52" s="75"/>
      <c r="DL52" s="75"/>
      <c r="DM52" s="75"/>
      <c r="DN52" s="75"/>
      <c r="DO52" s="75"/>
      <c r="DP52" s="75"/>
      <c r="DQ52" s="75"/>
      <c r="DR52" s="75"/>
      <c r="DS52" s="75"/>
      <c r="DT52" s="75"/>
      <c r="DU52" s="75"/>
      <c r="DV52" s="75"/>
      <c r="DW52" s="75"/>
      <c r="DX52" s="75"/>
      <c r="DY52" s="75"/>
      <c r="DZ52" s="75"/>
      <c r="EA52" s="75"/>
      <c r="EB52" s="75"/>
      <c r="EC52" s="75"/>
      <c r="ED52" s="75"/>
      <c r="EE52" s="75"/>
      <c r="EF52" s="75"/>
      <c r="EG52" s="75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</row>
    <row r="53" spans="2:298" ht="13.5">
      <c r="B53" s="121"/>
      <c r="C53" s="71" t="s">
        <v>6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  <c r="BK53" s="76"/>
      <c r="BL53" s="76"/>
      <c r="BM53" s="76"/>
      <c r="BN53" s="76"/>
      <c r="BO53" s="76"/>
      <c r="BP53" s="76"/>
      <c r="BQ53" s="76"/>
      <c r="BR53" s="76"/>
      <c r="BS53" s="76"/>
      <c r="BT53" s="76"/>
      <c r="BU53" s="76"/>
      <c r="BV53" s="76"/>
      <c r="BW53" s="76"/>
      <c r="BX53" s="76"/>
      <c r="BY53" s="76"/>
      <c r="BZ53" s="76"/>
      <c r="CA53" s="76"/>
      <c r="CB53" s="76"/>
      <c r="CC53" s="76"/>
      <c r="CD53" s="76"/>
      <c r="CE53" s="76"/>
      <c r="CF53" s="76"/>
      <c r="CG53" s="76"/>
      <c r="CH53" s="76"/>
      <c r="CI53" s="76"/>
      <c r="CJ53" s="76"/>
      <c r="CK53" s="76"/>
      <c r="CL53" s="76"/>
      <c r="CM53" s="76"/>
      <c r="CN53" s="76"/>
      <c r="CO53" s="76"/>
      <c r="CP53" s="76"/>
      <c r="CQ53" s="76"/>
      <c r="CR53" s="76"/>
      <c r="CS53" s="76"/>
      <c r="CT53" s="76"/>
      <c r="CU53" s="76"/>
      <c r="CV53" s="76"/>
      <c r="CW53" s="76"/>
      <c r="CX53" s="76"/>
      <c r="CY53" s="76"/>
      <c r="CZ53" s="76"/>
      <c r="DA53" s="76"/>
      <c r="DB53" s="76"/>
      <c r="DC53" s="76"/>
      <c r="DD53" s="76"/>
      <c r="DE53" s="76"/>
      <c r="DF53" s="76"/>
      <c r="DG53" s="76"/>
      <c r="DH53" s="76"/>
      <c r="DI53" s="76"/>
      <c r="DJ53" s="76"/>
      <c r="DK53" s="76"/>
      <c r="DL53" s="76"/>
      <c r="DM53" s="76"/>
      <c r="DN53" s="76"/>
      <c r="DO53" s="76"/>
      <c r="DP53" s="76"/>
      <c r="DQ53" s="76"/>
      <c r="DR53" s="76"/>
      <c r="DS53" s="76"/>
      <c r="DT53" s="76"/>
      <c r="DU53" s="76"/>
      <c r="DV53" s="76"/>
      <c r="DW53" s="76"/>
      <c r="DX53" s="76"/>
      <c r="DY53" s="76"/>
      <c r="DZ53" s="76"/>
      <c r="EA53" s="76"/>
      <c r="EB53" s="76"/>
      <c r="EC53" s="76"/>
      <c r="ED53" s="76"/>
      <c r="EE53" s="76"/>
      <c r="EF53" s="76"/>
      <c r="EG53" s="76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</row>
    <row r="54" spans="2:298" ht="13.5">
      <c r="B54" s="119">
        <v>25</v>
      </c>
      <c r="C54" s="70" t="s">
        <v>13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  <c r="DF54" s="75"/>
      <c r="DG54" s="75"/>
      <c r="DH54" s="75"/>
      <c r="DI54" s="75"/>
      <c r="DJ54" s="75"/>
      <c r="DK54" s="75"/>
      <c r="DL54" s="75"/>
      <c r="DM54" s="75"/>
      <c r="DN54" s="75"/>
      <c r="DO54" s="75"/>
      <c r="DP54" s="75"/>
      <c r="DQ54" s="75"/>
      <c r="DR54" s="75"/>
      <c r="DS54" s="75"/>
      <c r="DT54" s="75"/>
      <c r="DU54" s="75"/>
      <c r="DV54" s="75"/>
      <c r="DW54" s="75"/>
      <c r="DX54" s="75"/>
      <c r="DY54" s="75"/>
      <c r="DZ54" s="75"/>
      <c r="EA54" s="75"/>
      <c r="EB54" s="75"/>
      <c r="EC54" s="75"/>
      <c r="ED54" s="75"/>
      <c r="EE54" s="75"/>
      <c r="EF54" s="75"/>
      <c r="EG54" s="75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</row>
    <row r="55" spans="2:298" ht="13.5">
      <c r="B55" s="121"/>
      <c r="C55" s="71" t="s">
        <v>6</v>
      </c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  <c r="BF55" s="76"/>
      <c r="BG55" s="76"/>
      <c r="BH55" s="76"/>
      <c r="BI55" s="76"/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  <c r="BU55" s="76"/>
      <c r="BV55" s="76"/>
      <c r="BW55" s="76"/>
      <c r="BX55" s="76"/>
      <c r="BY55" s="76"/>
      <c r="BZ55" s="76"/>
      <c r="CA55" s="76"/>
      <c r="CB55" s="76"/>
      <c r="CC55" s="76"/>
      <c r="CD55" s="76"/>
      <c r="CE55" s="76"/>
      <c r="CF55" s="76"/>
      <c r="CG55" s="76"/>
      <c r="CH55" s="76"/>
      <c r="CI55" s="76"/>
      <c r="CJ55" s="76"/>
      <c r="CK55" s="76"/>
      <c r="CL55" s="76"/>
      <c r="CM55" s="76"/>
      <c r="CN55" s="76"/>
      <c r="CO55" s="76"/>
      <c r="CP55" s="76"/>
      <c r="CQ55" s="76"/>
      <c r="CR55" s="76"/>
      <c r="CS55" s="76"/>
      <c r="CT55" s="76"/>
      <c r="CU55" s="76"/>
      <c r="CV55" s="76"/>
      <c r="CW55" s="76"/>
      <c r="CX55" s="76"/>
      <c r="CY55" s="76"/>
      <c r="CZ55" s="76"/>
      <c r="DA55" s="76"/>
      <c r="DB55" s="76"/>
      <c r="DC55" s="76"/>
      <c r="DD55" s="76"/>
      <c r="DE55" s="76"/>
      <c r="DF55" s="76"/>
      <c r="DG55" s="76"/>
      <c r="DH55" s="76"/>
      <c r="DI55" s="76"/>
      <c r="DJ55" s="76"/>
      <c r="DK55" s="76"/>
      <c r="DL55" s="76"/>
      <c r="DM55" s="76"/>
      <c r="DN55" s="76"/>
      <c r="DO55" s="76"/>
      <c r="DP55" s="76"/>
      <c r="DQ55" s="76"/>
      <c r="DR55" s="76"/>
      <c r="DS55" s="76"/>
      <c r="DT55" s="76"/>
      <c r="DU55" s="76"/>
      <c r="DV55" s="76"/>
      <c r="DW55" s="76"/>
      <c r="DX55" s="76"/>
      <c r="DY55" s="76"/>
      <c r="DZ55" s="76"/>
      <c r="EA55" s="76"/>
      <c r="EB55" s="76"/>
      <c r="EC55" s="76"/>
      <c r="ED55" s="76"/>
      <c r="EE55" s="76"/>
      <c r="EF55" s="76"/>
      <c r="EG55" s="76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</row>
    <row r="56" spans="2:298" ht="13.5">
      <c r="B56" s="119">
        <v>26</v>
      </c>
      <c r="C56" s="70" t="s">
        <v>13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  <c r="DF56" s="75"/>
      <c r="DG56" s="75"/>
      <c r="DH56" s="75"/>
      <c r="DI56" s="75"/>
      <c r="DJ56" s="75"/>
      <c r="DK56" s="75"/>
      <c r="DL56" s="75"/>
      <c r="DM56" s="75"/>
      <c r="DN56" s="75"/>
      <c r="DO56" s="75"/>
      <c r="DP56" s="75"/>
      <c r="DQ56" s="75"/>
      <c r="DR56" s="75"/>
      <c r="DS56" s="75"/>
      <c r="DT56" s="75"/>
      <c r="DU56" s="75"/>
      <c r="DV56" s="75"/>
      <c r="DW56" s="75"/>
      <c r="DX56" s="75"/>
      <c r="DY56" s="75"/>
      <c r="DZ56" s="75"/>
      <c r="EA56" s="75"/>
      <c r="EB56" s="75"/>
      <c r="EC56" s="75"/>
      <c r="ED56" s="75"/>
      <c r="EE56" s="75"/>
      <c r="EF56" s="75"/>
      <c r="EG56" s="75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</row>
    <row r="57" spans="2:298" ht="13.5">
      <c r="B57" s="121"/>
      <c r="C57" s="71" t="s">
        <v>6</v>
      </c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  <c r="BF57" s="76"/>
      <c r="BG57" s="76"/>
      <c r="BH57" s="76"/>
      <c r="BI57" s="76"/>
      <c r="BJ57" s="76"/>
      <c r="BK57" s="76"/>
      <c r="BL57" s="76"/>
      <c r="BM57" s="76"/>
      <c r="BN57" s="76"/>
      <c r="BO57" s="76"/>
      <c r="BP57" s="76"/>
      <c r="BQ57" s="76"/>
      <c r="BR57" s="76"/>
      <c r="BS57" s="76"/>
      <c r="BT57" s="76"/>
      <c r="BU57" s="76"/>
      <c r="BV57" s="76"/>
      <c r="BW57" s="76"/>
      <c r="BX57" s="76"/>
      <c r="BY57" s="76"/>
      <c r="BZ57" s="76"/>
      <c r="CA57" s="76"/>
      <c r="CB57" s="76"/>
      <c r="CC57" s="76"/>
      <c r="CD57" s="76"/>
      <c r="CE57" s="76"/>
      <c r="CF57" s="76"/>
      <c r="CG57" s="76"/>
      <c r="CH57" s="76"/>
      <c r="CI57" s="76"/>
      <c r="CJ57" s="76"/>
      <c r="CK57" s="76"/>
      <c r="CL57" s="76"/>
      <c r="CM57" s="76"/>
      <c r="CN57" s="76"/>
      <c r="CO57" s="76"/>
      <c r="CP57" s="76"/>
      <c r="CQ57" s="76"/>
      <c r="CR57" s="76"/>
      <c r="CS57" s="76"/>
      <c r="CT57" s="76"/>
      <c r="CU57" s="76"/>
      <c r="CV57" s="76"/>
      <c r="CW57" s="76"/>
      <c r="CX57" s="76"/>
      <c r="CY57" s="76"/>
      <c r="CZ57" s="76"/>
      <c r="DA57" s="76"/>
      <c r="DB57" s="76"/>
      <c r="DC57" s="76"/>
      <c r="DD57" s="76"/>
      <c r="DE57" s="76"/>
      <c r="DF57" s="76"/>
      <c r="DG57" s="76"/>
      <c r="DH57" s="76"/>
      <c r="DI57" s="76"/>
      <c r="DJ57" s="76"/>
      <c r="DK57" s="76"/>
      <c r="DL57" s="76"/>
      <c r="DM57" s="76"/>
      <c r="DN57" s="76"/>
      <c r="DO57" s="76"/>
      <c r="DP57" s="76"/>
      <c r="DQ57" s="76"/>
      <c r="DR57" s="76"/>
      <c r="DS57" s="76"/>
      <c r="DT57" s="76"/>
      <c r="DU57" s="76"/>
      <c r="DV57" s="76"/>
      <c r="DW57" s="76"/>
      <c r="DX57" s="76"/>
      <c r="DY57" s="76"/>
      <c r="DZ57" s="76"/>
      <c r="EA57" s="76"/>
      <c r="EB57" s="76"/>
      <c r="EC57" s="76"/>
      <c r="ED57" s="76"/>
      <c r="EE57" s="76"/>
      <c r="EF57" s="76"/>
      <c r="EG57" s="76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</row>
    <row r="58" spans="2:298" ht="13.5">
      <c r="B58" s="119">
        <v>27</v>
      </c>
      <c r="C58" s="70" t="s">
        <v>13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5"/>
      <c r="BZ58" s="75"/>
      <c r="CA58" s="75"/>
      <c r="CB58" s="75"/>
      <c r="CC58" s="75"/>
      <c r="CD58" s="75"/>
      <c r="CE58" s="75"/>
      <c r="CF58" s="75"/>
      <c r="CG58" s="75"/>
      <c r="CH58" s="75"/>
      <c r="CI58" s="75"/>
      <c r="CJ58" s="75"/>
      <c r="CK58" s="75"/>
      <c r="CL58" s="75"/>
      <c r="CM58" s="75"/>
      <c r="CN58" s="75"/>
      <c r="CO58" s="75"/>
      <c r="CP58" s="75"/>
      <c r="CQ58" s="75"/>
      <c r="CR58" s="75"/>
      <c r="CS58" s="75"/>
      <c r="CT58" s="75"/>
      <c r="CU58" s="75"/>
      <c r="CV58" s="75"/>
      <c r="CW58" s="75"/>
      <c r="CX58" s="75"/>
      <c r="CY58" s="75"/>
      <c r="CZ58" s="75"/>
      <c r="DA58" s="75"/>
      <c r="DB58" s="75"/>
      <c r="DC58" s="75"/>
      <c r="DD58" s="75"/>
      <c r="DE58" s="75"/>
      <c r="DF58" s="75"/>
      <c r="DG58" s="75"/>
      <c r="DH58" s="75"/>
      <c r="DI58" s="75"/>
      <c r="DJ58" s="75"/>
      <c r="DK58" s="75"/>
      <c r="DL58" s="75"/>
      <c r="DM58" s="75"/>
      <c r="DN58" s="75"/>
      <c r="DO58" s="75"/>
      <c r="DP58" s="75"/>
      <c r="DQ58" s="75"/>
      <c r="DR58" s="75"/>
      <c r="DS58" s="75"/>
      <c r="DT58" s="75"/>
      <c r="DU58" s="75"/>
      <c r="DV58" s="75"/>
      <c r="DW58" s="75"/>
      <c r="DX58" s="75"/>
      <c r="DY58" s="75"/>
      <c r="DZ58" s="75"/>
      <c r="EA58" s="75"/>
      <c r="EB58" s="75"/>
      <c r="EC58" s="75"/>
      <c r="ED58" s="75"/>
      <c r="EE58" s="75"/>
      <c r="EF58" s="75"/>
      <c r="EG58" s="75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</row>
    <row r="59" spans="2:298" ht="13.5">
      <c r="B59" s="121"/>
      <c r="C59" s="71" t="s">
        <v>6</v>
      </c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  <c r="BF59" s="76"/>
      <c r="BG59" s="76"/>
      <c r="BH59" s="76"/>
      <c r="BI59" s="76"/>
      <c r="BJ59" s="76"/>
      <c r="BK59" s="76"/>
      <c r="BL59" s="76"/>
      <c r="BM59" s="76"/>
      <c r="BN59" s="76"/>
      <c r="BO59" s="76"/>
      <c r="BP59" s="76"/>
      <c r="BQ59" s="76"/>
      <c r="BR59" s="76"/>
      <c r="BS59" s="76"/>
      <c r="BT59" s="76"/>
      <c r="BU59" s="76"/>
      <c r="BV59" s="76"/>
      <c r="BW59" s="76"/>
      <c r="BX59" s="76"/>
      <c r="BY59" s="76"/>
      <c r="BZ59" s="76"/>
      <c r="CA59" s="76"/>
      <c r="CB59" s="76"/>
      <c r="CC59" s="76"/>
      <c r="CD59" s="76"/>
      <c r="CE59" s="76"/>
      <c r="CF59" s="76"/>
      <c r="CG59" s="76"/>
      <c r="CH59" s="76"/>
      <c r="CI59" s="76"/>
      <c r="CJ59" s="76"/>
      <c r="CK59" s="76"/>
      <c r="CL59" s="76"/>
      <c r="CM59" s="76"/>
      <c r="CN59" s="76"/>
      <c r="CO59" s="76"/>
      <c r="CP59" s="76"/>
      <c r="CQ59" s="76"/>
      <c r="CR59" s="76"/>
      <c r="CS59" s="76"/>
      <c r="CT59" s="76"/>
      <c r="CU59" s="76"/>
      <c r="CV59" s="76"/>
      <c r="CW59" s="76"/>
      <c r="CX59" s="76"/>
      <c r="CY59" s="76"/>
      <c r="CZ59" s="76"/>
      <c r="DA59" s="76"/>
      <c r="DB59" s="76"/>
      <c r="DC59" s="76"/>
      <c r="DD59" s="76"/>
      <c r="DE59" s="76"/>
      <c r="DF59" s="76"/>
      <c r="DG59" s="76"/>
      <c r="DH59" s="76"/>
      <c r="DI59" s="76"/>
      <c r="DJ59" s="76"/>
      <c r="DK59" s="76"/>
      <c r="DL59" s="76"/>
      <c r="DM59" s="76"/>
      <c r="DN59" s="76"/>
      <c r="DO59" s="76"/>
      <c r="DP59" s="76"/>
      <c r="DQ59" s="76"/>
      <c r="DR59" s="76"/>
      <c r="DS59" s="76"/>
      <c r="DT59" s="76"/>
      <c r="DU59" s="76"/>
      <c r="DV59" s="76"/>
      <c r="DW59" s="76"/>
      <c r="DX59" s="76"/>
      <c r="DY59" s="76"/>
      <c r="DZ59" s="76"/>
      <c r="EA59" s="76"/>
      <c r="EB59" s="76"/>
      <c r="EC59" s="76"/>
      <c r="ED59" s="76"/>
      <c r="EE59" s="76"/>
      <c r="EF59" s="76"/>
      <c r="EG59" s="76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</row>
    <row r="60" spans="2:298" ht="13.5">
      <c r="B60" s="119">
        <v>28</v>
      </c>
      <c r="C60" s="70" t="s">
        <v>13</v>
      </c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  <c r="DI60" s="75"/>
      <c r="DJ60" s="75"/>
      <c r="DK60" s="75"/>
      <c r="DL60" s="75"/>
      <c r="DM60" s="75"/>
      <c r="DN60" s="75"/>
      <c r="DO60" s="75"/>
      <c r="DP60" s="75"/>
      <c r="DQ60" s="75"/>
      <c r="DR60" s="75"/>
      <c r="DS60" s="75"/>
      <c r="DT60" s="75"/>
      <c r="DU60" s="75"/>
      <c r="DV60" s="75"/>
      <c r="DW60" s="75"/>
      <c r="DX60" s="75"/>
      <c r="DY60" s="75"/>
      <c r="DZ60" s="75"/>
      <c r="EA60" s="75"/>
      <c r="EB60" s="75"/>
      <c r="EC60" s="75"/>
      <c r="ED60" s="75"/>
      <c r="EE60" s="75"/>
      <c r="EF60" s="75"/>
      <c r="EG60" s="75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</row>
    <row r="61" spans="2:298" ht="13.5">
      <c r="B61" s="121"/>
      <c r="C61" s="71" t="s">
        <v>6</v>
      </c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  <c r="BF61" s="76"/>
      <c r="BG61" s="76"/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/>
      <c r="BS61" s="76"/>
      <c r="BT61" s="76"/>
      <c r="BU61" s="76"/>
      <c r="BV61" s="76"/>
      <c r="BW61" s="76"/>
      <c r="BX61" s="76"/>
      <c r="BY61" s="76"/>
      <c r="BZ61" s="76"/>
      <c r="CA61" s="76"/>
      <c r="CB61" s="76"/>
      <c r="CC61" s="76"/>
      <c r="CD61" s="76"/>
      <c r="CE61" s="76"/>
      <c r="CF61" s="76"/>
      <c r="CG61" s="76"/>
      <c r="CH61" s="76"/>
      <c r="CI61" s="76"/>
      <c r="CJ61" s="76"/>
      <c r="CK61" s="76"/>
      <c r="CL61" s="76"/>
      <c r="CM61" s="76"/>
      <c r="CN61" s="76"/>
      <c r="CO61" s="76"/>
      <c r="CP61" s="76"/>
      <c r="CQ61" s="76"/>
      <c r="CR61" s="76"/>
      <c r="CS61" s="76"/>
      <c r="CT61" s="76"/>
      <c r="CU61" s="76"/>
      <c r="CV61" s="76"/>
      <c r="CW61" s="76"/>
      <c r="CX61" s="76"/>
      <c r="CY61" s="76"/>
      <c r="CZ61" s="76"/>
      <c r="DA61" s="76"/>
      <c r="DB61" s="76"/>
      <c r="DC61" s="76"/>
      <c r="DD61" s="76"/>
      <c r="DE61" s="76"/>
      <c r="DF61" s="76"/>
      <c r="DG61" s="76"/>
      <c r="DH61" s="76"/>
      <c r="DI61" s="76"/>
      <c r="DJ61" s="76"/>
      <c r="DK61" s="76"/>
      <c r="DL61" s="76"/>
      <c r="DM61" s="76"/>
      <c r="DN61" s="76"/>
      <c r="DO61" s="76"/>
      <c r="DP61" s="76"/>
      <c r="DQ61" s="76"/>
      <c r="DR61" s="76"/>
      <c r="DS61" s="76"/>
      <c r="DT61" s="76"/>
      <c r="DU61" s="76"/>
      <c r="DV61" s="76"/>
      <c r="DW61" s="76"/>
      <c r="DX61" s="76"/>
      <c r="DY61" s="76"/>
      <c r="DZ61" s="76"/>
      <c r="EA61" s="76"/>
      <c r="EB61" s="76"/>
      <c r="EC61" s="76"/>
      <c r="ED61" s="76"/>
      <c r="EE61" s="76"/>
      <c r="EF61" s="76"/>
      <c r="EG61" s="76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</row>
    <row r="62" spans="2:298" ht="13.5">
      <c r="B62" s="119">
        <v>29</v>
      </c>
      <c r="C62" s="70" t="s">
        <v>13</v>
      </c>
      <c r="D62" s="75"/>
      <c r="E62" s="75">
        <v>2</v>
      </c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>
        <v>2</v>
      </c>
      <c r="DE62" s="75">
        <v>2</v>
      </c>
      <c r="DF62" s="75"/>
      <c r="DG62" s="75"/>
      <c r="DH62" s="75"/>
      <c r="DI62" s="75"/>
      <c r="DJ62" s="75"/>
      <c r="DK62" s="75"/>
      <c r="DL62" s="75"/>
      <c r="DM62" s="75"/>
      <c r="DN62" s="75"/>
      <c r="DO62" s="75"/>
      <c r="DP62" s="75"/>
      <c r="DQ62" s="75"/>
      <c r="DR62" s="75"/>
      <c r="DS62" s="75"/>
      <c r="DT62" s="75"/>
      <c r="DU62" s="75"/>
      <c r="DV62" s="75"/>
      <c r="DW62" s="75"/>
      <c r="DX62" s="75"/>
      <c r="DY62" s="75"/>
      <c r="DZ62" s="75"/>
      <c r="EA62" s="75"/>
      <c r="EB62" s="75"/>
      <c r="EC62" s="75"/>
      <c r="ED62" s="75"/>
      <c r="EE62" s="75"/>
      <c r="EF62" s="75"/>
      <c r="EG62" s="75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</row>
    <row r="63" spans="2:298" ht="13.5">
      <c r="B63" s="121"/>
      <c r="C63" s="71" t="s">
        <v>6</v>
      </c>
      <c r="D63" s="76"/>
      <c r="E63" s="76">
        <v>120</v>
      </c>
      <c r="F63" s="76">
        <v>27</v>
      </c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  <c r="CY63" s="76"/>
      <c r="CZ63" s="76"/>
      <c r="DA63" s="76"/>
      <c r="DB63" s="76"/>
      <c r="DC63" s="76"/>
      <c r="DD63" s="76">
        <v>33</v>
      </c>
      <c r="DE63" s="76">
        <v>15</v>
      </c>
      <c r="DF63" s="76"/>
      <c r="DG63" s="76"/>
      <c r="DH63" s="76"/>
      <c r="DI63" s="76"/>
      <c r="DJ63" s="76"/>
      <c r="DK63" s="76"/>
      <c r="DL63" s="76"/>
      <c r="DM63" s="76"/>
      <c r="DN63" s="76"/>
      <c r="DO63" s="76"/>
      <c r="DP63" s="76"/>
      <c r="DQ63" s="76"/>
      <c r="DR63" s="76"/>
      <c r="DS63" s="76"/>
      <c r="DT63" s="76"/>
      <c r="DU63" s="76"/>
      <c r="DV63" s="76"/>
      <c r="DW63" s="76"/>
      <c r="DX63" s="76"/>
      <c r="DY63" s="76"/>
      <c r="DZ63" s="76"/>
      <c r="EA63" s="76"/>
      <c r="EB63" s="76"/>
      <c r="EC63" s="76"/>
      <c r="ED63" s="76"/>
      <c r="EE63" s="76"/>
      <c r="EF63" s="76"/>
      <c r="EG63" s="76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</row>
    <row r="64" spans="2:298" ht="13.5">
      <c r="B64" s="119">
        <v>30</v>
      </c>
      <c r="C64" s="70" t="s">
        <v>13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  <c r="DF64" s="75"/>
      <c r="DG64" s="75"/>
      <c r="DH64" s="75"/>
      <c r="DI64" s="75"/>
      <c r="DJ64" s="75"/>
      <c r="DK64" s="75"/>
      <c r="DL64" s="75"/>
      <c r="DM64" s="75"/>
      <c r="DN64" s="75"/>
      <c r="DO64" s="75"/>
      <c r="DP64" s="75"/>
      <c r="DQ64" s="75"/>
      <c r="DR64" s="75"/>
      <c r="DS64" s="75"/>
      <c r="DT64" s="75"/>
      <c r="DU64" s="75"/>
      <c r="DV64" s="75"/>
      <c r="DW64" s="75"/>
      <c r="DX64" s="75"/>
      <c r="DY64" s="75"/>
      <c r="DZ64" s="75"/>
      <c r="EA64" s="75"/>
      <c r="EB64" s="75"/>
      <c r="EC64" s="75"/>
      <c r="ED64" s="75"/>
      <c r="EE64" s="75"/>
      <c r="EF64" s="75"/>
      <c r="EG64" s="75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</row>
    <row r="65" spans="2:298" ht="13.5">
      <c r="B65" s="121"/>
      <c r="C65" s="71" t="s">
        <v>6</v>
      </c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76"/>
      <c r="CT65" s="76"/>
      <c r="CU65" s="76"/>
      <c r="CV65" s="76"/>
      <c r="CW65" s="76"/>
      <c r="CX65" s="76"/>
      <c r="CY65" s="76"/>
      <c r="CZ65" s="76"/>
      <c r="DA65" s="76"/>
      <c r="DB65" s="76"/>
      <c r="DC65" s="76"/>
      <c r="DD65" s="76"/>
      <c r="DE65" s="76"/>
      <c r="DF65" s="76"/>
      <c r="DG65" s="76"/>
      <c r="DH65" s="76"/>
      <c r="DI65" s="76"/>
      <c r="DJ65" s="76"/>
      <c r="DK65" s="76"/>
      <c r="DL65" s="76"/>
      <c r="DM65" s="76"/>
      <c r="DN65" s="76"/>
      <c r="DO65" s="76"/>
      <c r="DP65" s="76"/>
      <c r="DQ65" s="76"/>
      <c r="DR65" s="76"/>
      <c r="DS65" s="76"/>
      <c r="DT65" s="76"/>
      <c r="DU65" s="76"/>
      <c r="DV65" s="76"/>
      <c r="DW65" s="76"/>
      <c r="DX65" s="76"/>
      <c r="DY65" s="76"/>
      <c r="DZ65" s="76"/>
      <c r="EA65" s="76"/>
      <c r="EB65" s="76"/>
      <c r="EC65" s="76"/>
      <c r="ED65" s="76"/>
      <c r="EE65" s="76"/>
      <c r="EF65" s="76"/>
      <c r="EG65" s="76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</row>
    <row r="66" spans="2:298" ht="13.5">
      <c r="B66" s="119">
        <v>31</v>
      </c>
      <c r="C66" s="70" t="s">
        <v>13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75"/>
      <c r="CR66" s="75"/>
      <c r="CS66" s="75"/>
      <c r="CT66" s="75"/>
      <c r="CU66" s="75"/>
      <c r="CV66" s="75"/>
      <c r="CW66" s="75"/>
      <c r="CX66" s="75"/>
      <c r="CY66" s="75"/>
      <c r="CZ66" s="75"/>
      <c r="DA66" s="75"/>
      <c r="DB66" s="75"/>
      <c r="DC66" s="75"/>
      <c r="DD66" s="75"/>
      <c r="DE66" s="75"/>
      <c r="DF66" s="75"/>
      <c r="DG66" s="75"/>
      <c r="DH66" s="75"/>
      <c r="DI66" s="75"/>
      <c r="DJ66" s="75"/>
      <c r="DK66" s="75"/>
      <c r="DL66" s="75"/>
      <c r="DM66" s="75"/>
      <c r="DN66" s="75"/>
      <c r="DO66" s="75"/>
      <c r="DP66" s="75"/>
      <c r="DQ66" s="75"/>
      <c r="DR66" s="75"/>
      <c r="DS66" s="75"/>
      <c r="DT66" s="75"/>
      <c r="DU66" s="75"/>
      <c r="DV66" s="75"/>
      <c r="DW66" s="75"/>
      <c r="DX66" s="75"/>
      <c r="DY66" s="75"/>
      <c r="DZ66" s="75"/>
      <c r="EA66" s="75"/>
      <c r="EB66" s="75"/>
      <c r="EC66" s="75"/>
      <c r="ED66" s="75"/>
      <c r="EE66" s="75"/>
      <c r="EF66" s="75"/>
      <c r="EG66" s="75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</row>
    <row r="67" spans="2:298" ht="14.25" thickBot="1">
      <c r="B67" s="120"/>
      <c r="C67" s="72" t="s">
        <v>6</v>
      </c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6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6"/>
      <c r="CS67" s="76"/>
      <c r="CT67" s="76"/>
      <c r="CU67" s="76"/>
      <c r="CV67" s="76"/>
      <c r="CW67" s="76"/>
      <c r="CX67" s="76"/>
      <c r="CY67" s="76"/>
      <c r="CZ67" s="76"/>
      <c r="DA67" s="76"/>
      <c r="DB67" s="76"/>
      <c r="DC67" s="76"/>
      <c r="DD67" s="76"/>
      <c r="DE67" s="76"/>
      <c r="DF67" s="76"/>
      <c r="DG67" s="76"/>
      <c r="DH67" s="76"/>
      <c r="DI67" s="76"/>
      <c r="DJ67" s="76"/>
      <c r="DK67" s="76"/>
      <c r="DL67" s="76"/>
      <c r="DM67" s="76"/>
      <c r="DN67" s="76"/>
      <c r="DO67" s="76"/>
      <c r="DP67" s="76"/>
      <c r="DQ67" s="76"/>
      <c r="DR67" s="76"/>
      <c r="DS67" s="76"/>
      <c r="DT67" s="76"/>
      <c r="DU67" s="76"/>
      <c r="DV67" s="76"/>
      <c r="DW67" s="76"/>
      <c r="DX67" s="76"/>
      <c r="DY67" s="76"/>
      <c r="DZ67" s="76"/>
      <c r="EA67" s="76"/>
      <c r="EB67" s="76"/>
      <c r="EC67" s="76"/>
      <c r="ED67" s="76"/>
      <c r="EE67" s="76"/>
      <c r="EF67" s="76"/>
      <c r="EG67" s="76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</row>
    <row r="68" spans="2:298" ht="13.5"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</row>
  </sheetData>
  <dataConsolidate/>
  <mergeCells count="48">
    <mergeCell ref="A1:D1"/>
    <mergeCell ref="B2:B3"/>
    <mergeCell ref="B10:B11"/>
    <mergeCell ref="D2:F2"/>
    <mergeCell ref="G2:W2"/>
    <mergeCell ref="X2:AL2"/>
    <mergeCell ref="AM2:AQ2"/>
    <mergeCell ref="AR2:BG2"/>
    <mergeCell ref="BH2:BI2"/>
    <mergeCell ref="BJ2:BK2"/>
    <mergeCell ref="BL2:BU2"/>
    <mergeCell ref="B12:B13"/>
    <mergeCell ref="B14:B15"/>
    <mergeCell ref="B4:C5"/>
    <mergeCell ref="B6:B7"/>
    <mergeCell ref="B8:B9"/>
    <mergeCell ref="BV2:CQ2"/>
    <mergeCell ref="CR2:CU2"/>
    <mergeCell ref="CV2:CW2"/>
    <mergeCell ref="CX2:DT2"/>
    <mergeCell ref="B16:B17"/>
    <mergeCell ref="B44:B45"/>
    <mergeCell ref="B42:B43"/>
    <mergeCell ref="B54:B55"/>
    <mergeCell ref="B56:B57"/>
    <mergeCell ref="B30:B31"/>
    <mergeCell ref="B32:B33"/>
    <mergeCell ref="B34:B35"/>
    <mergeCell ref="B36:B37"/>
    <mergeCell ref="B38:B39"/>
    <mergeCell ref="B50:B51"/>
    <mergeCell ref="B52:B53"/>
    <mergeCell ref="B48:B49"/>
    <mergeCell ref="B46:B47"/>
    <mergeCell ref="B66:B67"/>
    <mergeCell ref="B62:B63"/>
    <mergeCell ref="B64:B65"/>
    <mergeCell ref="B40:B41"/>
    <mergeCell ref="B18:B19"/>
    <mergeCell ref="B20:B21"/>
    <mergeCell ref="B22:B23"/>
    <mergeCell ref="B24:B25"/>
    <mergeCell ref="B26:B27"/>
    <mergeCell ref="B28:B29"/>
    <mergeCell ref="B58:B59"/>
    <mergeCell ref="B60:B61"/>
    <mergeCell ref="DU2:ED2"/>
    <mergeCell ref="EE2:EF2"/>
  </mergeCells>
  <phoneticPr fontId="1"/>
  <dataValidations count="1">
    <dataValidation allowBlank="1" showErrorMessage="1" promptTitle="日付を入力" prompt="集計する月の1日を入力して下さい。_x000a_例）6月分の集計 ⇒ 6/1" sqref="A1:D1"/>
  </dataValidations>
  <pageMargins left="0.31496062992125984" right="0.31496062992125984" top="0.35433070866141736" bottom="0.35433070866141736" header="0.31496062992125984" footer="0.31496062992125984"/>
  <pageSetup paperSize="9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L68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B24" sqref="B24:B25"/>
    </sheetView>
  </sheetViews>
  <sheetFormatPr defaultColWidth="6.625" defaultRowHeight="12"/>
  <cols>
    <col min="1" max="1" width="2.625" style="4" customWidth="1"/>
    <col min="2" max="2" width="19.125" style="5" customWidth="1"/>
    <col min="3" max="3" width="4.875" style="5" customWidth="1"/>
    <col min="4" max="4" width="6.625" style="4" customWidth="1"/>
    <col min="5" max="5" width="6.75" style="4" bestFit="1" customWidth="1"/>
    <col min="6" max="6" width="7.5" style="4" customWidth="1"/>
    <col min="7" max="7" width="6.625" style="4" customWidth="1"/>
    <col min="8" max="8" width="8.125" style="4" customWidth="1"/>
    <col min="9" max="14" width="6.75" style="4" bestFit="1" customWidth="1"/>
    <col min="15" max="15" width="6.625" style="4" customWidth="1"/>
    <col min="16" max="36" width="6.75" style="4" bestFit="1" customWidth="1"/>
    <col min="37" max="37" width="6.625" style="4"/>
    <col min="38" max="41" width="6.75" style="4" bestFit="1" customWidth="1"/>
    <col min="42" max="42" width="7.375" style="4" bestFit="1" customWidth="1"/>
    <col min="43" max="54" width="6.75" style="4" bestFit="1" customWidth="1"/>
    <col min="55" max="55" width="6.625" style="4"/>
    <col min="56" max="62" width="6.75" style="4" bestFit="1" customWidth="1"/>
    <col min="63" max="63" width="6.625" style="4"/>
    <col min="64" max="65" width="6.75" style="4" bestFit="1" customWidth="1"/>
    <col min="66" max="69" width="6.625" style="4"/>
    <col min="70" max="71" width="6.75" style="4" bestFit="1" customWidth="1"/>
    <col min="72" max="73" width="6.625" style="4"/>
    <col min="74" max="79" width="6.75" style="4" bestFit="1" customWidth="1"/>
    <col min="80" max="80" width="7.375" style="4" bestFit="1" customWidth="1"/>
    <col min="81" max="93" width="6.625" style="4"/>
    <col min="94" max="94" width="8.25" style="4" customWidth="1"/>
    <col min="95" max="178" width="6.625" style="4"/>
    <col min="179" max="179" width="7.625" style="4" customWidth="1"/>
    <col min="180" max="223" width="6.625" style="4"/>
    <col min="224" max="224" width="9" style="4" customWidth="1"/>
    <col min="225" max="284" width="6.625" style="4"/>
    <col min="285" max="285" width="7.375" style="4" bestFit="1" customWidth="1"/>
    <col min="286" max="289" width="6.625" style="4"/>
    <col min="290" max="290" width="9.625" style="4" bestFit="1" customWidth="1"/>
    <col min="291" max="16384" width="6.625" style="4"/>
  </cols>
  <sheetData>
    <row r="1" spans="1:298" ht="21" customHeight="1" thickBot="1">
      <c r="A1" s="127"/>
      <c r="B1" s="127"/>
      <c r="C1" s="127"/>
      <c r="D1" s="127"/>
      <c r="E1" s="9" t="s">
        <v>4</v>
      </c>
      <c r="H1" s="4" t="s">
        <v>3</v>
      </c>
      <c r="I1" s="7">
        <v>3</v>
      </c>
      <c r="O1" s="8"/>
    </row>
    <row r="2" spans="1:298" s="6" customFormat="1" ht="16.5" customHeight="1">
      <c r="B2" s="137"/>
      <c r="C2" s="23"/>
      <c r="D2" s="132" t="s">
        <v>30</v>
      </c>
      <c r="E2" s="132"/>
      <c r="F2" s="132"/>
      <c r="G2" s="132" t="s">
        <v>34</v>
      </c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 t="s">
        <v>52</v>
      </c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2" t="s">
        <v>68</v>
      </c>
      <c r="AN2" s="132"/>
      <c r="AO2" s="132"/>
      <c r="AP2" s="132"/>
      <c r="AQ2" s="132"/>
      <c r="AR2" s="132" t="s">
        <v>74</v>
      </c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 t="s">
        <v>91</v>
      </c>
      <c r="BI2" s="132"/>
      <c r="BJ2" s="132" t="s">
        <v>94</v>
      </c>
      <c r="BK2" s="132"/>
      <c r="BL2" s="132" t="s">
        <v>97</v>
      </c>
      <c r="BM2" s="132"/>
      <c r="BN2" s="132"/>
      <c r="BO2" s="132"/>
      <c r="BP2" s="132"/>
      <c r="BQ2" s="132"/>
      <c r="BR2" s="132"/>
      <c r="BS2" s="132"/>
      <c r="BT2" s="132"/>
      <c r="BU2" s="132"/>
      <c r="BV2" s="132" t="s">
        <v>108</v>
      </c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32"/>
      <c r="CL2" s="132"/>
      <c r="CM2" s="132"/>
      <c r="CN2" s="132"/>
      <c r="CO2" s="132"/>
      <c r="CP2" s="132"/>
      <c r="CQ2" s="132"/>
      <c r="CR2" s="132" t="s">
        <v>131</v>
      </c>
      <c r="CS2" s="132"/>
      <c r="CT2" s="132"/>
      <c r="CU2" s="132"/>
      <c r="CV2" s="132" t="s">
        <v>136</v>
      </c>
      <c r="CW2" s="132"/>
      <c r="CX2" s="132" t="s">
        <v>139</v>
      </c>
      <c r="CY2" s="132"/>
      <c r="CZ2" s="132"/>
      <c r="DA2" s="132"/>
      <c r="DB2" s="132"/>
      <c r="DC2" s="132"/>
      <c r="DD2" s="132"/>
      <c r="DE2" s="132"/>
      <c r="DF2" s="132"/>
      <c r="DG2" s="132"/>
      <c r="DH2" s="132"/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2"/>
      <c r="DT2" s="132"/>
      <c r="DU2" s="132" t="s">
        <v>163</v>
      </c>
      <c r="DV2" s="132"/>
      <c r="DW2" s="132"/>
      <c r="DX2" s="132"/>
      <c r="DY2" s="132"/>
      <c r="DZ2" s="132"/>
      <c r="EA2" s="132"/>
      <c r="EB2" s="132"/>
      <c r="EC2" s="132"/>
      <c r="ED2" s="132"/>
      <c r="EE2" s="132" t="s">
        <v>174</v>
      </c>
      <c r="EF2" s="132"/>
      <c r="EG2" s="38" t="s">
        <v>176</v>
      </c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</row>
    <row r="3" spans="1:298" s="3" customFormat="1" ht="81" customHeight="1">
      <c r="B3" s="138"/>
      <c r="C3" s="24"/>
      <c r="D3" s="39" t="s">
        <v>31</v>
      </c>
      <c r="E3" s="39" t="s">
        <v>32</v>
      </c>
      <c r="F3" s="39" t="s">
        <v>33</v>
      </c>
      <c r="G3" s="81" t="s">
        <v>35</v>
      </c>
      <c r="H3" s="39" t="s">
        <v>36</v>
      </c>
      <c r="I3" s="39" t="s">
        <v>37</v>
      </c>
      <c r="J3" s="39" t="s">
        <v>38</v>
      </c>
      <c r="K3" s="39" t="s">
        <v>39</v>
      </c>
      <c r="L3" s="39" t="s">
        <v>40</v>
      </c>
      <c r="M3" s="39" t="s">
        <v>41</v>
      </c>
      <c r="N3" s="39" t="s">
        <v>42</v>
      </c>
      <c r="O3" s="81" t="s">
        <v>43</v>
      </c>
      <c r="P3" s="39" t="s">
        <v>44</v>
      </c>
      <c r="Q3" s="39" t="s">
        <v>45</v>
      </c>
      <c r="R3" s="39" t="s">
        <v>46</v>
      </c>
      <c r="S3" s="39" t="s">
        <v>47</v>
      </c>
      <c r="T3" s="39" t="s">
        <v>48</v>
      </c>
      <c r="U3" s="39" t="s">
        <v>49</v>
      </c>
      <c r="V3" s="39" t="s">
        <v>50</v>
      </c>
      <c r="W3" s="39" t="s">
        <v>51</v>
      </c>
      <c r="X3" s="39" t="s">
        <v>53</v>
      </c>
      <c r="Y3" s="39" t="s">
        <v>54</v>
      </c>
      <c r="Z3" s="39" t="s">
        <v>55</v>
      </c>
      <c r="AA3" s="39" t="s">
        <v>56</v>
      </c>
      <c r="AB3" s="39" t="s">
        <v>57</v>
      </c>
      <c r="AC3" s="39" t="s">
        <v>58</v>
      </c>
      <c r="AD3" s="39" t="s">
        <v>59</v>
      </c>
      <c r="AE3" s="39" t="s">
        <v>60</v>
      </c>
      <c r="AF3" s="39" t="s">
        <v>61</v>
      </c>
      <c r="AG3" s="39" t="s">
        <v>62</v>
      </c>
      <c r="AH3" s="39" t="s">
        <v>63</v>
      </c>
      <c r="AI3" s="39" t="s">
        <v>64</v>
      </c>
      <c r="AJ3" s="39" t="s">
        <v>65</v>
      </c>
      <c r="AK3" s="39" t="s">
        <v>66</v>
      </c>
      <c r="AL3" s="39" t="s">
        <v>67</v>
      </c>
      <c r="AM3" s="39" t="s">
        <v>69</v>
      </c>
      <c r="AN3" s="39" t="s">
        <v>70</v>
      </c>
      <c r="AO3" s="39" t="s">
        <v>71</v>
      </c>
      <c r="AP3" s="39" t="s">
        <v>72</v>
      </c>
      <c r="AQ3" s="39" t="s">
        <v>73</v>
      </c>
      <c r="AR3" s="39" t="s">
        <v>75</v>
      </c>
      <c r="AS3" s="39" t="s">
        <v>76</v>
      </c>
      <c r="AT3" s="39" t="s">
        <v>77</v>
      </c>
      <c r="AU3" s="39" t="s">
        <v>78</v>
      </c>
      <c r="AV3" s="39" t="s">
        <v>79</v>
      </c>
      <c r="AW3" s="39" t="s">
        <v>80</v>
      </c>
      <c r="AX3" s="39" t="s">
        <v>81</v>
      </c>
      <c r="AY3" s="39" t="s">
        <v>82</v>
      </c>
      <c r="AZ3" s="39" t="s">
        <v>83</v>
      </c>
      <c r="BA3" s="39" t="s">
        <v>84</v>
      </c>
      <c r="BB3" s="39" t="s">
        <v>85</v>
      </c>
      <c r="BC3" s="39" t="s">
        <v>86</v>
      </c>
      <c r="BD3" s="39" t="s">
        <v>87</v>
      </c>
      <c r="BE3" s="39" t="s">
        <v>88</v>
      </c>
      <c r="BF3" s="39" t="s">
        <v>89</v>
      </c>
      <c r="BG3" s="39" t="s">
        <v>90</v>
      </c>
      <c r="BH3" s="39" t="s">
        <v>92</v>
      </c>
      <c r="BI3" s="39" t="s">
        <v>93</v>
      </c>
      <c r="BJ3" s="39" t="s">
        <v>95</v>
      </c>
      <c r="BK3" s="39" t="s">
        <v>96</v>
      </c>
      <c r="BL3" s="39" t="s">
        <v>98</v>
      </c>
      <c r="BM3" s="39" t="s">
        <v>99</v>
      </c>
      <c r="BN3" s="39" t="s">
        <v>100</v>
      </c>
      <c r="BO3" s="39" t="s">
        <v>101</v>
      </c>
      <c r="BP3" s="39" t="s">
        <v>102</v>
      </c>
      <c r="BQ3" s="39" t="s">
        <v>103</v>
      </c>
      <c r="BR3" s="39" t="s">
        <v>104</v>
      </c>
      <c r="BS3" s="39" t="s">
        <v>105</v>
      </c>
      <c r="BT3" s="39" t="s">
        <v>106</v>
      </c>
      <c r="BU3" s="39" t="s">
        <v>107</v>
      </c>
      <c r="BV3" s="39" t="s">
        <v>109</v>
      </c>
      <c r="BW3" s="39" t="s">
        <v>110</v>
      </c>
      <c r="BX3" s="39" t="s">
        <v>111</v>
      </c>
      <c r="BY3" s="39" t="s">
        <v>112</v>
      </c>
      <c r="BZ3" s="39" t="s">
        <v>113</v>
      </c>
      <c r="CA3" s="39" t="s">
        <v>114</v>
      </c>
      <c r="CB3" s="39" t="s">
        <v>115</v>
      </c>
      <c r="CC3" s="39" t="s">
        <v>116</v>
      </c>
      <c r="CD3" s="39" t="s">
        <v>117</v>
      </c>
      <c r="CE3" s="39" t="s">
        <v>118</v>
      </c>
      <c r="CF3" s="39" t="s">
        <v>119</v>
      </c>
      <c r="CG3" s="39" t="s">
        <v>120</v>
      </c>
      <c r="CH3" s="39" t="s">
        <v>121</v>
      </c>
      <c r="CI3" s="39" t="s">
        <v>122</v>
      </c>
      <c r="CJ3" s="39" t="s">
        <v>123</v>
      </c>
      <c r="CK3" s="39" t="s">
        <v>124</v>
      </c>
      <c r="CL3" s="39" t="s">
        <v>125</v>
      </c>
      <c r="CM3" s="39" t="s">
        <v>126</v>
      </c>
      <c r="CN3" s="39" t="s">
        <v>127</v>
      </c>
      <c r="CO3" s="39" t="s">
        <v>128</v>
      </c>
      <c r="CP3" s="39" t="s">
        <v>129</v>
      </c>
      <c r="CQ3" s="39" t="s">
        <v>130</v>
      </c>
      <c r="CR3" s="39" t="s">
        <v>132</v>
      </c>
      <c r="CS3" s="39" t="s">
        <v>133</v>
      </c>
      <c r="CT3" s="39" t="s">
        <v>134</v>
      </c>
      <c r="CU3" s="39" t="s">
        <v>135</v>
      </c>
      <c r="CV3" s="39" t="s">
        <v>137</v>
      </c>
      <c r="CW3" s="39" t="s">
        <v>138</v>
      </c>
      <c r="CX3" s="39" t="s">
        <v>140</v>
      </c>
      <c r="CY3" s="39" t="s">
        <v>141</v>
      </c>
      <c r="CZ3" s="39" t="s">
        <v>142</v>
      </c>
      <c r="DA3" s="39" t="s">
        <v>143</v>
      </c>
      <c r="DB3" s="39" t="s">
        <v>144</v>
      </c>
      <c r="DC3" s="39" t="s">
        <v>145</v>
      </c>
      <c r="DD3" s="39" t="s">
        <v>146</v>
      </c>
      <c r="DE3" s="39" t="s">
        <v>147</v>
      </c>
      <c r="DF3" s="39" t="s">
        <v>148</v>
      </c>
      <c r="DG3" s="39" t="s">
        <v>149</v>
      </c>
      <c r="DH3" s="39" t="s">
        <v>150</v>
      </c>
      <c r="DI3" s="39" t="s">
        <v>151</v>
      </c>
      <c r="DJ3" s="39" t="s">
        <v>152</v>
      </c>
      <c r="DK3" s="39" t="s">
        <v>153</v>
      </c>
      <c r="DL3" s="39" t="s">
        <v>154</v>
      </c>
      <c r="DM3" s="39" t="s">
        <v>155</v>
      </c>
      <c r="DN3" s="39" t="s">
        <v>156</v>
      </c>
      <c r="DO3" s="39" t="s">
        <v>157</v>
      </c>
      <c r="DP3" s="39" t="s">
        <v>158</v>
      </c>
      <c r="DQ3" s="39" t="s">
        <v>159</v>
      </c>
      <c r="DR3" s="39" t="s">
        <v>160</v>
      </c>
      <c r="DS3" s="39" t="s">
        <v>161</v>
      </c>
      <c r="DT3" s="39" t="s">
        <v>162</v>
      </c>
      <c r="DU3" s="39" t="s">
        <v>164</v>
      </c>
      <c r="DV3" s="39" t="s">
        <v>165</v>
      </c>
      <c r="DW3" s="39" t="s">
        <v>166</v>
      </c>
      <c r="DX3" s="39" t="s">
        <v>167</v>
      </c>
      <c r="DY3" s="39" t="s">
        <v>168</v>
      </c>
      <c r="DZ3" s="39" t="s">
        <v>169</v>
      </c>
      <c r="EA3" s="39" t="s">
        <v>170</v>
      </c>
      <c r="EB3" s="39" t="s">
        <v>171</v>
      </c>
      <c r="EC3" s="39" t="s">
        <v>172</v>
      </c>
      <c r="ED3" s="39" t="s">
        <v>173</v>
      </c>
      <c r="EE3" s="39" t="s">
        <v>23</v>
      </c>
      <c r="EF3" s="39" t="s">
        <v>175</v>
      </c>
      <c r="EG3" s="39" t="s">
        <v>22</v>
      </c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</row>
    <row r="4" spans="1:298" s="3" customFormat="1" ht="15.75" customHeight="1">
      <c r="B4" s="133" t="s">
        <v>2</v>
      </c>
      <c r="C4" s="134"/>
      <c r="D4" s="44" t="str">
        <f>IF(SUMIF(C6:$C$67,"件数",$D$6:$D$67)=0,"",SUMIF(C6:$C$67,"件数",$D$6:$D$67))</f>
        <v/>
      </c>
      <c r="E4" s="44">
        <f>IF(SUMIF(C6:$C$67,"件数",$E$6:$E$67)=0,"",SUMIF(C6:$C$67,"件数",$E$6:$E$67))</f>
        <v>2</v>
      </c>
      <c r="F4" s="44" t="str">
        <f>IF(SUMIF(C6:$C$67,"件数",$F$6:$F$67)=0,"",SUMIF(C6:$C$67,"件数",$F$6:$F$67))</f>
        <v/>
      </c>
      <c r="G4" s="44"/>
      <c r="H4" s="44" t="str">
        <f>IF(SUMIF(C6:$C$67,"件数",$H$6:$H$67)=0,"",SUMIF(C6:$C$67,"件数",$H$6:$H$67))</f>
        <v/>
      </c>
      <c r="I4" s="44" t="str">
        <f>IF(SUMIF(C6:$C$67,"件数",$I$6:$I$67)=0,"",SUMIF(C6:$C$67,"件数",$I$6:$I$67))</f>
        <v/>
      </c>
      <c r="J4" s="44" t="str">
        <f>IF(SUMIF(C6:$C$67,"件数",$J$6:$J$67)=0,"",SUMIF(C6:$C$67,"件数",$J$6:$J$67))</f>
        <v/>
      </c>
      <c r="K4" s="44" t="str">
        <f>IF(SUMIF(C6:$C$67,"件数",$K$6:$K$67)=0,"",SUMIF(C6:$C$67,"件数",$K$6:$K$67))</f>
        <v/>
      </c>
      <c r="L4" s="44" t="str">
        <f>IF(SUMIF(C6:$C$67,"件数",$L$6:$L$67)=0,"",SUMIF(C6:$C$67,"件数",$L$6:$L$67))</f>
        <v/>
      </c>
      <c r="M4" s="44" t="str">
        <f>IF(SUMIF(C6:$C$67,"件数",$M$6:$M$67)=0,"",SUMIF(C6:$C$67,"件数",$M$6:$M$67))</f>
        <v/>
      </c>
      <c r="N4" s="44" t="str">
        <f>IF(SUMIF(C6:$C$67,"件数",$N$6:$N$67)=0,"",SUMIF(C6:$C$67,"件数",$N$6:$N$67))</f>
        <v/>
      </c>
      <c r="O4" s="44"/>
      <c r="P4" s="44" t="str">
        <f>IF(SUMIF(C6:$C$67,"件数",$P$6:$P$67)=0,"",SUMIF(C6:$C$67,"件数",$P$6:$P$67))</f>
        <v/>
      </c>
      <c r="Q4" s="44" t="str">
        <f>IF(SUMIF(C6:$C$67,"件数",$Q$6:$Q$67)=0,"",SUMIF(C6:$C$67,"件数",$Q$6:$Q$67))</f>
        <v/>
      </c>
      <c r="R4" s="44" t="str">
        <f>IF(SUMIF(C6:$C$67,"件数",$R$6:$R$67)=0,"",SUMIF(C6:$C$67,"件数",$R$6:$R$67))</f>
        <v/>
      </c>
      <c r="S4" s="44" t="str">
        <f>IF(SUMIF(C6:$C$67,"件数",$S$6:$S$67)=0,"",SUMIF(C6:$C$67,"件数",$S$6:$S$67))</f>
        <v/>
      </c>
      <c r="T4" s="44" t="str">
        <f>IF(SUMIF(C6:$C$67,"件数",$T$6:$T$67)=0,"",SUMIF(C6:$C$67,"件数",$T$6:$T$67))</f>
        <v/>
      </c>
      <c r="U4" s="44" t="str">
        <f>IF(SUMIF(C6:$C$67,"件数",$U$6:$U$67)=0,"",SUMIF(C6:$C$67,"件数",$U$6:$U$67))</f>
        <v/>
      </c>
      <c r="V4" s="44" t="str">
        <f>IF(SUMIF(C6:$C$67,"件数",$V$6:$V$67)=0,"",SUMIF(C6:$C$67,"件数",$V$6:$V$67))</f>
        <v/>
      </c>
      <c r="W4" s="44" t="str">
        <f>IF(SUMIF(C6:$C$67,"件数",$W$6:$W$67)=0,"",SUMIF(C6:$C$67,"件数",$W$6:$W$67))</f>
        <v/>
      </c>
      <c r="X4" s="44" t="str">
        <f>IF(SUMIF(C6:$C$67,"件数",$X$6:$X$67)=0,"",SUMIF(C6:$C$67,"件数",$X$6:$X$67))</f>
        <v/>
      </c>
      <c r="Y4" s="44" t="str">
        <f>IF(SUMIF(C6:$C$67,"件数",$Y$6:$Y$67)=0,"",SUMIF(C6:$C$67,"件数",$Y$6:$Y$67))</f>
        <v/>
      </c>
      <c r="Z4" s="44" t="str">
        <f>IF(SUMIF(C6:$C$67,"件数",$Z$6:$Z$67)=0,"",SUMIF(C6:$C$67,"件数",$Z$6:$Z$67))</f>
        <v/>
      </c>
      <c r="AA4" s="44" t="str">
        <f>IF(SUMIF(C6:$C$67,"件数",$AA$6:$AA$67)=0,"",SUMIF(C6:$C$67,"件数",$AA$6:$AA$67))</f>
        <v/>
      </c>
      <c r="AB4" s="44" t="str">
        <f>IF(SUMIF(C6:$C$67,"件数",$AB$6:$AB$67)=0,"",SUMIF(C6:$C$67,"件数",$AB$6:$AB$67))</f>
        <v/>
      </c>
      <c r="AC4" s="44" t="str">
        <f>IF(SUMIF(C6:$C$67,"件数",$AC$6:$AC$67)=0,"",SUMIF(C6:$C$67,"件数",$AC$6:$AC$67))</f>
        <v/>
      </c>
      <c r="AD4" s="44" t="str">
        <f>IF(SUMIF(C6:$C$67,"件数",$AD$6:$AD$67)=0,"",SUMIF(C6:$C$67,"件数",$AD$6:$AD$67))</f>
        <v/>
      </c>
      <c r="AE4" s="44" t="str">
        <f>IF(SUMIF(C6:$C$67,"件数",$AE$6:$AE$67)=0,"",SUMIF(C6:$C$67,"件数",$AE$6:$AE$67))</f>
        <v/>
      </c>
      <c r="AF4" s="44" t="str">
        <f>IF(SUMIF(C6:$C$67,"件数",$AF$6:$AF$67)=0,"",SUMIF(C6:$C$67,"件数",$AF$6:$AF$67))</f>
        <v/>
      </c>
      <c r="AG4" s="44" t="str">
        <f>IF(SUMIF(C6:$C$67,"件数",$AG$6:$AG$67)=0,"",SUMIF(C6:$C$67,"件数",$AG$6:$AG$67))</f>
        <v/>
      </c>
      <c r="AH4" s="44" t="str">
        <f>IF(SUMIF(C6:$C$67,"件数",$AH$6:$AH$67)=0,"",SUMIF(C6:$C$67,"件数",$AH$6:$AH$67))</f>
        <v/>
      </c>
      <c r="AI4" s="44" t="str">
        <f>IF(SUMIF(C6:$C$67,"件数",$AI$6:$AI$67)=0,"",SUMIF(C6:$C$67,"件数",$AI$6:$AI$67))</f>
        <v/>
      </c>
      <c r="AJ4" s="44" t="str">
        <f>IF(SUMIF(C6:$C$67,"件数",$AJ$6:$AJ$67)=0,"",SUMIF(C6:$C$67,"件数",$AJ$6:$AJ$67))</f>
        <v/>
      </c>
      <c r="AK4" s="44" t="str">
        <f>IF(SUMIF(C6:$C$67,"件数",$AK$6:$AK$67)=0,"",SUMIF(C6:$C$67,"件数",$AK$6:$AK$67))</f>
        <v/>
      </c>
      <c r="AL4" s="44" t="str">
        <f>IF(SUMIF(C6:$C$67,"件数",$AL$6:$AL$67)=0,"",SUMIF(C6:$C$67,"件数",$AL$6:$AL$67))</f>
        <v/>
      </c>
      <c r="AM4" s="44" t="str">
        <f>IF(SUMIF(C6:$C$67,"件数",$AM$6:$AM$67)=0,"",SUMIF(C6:$C$67,"件数",$AM$6:$AM$67))</f>
        <v/>
      </c>
      <c r="AN4" s="44" t="str">
        <f>IF(SUMIF(C6:$C$67,"件数",$AN$6:$AN$67)=0,"",SUMIF(C6:$C$67,"件数",$AN$6:$AN$67))</f>
        <v/>
      </c>
      <c r="AO4" s="44" t="str">
        <f>IF(SUMIF(C6:$C$67,"件数",$AO$6:$AO$67)=0,"",SUMIF(C6:$C$67,"件数",$AO$6:$AO$67))</f>
        <v/>
      </c>
      <c r="AP4" s="44" t="str">
        <f>IF(SUMIF(C6:$C$67,"件数",$AP$6:$AP$67)=0,"",SUMIF(C6:$C$67,"件数",$AP$6:$AP$67))</f>
        <v/>
      </c>
      <c r="AQ4" s="44" t="str">
        <f>IF(SUMIF(C6:$C$67,"件数",$AQ$6:$AQ$67)=0,"",SUMIF(C6:$C$67,"件数",$AQ$6:$AQ$67))</f>
        <v/>
      </c>
      <c r="AR4" s="44" t="str">
        <f>IF(SUMIF(C6:$C$67,"件数",$AR$6:$AR$67)=0,"",SUMIF(C6:$C$67,"件数",$AR$6:$AR$67))</f>
        <v/>
      </c>
      <c r="AS4" s="44" t="str">
        <f>IF(SUMIF(C6:$C$67,"件数",$AS$6:$AS$67)=0,"",SUMIF(C6:$C$67,"件数",$AS$6:$AS$67))</f>
        <v/>
      </c>
      <c r="AT4" s="44" t="str">
        <f>IF(SUMIF(C6:$C$67,"件数",$AT$6:$AT$67)=0,"",SUMIF(C6:$C$67,"件数",$AT$6:$AT$67))</f>
        <v/>
      </c>
      <c r="AU4" s="44" t="str">
        <f>IF(SUMIF(C6:$C$67,"件数",$AU$6:$AU$67)=0,"",SUMIF(C6:$C$67,"件数",$AU$6:$AU$67))</f>
        <v/>
      </c>
      <c r="AV4" s="44" t="str">
        <f>IF(SUMIF(C6:$C$67,"件数",$AV$6:$AV$67)=0,"",SUMIF(C6:$C$67,"件数",$AV$6:$AV$67))</f>
        <v/>
      </c>
      <c r="AW4" s="44" t="str">
        <f>IF(SUMIF(C6:$C$67,"件数",$AW$6:$AW$67)=0,"",SUMIF(C6:$C$67,"件数",$AW$6:$AW$67))</f>
        <v/>
      </c>
      <c r="AX4" s="44" t="str">
        <f>IF(SUMIF(C6:$C$67,"件数",$AX$6:$AX$67)=0,"",SUMIF(C6:$C$67,"件数",$AX$6:$AX$67))</f>
        <v/>
      </c>
      <c r="AY4" s="44" t="str">
        <f>IF(SUMIF(C6:$C$67,"件数",$AY$6:$AY$67)=0,"",SUMIF(C6:$C$67,"件数",$AY$6:$AY$67))</f>
        <v/>
      </c>
      <c r="AZ4" s="44" t="str">
        <f>IF(SUMIF(C6:$C$67,"件数",$AZ$6:$AZ$67)=0,"",SUMIF(C6:$C$67,"件数",$AZ$6:$AZ$67))</f>
        <v/>
      </c>
      <c r="BA4" s="44" t="str">
        <f>IF(SUMIF(C6:$C$67,"件数",$BA$6:$BA$67)=0,"",SUMIF(C6:$C$67,"件数",$BA$6:$BA$67))</f>
        <v/>
      </c>
      <c r="BB4" s="44" t="str">
        <f>IF(SUMIF(C6:$C$67,"件数",$BB$6:$BB$67)=0,"",SUMIF(C6:$C$67,"件数",$BB$6:$BB$67))</f>
        <v/>
      </c>
      <c r="BC4" s="44" t="str">
        <f>IF(SUMIF(C6:$C$67,"件数",$BC$6:$BC$67)=0,"",SUMIF(C6:$C$67,"件数",$BC$6:$BC$67))</f>
        <v/>
      </c>
      <c r="BD4" s="44" t="str">
        <f>IF(SUMIF(C6:$C$67,"件数",$BD$6:$BD$67)=0,"",SUMIF(C6:$C$67,"件数",$BD$6:$BD$67))</f>
        <v/>
      </c>
      <c r="BE4" s="44" t="str">
        <f>IF(SUMIF(C6:$C$67,"件数",$BE$6:$BE$67)=0,"",SUMIF(C6:$C$67,"件数",$BE$6:$BE$67))</f>
        <v/>
      </c>
      <c r="BF4" s="44" t="str">
        <f>IF(SUMIF(C6:$C$67,"件数",$BF$6:$BF$67)=0,"",SUMIF(C6:$C$67,"件数",$BF$6:$BF$67))</f>
        <v/>
      </c>
      <c r="BG4" s="44" t="str">
        <f>IF(SUMIF(C6:$C$67,"件数",$BG$6:$BG$67)=0,"",SUMIF(C6:$C$67,"件数",$BG$6:$BG$67))</f>
        <v/>
      </c>
      <c r="BH4" s="44" t="str">
        <f>IF(SUMIF(C6:$C$67,"件数",$BH$6:$BH$67)=0,"",SUMIF(C6:$C$67,"件数",$BH$6:$BH$67))</f>
        <v/>
      </c>
      <c r="BI4" s="44" t="str">
        <f>IF(SUMIF(C6:$C$67,"件数",$BI$6:$BI$67)=0,"",SUMIF(C6:$C$67,"件数",$BI$6:$BI$67))</f>
        <v/>
      </c>
      <c r="BJ4" s="44" t="str">
        <f>IF(SUMIF(C6:$C$67,"件数",$BJ$6:$BJ$67)=0,"",SUMIF(C6:$C$67,"件数",$BJ$6:$BJ$67))</f>
        <v/>
      </c>
      <c r="BK4" s="44" t="str">
        <f>IF(SUMIF(C6:$C$67,"件数",$BK$6:$BK$67)=0,"",SUMIF(C6:$C$67,"件数",$BK$6:$BK$67))</f>
        <v/>
      </c>
      <c r="BL4" s="44" t="str">
        <f>IF(SUMIF(C6:$C$67,"件数",$BL$6:$BL$67)=0,"",SUMIF(C6:$C$67,"件数",$BL$6:$BL$67))</f>
        <v/>
      </c>
      <c r="BM4" s="44" t="str">
        <f>IF(SUMIF(C6:$C$67,"件数",$BM$6:$BM$67)=0,"",SUMIF(C6:$C$67,"件数",$BM$6:$BM$67))</f>
        <v/>
      </c>
      <c r="BN4" s="44" t="str">
        <f>IF(SUMIF(C6:$C$67,"件数",$BN$6:$BN$67)=0,"",SUMIF(C6:$C$67,"件数",$BN$6:$BN$67))</f>
        <v/>
      </c>
      <c r="BO4" s="44" t="str">
        <f>IF(SUMIF(C6:$C$67,"件数",$BO$6:$BO$67)=0,"",SUMIF(C6:$C$67,"件数",$BO$6:$BO$67))</f>
        <v/>
      </c>
      <c r="BP4" s="44" t="str">
        <f>IF(SUMIF(C6:$C$67,"件数",$BP$6:$BP$67)=0,"",SUMIF(C6:$C$67,"件数",$BP$6:$BP$67))</f>
        <v/>
      </c>
      <c r="BQ4" s="44" t="str">
        <f>IF(SUMIF(C6:$C$67,"件数",$BQ$6:$BQ$67)=0,"",SUMIF(C6:$C$67,"件数",$BQ$6:$BQ$67))</f>
        <v/>
      </c>
      <c r="BR4" s="44" t="str">
        <f>IF(SUMIF(C6:$C$67,"件数",$BR$6:$BR$67)=0,"",SUMIF(C6:$C$67,"件数",$BR$6:$BR$67))</f>
        <v/>
      </c>
      <c r="BS4" s="44" t="str">
        <f>IF(SUMIF(C6:$C$67,"件数",$BS$6:$BS$67)=0,"",SUMIF(C6:$C$67,"件数",$BS$6:$BS$67))</f>
        <v/>
      </c>
      <c r="BT4" s="44" t="str">
        <f>IF(SUMIF(C6:$C$67,"件数",$BT$6:$BT$67)=0,"",SUMIF(C6:$C$67,"件数",$BT$6:$BT$67))</f>
        <v/>
      </c>
      <c r="BU4" s="44" t="str">
        <f>IF(SUMIF(C6:$C$67,"件数",$BU$6:$BU$67)=0,"",SUMIF(C6:$C$67,"件数",$BU$6:$BU$67))</f>
        <v/>
      </c>
      <c r="BV4" s="44" t="str">
        <f>IF(SUMIF(C6:$C$67,"件数",$BV$6:$BV$67)=0,"",SUMIF(C6:$C$67,"件数",$BV$6:$BV$67))</f>
        <v/>
      </c>
      <c r="BW4" s="44" t="str">
        <f>IF(SUMIF(C6:$C$67,"件数",$BW$6:$BW$67)=0,"",SUMIF(C6:$C$67,"件数",$BW$6:$BW$67))</f>
        <v/>
      </c>
      <c r="BX4" s="44" t="str">
        <f>IF(SUMIF(C6:$C$67,"件数",$BX$6:$BX$67)=0,"",SUMIF(C6:$C$67,"件数",$BX$6:$BX$67))</f>
        <v/>
      </c>
      <c r="BY4" s="44" t="str">
        <f>IF(SUMIF(C6:$C$67,"件数",$BY$6:$BY$67)=0,"",SUMIF(C6:$C$67,"件数",$BY$6:$BY$67))</f>
        <v/>
      </c>
      <c r="BZ4" s="44" t="str">
        <f>IF(SUMIF(C6:$C$67,"件数",$BZ$6:$BZ$67)=0,"",SUMIF(C6:$C$67,"件数",$BZ$6:$BZ$67))</f>
        <v/>
      </c>
      <c r="CA4" s="44" t="str">
        <f>IF(SUMIF(C6:$C$67,"件数",$CA$6:$CA$67)=0,"",SUMIF(C6:$C$67,"件数",$CA$6:$CA$67))</f>
        <v/>
      </c>
      <c r="CB4" s="44" t="str">
        <f>IF(SUMIF(C6:$C$67,"件数",$CB$6:$CB$67)=0,"",SUMIF(C6:$C$67,"件数",$CB$6:$CB$67))</f>
        <v/>
      </c>
      <c r="CC4" s="44" t="str">
        <f>IF(SUMIF(C6:$C$67,"件数",$CC$6:$CC$67)=0,"",SUMIF(C6:$C$67,"件数",$CC$6:$CC$67))</f>
        <v/>
      </c>
      <c r="CD4" s="44" t="str">
        <f>IF(SUMIF(C6:$C$67,"件数",$CD$6:$CD$67)=0,"",SUMIF(C6:$C$67,"件数",$CD$6:$CD$67))</f>
        <v/>
      </c>
      <c r="CE4" s="44" t="str">
        <f>IF(SUMIF(C6:$C$67,"件数",$CE$6:$CE$67)=0,"",SUMIF(C6:$C$67,"件数",$CE$6:$CE$67))</f>
        <v/>
      </c>
      <c r="CF4" s="44" t="str">
        <f>IF(SUMIF(C6:$C$67,"件数",$CF$6:$CF$67)=0,"",SUMIF(C6:$C$67,"件数",$CF$6:$CF$67))</f>
        <v/>
      </c>
      <c r="CG4" s="44" t="str">
        <f>IF(SUMIF(C6:$C$67,"件数",$CG$6:$CG$67)=0,"",SUMIF(C6:$C$67,"件数",$CG$6:$CG$67))</f>
        <v/>
      </c>
      <c r="CH4" s="44" t="str">
        <f>IF(SUMIF(C6:$C$67,"件数",$CH$6:$CH$67)=0,"",SUMIF(C6:$C$67,"件数",$CH$6:$CH$67))</f>
        <v/>
      </c>
      <c r="CI4" s="44" t="str">
        <f>IF(SUMIF(C6:$C$67,"件数",$CI$6:$CI$67)=0,"",SUMIF(C6:$C$67,"件数",$CI$6:$CI$67))</f>
        <v/>
      </c>
      <c r="CJ4" s="44" t="str">
        <f>IF(SUMIF(C6:$C$67,"件数",$CJ$6:$CJ$67)=0,"",SUMIF(C6:$C$67,"件数",$CJ$6:$CJ$67))</f>
        <v/>
      </c>
      <c r="CK4" s="44" t="str">
        <f>IF(SUMIF(C6:$C$67,"件数",$CK$6:$CK$67)=0,"",SUMIF(C6:$C$67,"件数",$CK$6:$CK$67))</f>
        <v/>
      </c>
      <c r="CL4" s="44" t="str">
        <f>IF(SUMIF(C6:$C$67,"件数",$CL$6:$CL$67)=0,"",SUMIF(C6:$C$67,"件数",$CL$6:$CL$67))</f>
        <v/>
      </c>
      <c r="CM4" s="44" t="str">
        <f>IF(SUMIF(C6:$C$67,"件数",$CM$6:$CM$67)=0,"",SUMIF(C6:$C$67,"件数",$CM$6:$CM$67))</f>
        <v/>
      </c>
      <c r="CN4" s="44" t="str">
        <f>IF(SUMIF(C6:$C$67,"件数",$CN$6:$CN$67)=0,"",SUMIF(C6:$C$67,"件数",$CN$6:$CN$67))</f>
        <v/>
      </c>
      <c r="CO4" s="44" t="str">
        <f>IF(SUMIF(C6:$C$67,"件数",$CO$6:$CO$67)=0,"",SUMIF(C6:$C$67,"件数",$CO$6:$CO$67))</f>
        <v/>
      </c>
      <c r="CP4" s="44" t="str">
        <f>IF(SUMIF(C6:$C$67,"件数",$CP$6:$CP$67)=0,"",SUMIF(C6:$C$67,"件数",$CP$6:$CP$67))</f>
        <v/>
      </c>
      <c r="CQ4" s="44" t="str">
        <f>IF(SUMIF(C6:$C$67,"件数",$CQ$6:$CQ$67)=0,"",SUMIF(C6:$C$67,"件数",$CQ$6:$CQ$67))</f>
        <v/>
      </c>
      <c r="CR4" s="44" t="str">
        <f>IF(SUMIF(C6:$C$67,"件数",$CR$6:$CR$67)=0,"",SUMIF(C6:$C$67,"件数",$CR$6:$CR$67))</f>
        <v/>
      </c>
      <c r="CS4" s="44" t="str">
        <f>IF(SUMIF(C6:$C$67,"件数",$CS$6:$CS$67)=0,"",SUMIF(C6:$C$67,"件数",$CS$6:$CS$67))</f>
        <v/>
      </c>
      <c r="CT4" s="44" t="str">
        <f>IF(SUMIF(C6:$C$67,"件数",$CT$6:$CT$67)=0,"",SUMIF(C6:$C$67,"件数",$CT$6:$CT$67))</f>
        <v/>
      </c>
      <c r="CU4" s="44" t="str">
        <f>IF(SUMIF(C6:$C$67,"件数",$CU$6:$CU$67)=0,"",SUMIF(C6:$C$67,"件数",$CU$6:$CU$67))</f>
        <v/>
      </c>
      <c r="CV4" s="44" t="str">
        <f>IF(SUMIF(C6:$C$67,"件数",$CV$6:$CV$67)=0,"",SUMIF(C6:$C$67,"件数",$CV$6:$CV$67))</f>
        <v/>
      </c>
      <c r="CW4" s="44" t="str">
        <f>IF(SUMIF(C6:$C$67,"件数",$CW$6:$CW$67)=0,"",SUMIF(C6:$C$67,"件数",$CW$6:$CW$67))</f>
        <v/>
      </c>
      <c r="CX4" s="44" t="str">
        <f>IF(SUMIF(C6:$C$67,"件数",$CX$6:$CX$67)=0,"",SUMIF(C6:$C$67,"件数",$CX$6:$CX$67))</f>
        <v/>
      </c>
      <c r="CY4" s="44" t="str">
        <f>IF(SUMIF(C6:$C$67,"件数",$CY$6:$CY$67)=0,"",SUMIF(C6:$C$67,"件数",$CY$6:$CY$67))</f>
        <v/>
      </c>
      <c r="CZ4" s="44" t="str">
        <f>IF(SUMIF(C6:$C$67,"件数",$CZ$6:$CZ$67)=0,"",SUMIF(C6:$C$67,"件数",$CZ$6:$CZ$67))</f>
        <v/>
      </c>
      <c r="DA4" s="44" t="str">
        <f>IF(SUMIF(C6:$C$67,"件数",$DA$6:$DA$67)=0,"",SUMIF(C6:$C$67,"件数",$DA$6:$DA$67))</f>
        <v/>
      </c>
      <c r="DB4" s="44" t="str">
        <f>IF(SUMIF(C6:$C$67,"件数",$DB$6:$DB$67)=0,"",SUMIF(C6:$C$67,"件数",$DB$6:$DB$67))</f>
        <v/>
      </c>
      <c r="DC4" s="44" t="str">
        <f>IF(SUMIF(C6:$C$67,"件数",$DC$6:$DC$67)=0,"",SUMIF(C6:$C$67,"件数",$DC$6:$DC$67))</f>
        <v/>
      </c>
      <c r="DD4" s="44">
        <f>IF(SUMIF(C6:$C$67,"件数",$DD$6:$DD$67)=0,"",SUMIF(C6:$C$67,"件数",$DD$6:$DD$67))</f>
        <v>2</v>
      </c>
      <c r="DE4" s="44">
        <f>IF(SUMIF(C6:$C$67,"件数",$DE$6:$DE$67)=0,"",SUMIF(C6:$C$67,"件数",$DE$6:$DE$67))</f>
        <v>2</v>
      </c>
      <c r="DF4" s="44" t="str">
        <f>IF(SUMIF(C6:$C$67,"件数",$DF$6:$DF$67)=0,"",SUMIF(C6:$C$67,"件数",$DF$6:$DF$67))</f>
        <v/>
      </c>
      <c r="DG4" s="44" t="str">
        <f>IF(SUMIF(C6:$C$67,"件数",$DG$6:$DG$67)=0,"",SUMIF(C6:$C$67,"件数",$DG$6:$DG$67))</f>
        <v/>
      </c>
      <c r="DH4" s="44" t="str">
        <f>IF(SUMIF(C6:$C$67,"件数",$DH$6:$DH$67)=0,"",SUMIF(C6:$C$67,"件数",$DH$6:$DH$67))</f>
        <v/>
      </c>
      <c r="DI4" s="44" t="str">
        <f>IF(SUMIF(C6:$C$67,"件数",$DI$6:$DI$67)=0,"",SUMIF(C6:$C$67,"件数",$DI$6:$DI$67))</f>
        <v/>
      </c>
      <c r="DJ4" s="44" t="str">
        <f>IF(SUMIF(C6:$C$67,"件数",$DJ$6:$DJ$67)=0,"",SUMIF(C6:$C$67,"件数",$DJ$6:$DJ$67))</f>
        <v/>
      </c>
      <c r="DK4" s="44" t="str">
        <f>IF(SUMIF(C6:$C$67,"件数",$DK$6:$DK$67)=0,"",SUMIF(C6:$C$67,"件数",$DK$6:$DK$67))</f>
        <v/>
      </c>
      <c r="DL4" s="44" t="str">
        <f>IF(SUMIF(C6:$C$67,"件数",$DL$6:$DL$67)=0,"",SUMIF(C6:$C$67,"件数",$DL$6:$DL$67))</f>
        <v/>
      </c>
      <c r="DM4" s="44" t="str">
        <f>IF(SUMIF(C6:$C$67,"件数",$DM$6:$DM$67)=0,"",SUMIF(C6:$C$67,"件数",$DM$6:$DM$67))</f>
        <v/>
      </c>
      <c r="DN4" s="44" t="str">
        <f>IF(SUMIF(C6:$C$67,"件数",$DN$6:$DN$67)=0,"",SUMIF(C6:$C$67,"件数",$DN$6:$DN$67))</f>
        <v/>
      </c>
      <c r="DO4" s="44" t="str">
        <f>IF(SUMIF(C6:$C$67,"件数",$DO$6:$DO$67)=0,"",SUMIF(C6:$C$67,"件数",$DO$6:$DO$67))</f>
        <v/>
      </c>
      <c r="DP4" s="44" t="str">
        <f>IF(SUMIF(C6:$C$67,"件数",$DP$6:$DP$67)=0,"",SUMIF(C6:$C$67,"件数",$DP$6:$DP$67))</f>
        <v/>
      </c>
      <c r="DQ4" s="44" t="str">
        <f>IF(SUMIF(C6:$C$67,"件数",$DQ$6:$DQ$67)=0,"",SUMIF(C6:$C$67,"件数",$DQ$6:$DQ$67))</f>
        <v/>
      </c>
      <c r="DR4" s="44" t="str">
        <f>IF(SUMIF(C6:$C$67,"件数",$DR$6:$DR$67)=0,"",SUMIF(C6:$C$67,"件数",$DR$6:$DR$67))</f>
        <v/>
      </c>
      <c r="DS4" s="44" t="str">
        <f>IF(SUMIF(C6:$C$67,"件数",$DS$6:$DS$67)=0,"",SUMIF(C6:$C$67,"件数",$DS$6:$DS$67))</f>
        <v/>
      </c>
      <c r="DT4" s="44" t="str">
        <f>IF(SUMIF(C6:$C$67,"件数",$DT$6:$DT$67)=0,"",SUMIF(C6:$C$67,"件数",$DT$6:$DT$67))</f>
        <v/>
      </c>
      <c r="DU4" s="44" t="str">
        <f>IF(SUMIF(C6:$C$67,"件数",$DU$6:$DU$67)=0,"",SUMIF(C6:$C$67,"件数",$DU$6:$DU$67))</f>
        <v/>
      </c>
      <c r="DV4" s="44" t="str">
        <f>IF(SUMIF(C6:$C$67,"件数",$DV$6:$DV$67)=0,"",SUMIF(C6:$C$67,"件数",$DV$6:$DV$67))</f>
        <v/>
      </c>
      <c r="DW4" s="44" t="str">
        <f>IF(SUMIF(C6:$C$67,"件数",$DW$6:$DW$67)=0,"",SUMIF(C6:$C$67,"件数",$DW$6:$DW$67))</f>
        <v/>
      </c>
      <c r="DX4" s="44" t="str">
        <f>IF(SUMIF(C6:$C$67,"件数",$DX$6:$DX$67)=0,"",SUMIF(C6:$C$67,"件数",$DX$6:$DX$67))</f>
        <v/>
      </c>
      <c r="DY4" s="44" t="str">
        <f>IF(SUMIF(C6:$C$67,"件数",$DY$6:$DY$67)=0,"",SUMIF(C6:$C$67,"件数",$DY$6:$DY$67))</f>
        <v/>
      </c>
      <c r="DZ4" s="44" t="str">
        <f>IF(SUMIF(C6:$C$67,"件数",$DZ$6:$DZ$67)=0,"",SUMIF(C6:$C$67,"件数",$DZ$6:$DZ$67))</f>
        <v/>
      </c>
      <c r="EA4" s="44" t="str">
        <f>IF(SUMIF(C6:$C$67,"件数",$EA$6:$EA$67)=0,"",SUMIF(C6:$C$67,"件数",$EA$6:$EA$67))</f>
        <v/>
      </c>
      <c r="EB4" s="44" t="str">
        <f>IF(SUMIF(C6:$C$67,"件数",$EB$6:$EB$67)=0,"",SUMIF(C6:$C$67,"件数",$EB$6:$EB$67))</f>
        <v/>
      </c>
      <c r="EC4" s="44" t="str">
        <f>IF(SUMIF(C6:$C$67,"件数",$EC$6:$EC$67)=0,"",SUMIF(C6:$C$67,"件数",$EC$6:$EC$67))</f>
        <v/>
      </c>
      <c r="ED4" s="44" t="str">
        <f>IF(SUMIF(C6:$C$67,"件数",$ED$6:$ED$67)=0,"",SUMIF(C6:$C$67,"件数",$ED$6:$ED$67))</f>
        <v/>
      </c>
      <c r="EE4" s="44" t="str">
        <f>IF(SUMIF(C6:$C$67,"件数",$EE$6:$EE$67)=0,"",SUMIF(C6:$C$67,"件数",$EE$6:$EE$67))</f>
        <v/>
      </c>
      <c r="EF4" s="44" t="str">
        <f>IF(SUMIF(C6:$C$67,"件数",$EF$6:$EF$67)=0,"",SUMIF(C6:$C$67,"件数",$EF$6:$EF$67))</f>
        <v/>
      </c>
      <c r="EG4" s="44" t="str">
        <f>IF(SUMIF(C6:$C$67,"件数",$EG$6:$EG$67)=0,"",SUMIF(C6:$C$67,"件数",$EG$6:$EG$67))</f>
        <v/>
      </c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</row>
    <row r="5" spans="1:298" s="3" customFormat="1" ht="15.75" customHeight="1" thickBot="1">
      <c r="B5" s="135"/>
      <c r="C5" s="136"/>
      <c r="D5" s="45" t="str">
        <f>IF(SUMIF(C6:$C$67,"時間",$D$6:$D$67)=0,"",SUMIF(C6:$C$67,"時間",$D$6:$D$67))</f>
        <v/>
      </c>
      <c r="E5" s="45">
        <f>IF(SUMIF(C6:$C$67,"時間",$E$6:$E$67)=0,"",SUMIF(C6:$C$67,"時間",$E$6:$E$67))</f>
        <v>120</v>
      </c>
      <c r="F5" s="45">
        <f>IF(SUMIF(C6:$C$67,"時間",$F$6:$F$67)=0,"",SUMIF(C6:$C$67,"時間",$F$6:$F$67))</f>
        <v>27</v>
      </c>
      <c r="G5" s="45"/>
      <c r="H5" s="45" t="str">
        <f>IF(SUMIF(C6:$C$67,"時間",$H$6:$H$67)=0,"",SUMIF(C6:$C$67,"時間",$H$6:$H$67))</f>
        <v/>
      </c>
      <c r="I5" s="45" t="str">
        <f>IF(SUMIF(C6:$C$67,"時間",$I$6:$I$67)=0,"",SUMIF(C6:$C$67,"時間",$I$6:$I$67))</f>
        <v/>
      </c>
      <c r="J5" s="45" t="str">
        <f>IF(SUMIF(C6:$C$67,"時間",$J$6:$J$67)=0,"",SUMIF(C6:$C$67,"時間",$J$6:$J$67))</f>
        <v/>
      </c>
      <c r="K5" s="45" t="str">
        <f>IF(SUMIF(C6:$C$67,"時間",$K$6:$K$67)=0,"",SUMIF(C6:$C$67,"時間",$K$6:$K$67))</f>
        <v/>
      </c>
      <c r="L5" s="45" t="str">
        <f>IF(SUMIF(C6:$C$67,"時間",$L$6:$L$67)=0,"",SUMIF(C6:$C$67,"時間",$L$6:$L$67))</f>
        <v/>
      </c>
      <c r="M5" s="45" t="str">
        <f>IF(SUMIF(C6:$C$67,"時間",$M$6:$M$67)=0,"",SUMIF(C6:$C$67,"時間",$M$6:$M$67))</f>
        <v/>
      </c>
      <c r="N5" s="45" t="str">
        <f>IF(SUMIF(C6:$C$67,"時間",$N$6:$N$67)=0,"",SUMIF(C6:$C$67,"時間",$N$6:$N$67))</f>
        <v/>
      </c>
      <c r="O5" s="45"/>
      <c r="P5" s="45" t="str">
        <f>IF(SUMIF(C6:$C$67,"時間",$P$6:$P$67)=0,"",SUMIF(C6:$C$67,"時間",$P$6:$P$67))</f>
        <v/>
      </c>
      <c r="Q5" s="45" t="str">
        <f>IF(SUMIF(C6:$C$67,"時間",$Q$6:$Q$67)=0,"",SUMIF(C6:$C$67,"時間",$Q$6:$Q$67))</f>
        <v/>
      </c>
      <c r="R5" s="45" t="str">
        <f>IF(SUMIF(C6:$C$67,"時間",$R$6:$R$67)=0,"",SUMIF(C6:$C$67,"時間",$R$6:$R$67))</f>
        <v/>
      </c>
      <c r="S5" s="45" t="str">
        <f>IF(SUMIF(C6:$C$67,"時間",$S$6:$S$67)=0,"",SUMIF(C6:$C$67,"時間",$S$6:$S$67))</f>
        <v/>
      </c>
      <c r="T5" s="45" t="str">
        <f>IF(SUMIF(C6:$C$67,"時間",$T$6:$T$67)=0,"",SUMIF(C6:$C$67,"時間",$T$6:$T$67))</f>
        <v/>
      </c>
      <c r="U5" s="45" t="str">
        <f>IF(SUMIF(C6:$C$67,"時間",$U$6:$U$67)=0,"",SUMIF(C6:$C$67,"時間",$U$6:$U$67))</f>
        <v/>
      </c>
      <c r="V5" s="45" t="str">
        <f>IF(SUMIF(C6:$C$67,"時間",$V$6:$V$67)=0,"",SUMIF(C6:$C$67,"時間",$V$6:$V$67))</f>
        <v/>
      </c>
      <c r="W5" s="45" t="str">
        <f>IF(SUMIF(C6:$C$67,"時間",$W$6:$W$67)=0,"",SUMIF(C6:$C$67,"時間",$W$6:$W$67))</f>
        <v/>
      </c>
      <c r="X5" s="45" t="str">
        <f>IF(SUMIF(C6:$C$67,"時間",$X$6:$X$67)=0,"",SUMIF(C6:$C$67,"時間",$X$6:$X$67))</f>
        <v/>
      </c>
      <c r="Y5" s="45" t="str">
        <f>IF(SUMIF(C6:$C$67,"時間",$Y$6:$Y$67)=0,"",SUMIF(C6:$C$67,"時間",$Y$6:$Y$67))</f>
        <v/>
      </c>
      <c r="Z5" s="45" t="str">
        <f>IF(SUMIF(C6:$C$67,"時間",$Z$6:$Z$67)=0,"",SUMIF(C6:$C$67,"時間",$Z$6:$Z$67))</f>
        <v/>
      </c>
      <c r="AA5" s="45" t="str">
        <f>IF(SUMIF(C6:$C$67,"時間",$AA$6:$AA$67)=0,"",SUMIF(C6:$C$67,"時間",$AA$6:$AA$67))</f>
        <v/>
      </c>
      <c r="AB5" s="45" t="str">
        <f>IF(SUMIF(C6:$C$67,"時間",$AB$6:$AB$67)=0,"",SUMIF(C6:$C$67,"時間",$AB$6:$AB$67))</f>
        <v/>
      </c>
      <c r="AC5" s="45" t="str">
        <f>IF(SUMIF(C6:$C$67,"時間",$AC$6:$AC$67)=0,"",SUMIF(C6:$C$67,"時間",$AC$6:$AC$67))</f>
        <v/>
      </c>
      <c r="AD5" s="45" t="str">
        <f>IF(SUMIF(C6:$C$67,"時間",$AD$6:$AD$67)=0,"",SUMIF(C6:$C$67,"時間",$AD$6:$AD$67))</f>
        <v/>
      </c>
      <c r="AE5" s="45" t="str">
        <f>IF(SUMIF(C6:$C$67,"時間",$AE$6:$AE$67)=0,"",SUMIF(C6:$C$67,"時間",$AE$6:$AE$67))</f>
        <v/>
      </c>
      <c r="AF5" s="45" t="str">
        <f>IF(SUMIF(C6:$C$67,"時間",$AF$6:$AF$67)=0,"",SUMIF(C6:$C$67,"時間",$AF$6:$AF$67))</f>
        <v/>
      </c>
      <c r="AG5" s="45" t="str">
        <f>IF(SUMIF(C6:$C$67,"時間",$AG$6:$AG$67)=0,"",SUMIF(C6:$C$67,"時間",$AG$6:$AG$67))</f>
        <v/>
      </c>
      <c r="AH5" s="45" t="str">
        <f>IF(SUMIF(C6:$C$67,"時間",$AH$6:$AH$67)=0,"",SUMIF(C6:$C$67,"時間",$AH$6:$AH$67))</f>
        <v/>
      </c>
      <c r="AI5" s="45" t="str">
        <f>IF(SUMIF(C6:$C$67,"時間",$AI$6:$AI$67)=0,"",SUMIF(C6:$C$67,"時間",$AI$6:$AI$67))</f>
        <v/>
      </c>
      <c r="AJ5" s="45" t="str">
        <f>IF(SUMIF(C6:$C$67,"時間",$AJ$6:$AJ$67)=0,"",SUMIF(C6:$C$67,"時間",$AJ$6:$AJ$67))</f>
        <v/>
      </c>
      <c r="AK5" s="45" t="str">
        <f>IF(SUMIF(C6:$C$67,"時間",$AK$6:$AK$67)=0,"",SUMIF(C6:$C$67,"時間",$AK$6:$AK$67))</f>
        <v/>
      </c>
      <c r="AL5" s="45" t="str">
        <f>IF(SUMIF(C6:$C$67,"時間",$AL$6:$AL$67)=0,"",SUMIF(C6:$C$67,"時間",$AL$6:$AL$67))</f>
        <v/>
      </c>
      <c r="AM5" s="45" t="str">
        <f>IF(SUMIF(C6:$C$67,"時間",$AM$6:$AM$67)=0,"",SUMIF(C6:$C$67,"時間",$AM$6:$AM$67))</f>
        <v/>
      </c>
      <c r="AN5" s="45" t="str">
        <f>IF(SUMIF(C6:$C$67,"時間",$AN$6:$AN$67)=0,"",SUMIF(C6:$C$67,"時間",$AN$6:$AN$67))</f>
        <v/>
      </c>
      <c r="AO5" s="45" t="str">
        <f>IF(SUMIF(C6:$C$67,"時間",$AO$6:$AO$67)=0,"",SUMIF(C6:$C$67,"時間",$AO$6:$AO$67))</f>
        <v/>
      </c>
      <c r="AP5" s="45" t="str">
        <f>IF(SUMIF(C6:$C$67,"時間",$AP$6:$AP$67)=0,"",SUMIF(C6:$C$67,"時間",$AP$6:$AP$67))</f>
        <v/>
      </c>
      <c r="AQ5" s="45" t="str">
        <f>IF(SUMIF(C6:$C$67,"時間",$AQ$6:$AQ$67)=0,"",SUMIF(C6:$C$67,"時間",$AQ$6:$AQ$67))</f>
        <v/>
      </c>
      <c r="AR5" s="45" t="str">
        <f>IF(SUMIF(C6:$C$67,"時間",$AR$6:$AR$67)=0,"",SUMIF(C6:$C$67,"時間",$AR$6:$AR$67))</f>
        <v/>
      </c>
      <c r="AS5" s="45" t="str">
        <f>IF(SUMIF(C6:$C$67,"時間",$AS$6:$AS$67)=0,"",SUMIF(C6:$C$67,"時間",$AS$6:$AS$67))</f>
        <v/>
      </c>
      <c r="AT5" s="45" t="str">
        <f>IF(SUMIF(C6:$C$67,"時間",$AT$6:$AT$67)=0,"",SUMIF(C6:$C$67,"時間",$AT$6:$AT$67))</f>
        <v/>
      </c>
      <c r="AU5" s="45" t="str">
        <f>IF(SUMIF(C6:$C$67,"時間",$AU$6:$AU$67)=0,"",SUMIF(C6:$C$67,"時間",$AU$6:$AU$67))</f>
        <v/>
      </c>
      <c r="AV5" s="45" t="str">
        <f>IF(SUMIF(C6:$C$67,"時間",$AV$6:$AV$67)=0,"",SUMIF(C6:$C$67,"時間",$AV$6:$AV$67))</f>
        <v/>
      </c>
      <c r="AW5" s="45" t="str">
        <f>IF(SUMIF(C6:$C$67,"時間",$AW$6:$AW$67)=0,"",SUMIF(C6:$C$67,"時間",$AW$6:$AW$67))</f>
        <v/>
      </c>
      <c r="AX5" s="45" t="str">
        <f>IF(SUMIF(C6:$C$67,"時間",$AX$6:$AX$67)=0,"",SUMIF(C6:$C$67,"時間",$AX$6:$AX$67))</f>
        <v/>
      </c>
      <c r="AY5" s="45" t="str">
        <f>IF(SUMIF(C6:$C$67,"時間",$AY$6:$AY$67)=0,"",SUMIF(C6:$C$67,"時間",$AY$6:$AY$67))</f>
        <v/>
      </c>
      <c r="AZ5" s="45" t="str">
        <f>IF(SUMIF(C6:$C$67,"時間",$AZ$6:$AZ$67)=0,"",SUMIF(C6:$C$67,"時間",$AZ$6:$AZ$67))</f>
        <v/>
      </c>
      <c r="BA5" s="45" t="str">
        <f>IF(SUMIF(C6:$C$67,"時間",$BA$6:$BA$67)=0,"",SUMIF(C6:$C$67,"時間",$BA$6:$BA$67))</f>
        <v/>
      </c>
      <c r="BB5" s="45" t="str">
        <f>IF(SUMIF(C6:$C$67,"時間",$BB$6:$BB$67)=0,"",SUMIF(C6:$C$67,"時間",$BB$6:$BB$67))</f>
        <v/>
      </c>
      <c r="BC5" s="45" t="str">
        <f>IF(SUMIF(C6:$C$67,"時間",$BC$6:$BC$67)=0,"",SUMIF(C6:$C$67,"時間",$BC$6:$BC$67))</f>
        <v/>
      </c>
      <c r="BD5" s="45" t="str">
        <f>IF(SUMIF(C6:$C$67,"時間",$BD$6:$BD$67)=0,"",SUMIF(C6:$C$67,"時間",$BD$6:$BD$67))</f>
        <v/>
      </c>
      <c r="BE5" s="45" t="str">
        <f>IF(SUMIF(C6:$C$67,"時間",$BE$6:$BE$67)=0,"",SUMIF(C6:$C$67,"時間",$BE$6:$BE$67))</f>
        <v/>
      </c>
      <c r="BF5" s="45" t="str">
        <f>IF(SUMIF(C6:$C$67,"時間",$BF$6:$BF$67)=0,"",SUMIF(C6:$C$67,"時間",$BF$6:$BF$67))</f>
        <v/>
      </c>
      <c r="BG5" s="45" t="str">
        <f>IF(SUMIF(C6:$C$67,"時間",$BG$6:$BG$67)=0,"",SUMIF(C6:$C$67,"時間",$BG$6:$BG$67))</f>
        <v/>
      </c>
      <c r="BH5" s="45" t="str">
        <f>IF(SUMIF(C6:$C$67,"時間",$BH$6:$BH$67)=0,"",SUMIF(C6:$C$67,"時間",$BH$6:$BH$67))</f>
        <v/>
      </c>
      <c r="BI5" s="45" t="str">
        <f>IF(SUMIF(C6:$C$67,"時間",$BI$6:$BI$67)=0,"",SUMIF(C6:$C$67,"時間",$BI$6:$BI$67))</f>
        <v/>
      </c>
      <c r="BJ5" s="45" t="str">
        <f>IF(SUMIF(C6:$C$67,"時間",$BJ$6:$BJ$67)=0,"",SUMIF(C6:$C$67,"時間",$BJ$6:$BJ$67))</f>
        <v/>
      </c>
      <c r="BK5" s="45" t="str">
        <f>IF(SUMIF(C6:$C$67,"時間",$BK$6:$BK$67)=0,"",SUMIF(C6:$C$67,"時間",$BK$6:$BK$67))</f>
        <v/>
      </c>
      <c r="BL5" s="45" t="str">
        <f>IF(SUMIF(C6:$C$67,"時間",$BL$6:$BL$67)=0,"",SUMIF(C6:$C$67,"時間",$BL$6:$BL$67))</f>
        <v/>
      </c>
      <c r="BM5" s="45" t="str">
        <f>IF(SUMIF(C6:$C$67,"時間",$BM$6:$BM$67)=0,"",SUMIF(C6:$C$67,"時間",$BM$6:$BM$67))</f>
        <v/>
      </c>
      <c r="BN5" s="45" t="str">
        <f>IF(SUMIF(C6:$C$67,"時間",$BN$6:$BN$67)=0,"",SUMIF(C6:$C$67,"時間",$BN$6:$BN$67))</f>
        <v/>
      </c>
      <c r="BO5" s="45" t="str">
        <f>IF(SUMIF(C6:$C$67,"時間",$BO$6:$BO$67)=0,"",SUMIF(C6:$C$67,"時間",$BO$6:$BO$67))</f>
        <v/>
      </c>
      <c r="BP5" s="45" t="str">
        <f>IF(SUMIF(C6:$C$67,"時間",$BP$6:$BP$67)=0,"",SUMIF(C6:$C$67,"時間",$BP$6:$BP$67))</f>
        <v/>
      </c>
      <c r="BQ5" s="45" t="str">
        <f>IF(SUMIF(C6:$C$67,"時間",$BQ$6:$BQ$67)=0,"",SUMIF(C6:$C$67,"時間",$BQ$6:$BQ$67))</f>
        <v/>
      </c>
      <c r="BR5" s="45" t="str">
        <f>IF(SUMIF(C6:$C$67,"時間",$BR$6:$BR$67)=0,"",SUMIF(C6:$C$67,"時間",$BR$6:$BR$67))</f>
        <v/>
      </c>
      <c r="BS5" s="45" t="str">
        <f>IF(SUMIF(C6:$C$67,"時間",$BS$6:$BS$67)=0,"",SUMIF(C6:$C$67,"時間",$BS$6:$BS$67))</f>
        <v/>
      </c>
      <c r="BT5" s="45" t="str">
        <f>IF(SUMIF(C6:$C$67,"時間",$BT$6:$BT$67)=0,"",SUMIF(C6:$C$67,"時間",$BT$6:$BT$67))</f>
        <v/>
      </c>
      <c r="BU5" s="45" t="str">
        <f>IF(SUMIF(C6:$C$67,"時間",$BU$6:$BU$67)=0,"",SUMIF(C6:$C$67,"時間",$BU$6:$BU$67))</f>
        <v/>
      </c>
      <c r="BV5" s="45" t="str">
        <f>IF(SUMIF(C6:$C$67,"時間",$BV$6:$BV$67)=0,"",SUMIF(C6:$C$67,"時間",$BV$6:$BV$67))</f>
        <v/>
      </c>
      <c r="BW5" s="45" t="str">
        <f>IF(SUMIF(C6:$C$67,"時間",$BW$6:$BW$67)=0,"",SUMIF(C6:$C$67,"時間",$BW$6:$BW$67))</f>
        <v/>
      </c>
      <c r="BX5" s="45" t="str">
        <f>IF(SUMIF(C6:$C$67,"時間",$BX$6:$BX$67)=0,"",SUMIF(C6:$C$67,"時間",$BX$6:$BX$67))</f>
        <v/>
      </c>
      <c r="BY5" s="45" t="str">
        <f>IF(SUMIF(C6:$C$67,"時間",$BY$6:$BY$67)=0,"",SUMIF(C6:$C$67,"時間",$BY$6:$BY$67))</f>
        <v/>
      </c>
      <c r="BZ5" s="45" t="str">
        <f>IF(SUMIF(C6:$C$67,"時間",$BZ$6:$BZ$67)=0,"",SUMIF(C6:$C$67,"時間",$BZ$6:$BZ$67))</f>
        <v/>
      </c>
      <c r="CA5" s="45" t="str">
        <f>IF(SUMIF(C6:$C$67,"時間",$CA$6:$CA$67)=0,"",SUMIF(C6:$C$67,"時間",$CA$6:$CA$67))</f>
        <v/>
      </c>
      <c r="CB5" s="45" t="str">
        <f>IF(SUMIF(C6:$C$67,"時間",$CB$6:$CB$67)=0,"",SUMIF(C6:$C$67,"時間",$CB$6:$CB$67))</f>
        <v/>
      </c>
      <c r="CC5" s="45" t="str">
        <f>IF(SUMIF(C6:$C$67,"時間",$CC$6:$CC$67)=0,"",SUMIF(C6:$C$67,"時間",$CC$6:$CC$67))</f>
        <v/>
      </c>
      <c r="CD5" s="45" t="str">
        <f>IF(SUMIF(C6:$C$67,"時間",$CD$6:$CD$67)=0,"",SUMIF(C6:$C$67,"時間",$CD$6:$CD$67))</f>
        <v/>
      </c>
      <c r="CE5" s="45" t="str">
        <f>IF(SUMIF(C6:$C$67,"時間",$CE$6:$CE$67)=0,"",SUMIF(C6:$C$67,"時間",$CE$6:$CE$67))</f>
        <v/>
      </c>
      <c r="CF5" s="45" t="str">
        <f>IF(SUMIF(C6:$C$67,"時間",$CF$6:$CF$67)=0,"",SUMIF(C6:$C$67,"時間",$CF$6:$CF$67))</f>
        <v/>
      </c>
      <c r="CG5" s="45" t="str">
        <f>IF(SUMIF(C6:$C$67,"時間",$CG$6:$CG$67)=0,"",SUMIF(C6:$C$67,"時間",$CG$6:$CG$67))</f>
        <v/>
      </c>
      <c r="CH5" s="45" t="str">
        <f>IF(SUMIF(C6:$C$67,"時間",$CH$6:$CH$67)=0,"",SUMIF(C6:$C$67,"時間",$CH$6:$CH$67))</f>
        <v/>
      </c>
      <c r="CI5" s="45" t="str">
        <f>IF(SUMIF(C6:$C$67,"時間",$CI$6:$CI$67)=0,"",SUMIF(C6:$C$67,"時間",$CI$6:$CI$67))</f>
        <v/>
      </c>
      <c r="CJ5" s="45" t="str">
        <f>IF(SUMIF(C6:$C$67,"時間",$CJ$6:$CJ$67)=0,"",SUMIF(C6:$C$67,"時間",$CJ$6:$CJ$67))</f>
        <v/>
      </c>
      <c r="CK5" s="45" t="str">
        <f>IF(SUMIF(C6:$C$67,"時間",$CK$6:$CK$67)=0,"",SUMIF(C6:$C$67,"時間",$CK$6:$CK$67))</f>
        <v/>
      </c>
      <c r="CL5" s="45" t="str">
        <f>IF(SUMIF(C6:$C$67,"時間",$CL$6:$CL$67)=0,"",SUMIF(C6:$C$67,"時間",$CL$6:$CL$67))</f>
        <v/>
      </c>
      <c r="CM5" s="45" t="str">
        <f>IF(SUMIF(C6:$C$67,"時間",$CM$6:$CM$67)=0,"",SUMIF(C6:$C$67,"時間",$CM$6:$CM$67))</f>
        <v/>
      </c>
      <c r="CN5" s="45" t="str">
        <f>IF(SUMIF(C6:$C$67,"時間",$CN$6:$CN$67)=0,"",SUMIF(C6:$C$67,"時間",$CN$6:$CN$67))</f>
        <v/>
      </c>
      <c r="CO5" s="45" t="str">
        <f>IF(SUMIF(C6:$C$67,"時間",$CO$6:$CO$67)=0,"",SUMIF(C6:$C$67,"時間",$CO$6:$CO$67))</f>
        <v/>
      </c>
      <c r="CP5" s="45" t="str">
        <f>IF(SUMIF(C6:$C$67,"時間",$CP$6:$CP$67)=0,"",SUMIF(C6:$C$67,"時間",$CP$6:$CP$67))</f>
        <v/>
      </c>
      <c r="CQ5" s="45" t="str">
        <f>IF(SUMIF(C6:$C$67,"時間",$CQ$6:$CQ$67)=0,"",SUMIF(C6:$C$67,"時間",$CQ$6:$CQ$67))</f>
        <v/>
      </c>
      <c r="CR5" s="45" t="str">
        <f>IF(SUMIF(C6:$C$67,"時間",$CR$6:$CR$67)=0,"",SUMIF(C6:$C$67,"時間",$CR$6:$CR$67))</f>
        <v/>
      </c>
      <c r="CS5" s="45" t="str">
        <f>IF(SUMIF(C6:$C$67,"時間",$CS$6:$CS$67)=0,"",SUMIF(C6:$C$67,"時間",$CS$6:$CS$67))</f>
        <v/>
      </c>
      <c r="CT5" s="45" t="str">
        <f>IF(SUMIF(C6:$C$67,"時間",$CT$6:$CT$67)=0,"",SUMIF(C6:$C$67,"時間",$CT$6:$CT$67))</f>
        <v/>
      </c>
      <c r="CU5" s="45" t="str">
        <f>IF(SUMIF(C6:$C$67,"時間",$CU$6:$CU$67)=0,"",SUMIF(C6:$C$67,"時間",$CU$6:$CU$67))</f>
        <v/>
      </c>
      <c r="CV5" s="45" t="str">
        <f>IF(SUMIF(C6:$C$67,"時間",$CV$6:$CV$67)=0,"",SUMIF(C6:$C$67,"時間",$CV$6:$CV$67))</f>
        <v/>
      </c>
      <c r="CW5" s="45" t="str">
        <f>IF(SUMIF(C6:$C$67,"時間",$CW$6:$CW$67)=0,"",SUMIF(C6:$C$67,"時間",$CW$6:$CW$67))</f>
        <v/>
      </c>
      <c r="CX5" s="45" t="str">
        <f>IF(SUMIF(C6:$C$67,"時間",$CX$6:$CX$67)=0,"",SUMIF(C6:$C$67,"時間",$CX$6:$CX$67))</f>
        <v/>
      </c>
      <c r="CY5" s="45" t="str">
        <f>IF(SUMIF(C6:$C$67,"時間",$CY$6:$CY$67)=0,"",SUMIF(C6:$C$67,"時間",$CY$6:$CY$67))</f>
        <v/>
      </c>
      <c r="CZ5" s="45" t="str">
        <f>IF(SUMIF(C6:$C$67,"時間",$CZ$6:$CZ$67)=0,"",SUMIF(C6:$C$67,"時間",$CZ$6:$CZ$67))</f>
        <v/>
      </c>
      <c r="DA5" s="45" t="str">
        <f>IF(SUMIF(C6:$C$67,"時間",$DA$6:$DA$67)=0,"",SUMIF(C6:$C$67,"時間",$DA$6:$DA$67))</f>
        <v/>
      </c>
      <c r="DB5" s="45" t="str">
        <f>IF(SUMIF(C6:$C$67,"時間",$DB$6:$DB$67)=0,"",SUMIF(C6:$C$67,"時間",$DB$6:$DB$67))</f>
        <v/>
      </c>
      <c r="DC5" s="45" t="str">
        <f>IF(SUMIF(C6:$C$67,"時間",$DC$6:$DC$67)=0,"",SUMIF(C6:$C$67,"時間",$DC$6:$DC$67))</f>
        <v/>
      </c>
      <c r="DD5" s="45">
        <f>IF(SUMIF(C6:$C$67,"時間",$DD$6:$DD$67)=0,"",SUMIF(C6:$C$67,"時間",$DD$6:$DD$67))</f>
        <v>33</v>
      </c>
      <c r="DE5" s="45">
        <f>IF(SUMIF(C6:$C$67,"時間",$DE$6:$DE$67)=0,"",SUMIF(C6:$C$67,"時間",$DE$6:$DE$67))</f>
        <v>15</v>
      </c>
      <c r="DF5" s="45" t="str">
        <f>IF(SUMIF(C6:$C$67,"時間",$DF$6:$DF$67)=0,"",SUMIF(C6:$C$67,"時間",$DF$6:$DF$67))</f>
        <v/>
      </c>
      <c r="DG5" s="45" t="str">
        <f>IF(SUMIF(C6:$C$67,"時間",$DG$6:$DG$67)=0,"",SUMIF(C6:$C$67,"時間",$DG$6:$DG$67))</f>
        <v/>
      </c>
      <c r="DH5" s="45" t="str">
        <f>IF(SUMIF(C6:$C$67,"時間",$DH$6:$DH$67)=0,"",SUMIF(C6:$C$67,"時間",$DH$6:$DH$67))</f>
        <v/>
      </c>
      <c r="DI5" s="45" t="str">
        <f>IF(SUMIF(C6:$C$67,"時間",$DI$6:$DI$67)=0,"",SUMIF(C6:$C$67,"時間",$DI$6:$DI$67))</f>
        <v/>
      </c>
      <c r="DJ5" s="45" t="str">
        <f>IF(SUMIF(C6:$C$67,"時間",$DJ$6:$DJ$67)=0,"",SUMIF(C6:$C$67,"時間",$DJ$6:$DJ$67))</f>
        <v/>
      </c>
      <c r="DK5" s="45" t="str">
        <f>IF(SUMIF(C6:$C$67,"時間",$DK$6:$DK$67)=0,"",SUMIF(C6:$C$67,"時間",$DK$6:$DK$67))</f>
        <v/>
      </c>
      <c r="DL5" s="45" t="str">
        <f>IF(SUMIF(C6:$C$67,"時間",$DL$6:$DL$67)=0,"",SUMIF(C6:$C$67,"時間",$DL$6:$DL$67))</f>
        <v/>
      </c>
      <c r="DM5" s="45" t="str">
        <f>IF(SUMIF(C6:$C$67,"時間",$DM$6:$DM$67)=0,"",SUMIF(C6:$C$67,"時間",$DM$6:$DM$67))</f>
        <v/>
      </c>
      <c r="DN5" s="45" t="str">
        <f>IF(SUMIF(C6:$C$67,"時間",$DN$6:$DN$67)=0,"",SUMIF(C6:$C$67,"時間",$DN$6:$DN$67))</f>
        <v/>
      </c>
      <c r="DO5" s="45" t="str">
        <f>IF(SUMIF(C6:$C$67,"時間",$DO$6:$DO$67)=0,"",SUMIF(C6:$C$67,"時間",$DO$6:$DO$67))</f>
        <v/>
      </c>
      <c r="DP5" s="45" t="str">
        <f>IF(SUMIF(C6:$C$67,"時間",$DP$6:$DP$67)=0,"",SUMIF(C6:$C$67,"時間",$DP$6:$DP$67))</f>
        <v/>
      </c>
      <c r="DQ5" s="45" t="str">
        <f>IF(SUMIF(C6:$C$67,"時間",$DQ$6:$DQ$67)=0,"",SUMIF(C6:$C$67,"時間",$DQ$6:$DQ$67))</f>
        <v/>
      </c>
      <c r="DR5" s="45" t="str">
        <f>IF(SUMIF(C6:$C$67,"時間",$DR$6:$DR$67)=0,"",SUMIF(C6:$C$67,"時間",$DR$6:$DR$67))</f>
        <v/>
      </c>
      <c r="DS5" s="45" t="str">
        <f>IF(SUMIF(C6:$C$67,"時間",$DS$6:$DS$67)=0,"",SUMIF(C6:$C$67,"時間",$DS$6:$DS$67))</f>
        <v/>
      </c>
      <c r="DT5" s="45" t="str">
        <f>IF(SUMIF(C6:$C$67,"時間",$DT$6:$DT$67)=0,"",SUMIF(C6:$C$67,"時間",$DT$6:$DT$67))</f>
        <v/>
      </c>
      <c r="DU5" s="45" t="str">
        <f>IF(SUMIF(C6:$C$67,"時間",$DU$6:$DU$67)=0,"",SUMIF(C6:$C$67,"時間",$DU$6:$DU$67))</f>
        <v/>
      </c>
      <c r="DV5" s="45" t="str">
        <f>IF(SUMIF(C6:$C$67,"時間",$DV$6:$DV$67)=0,"",SUMIF(C6:$C$67,"時間",$DV$6:$DV$67))</f>
        <v/>
      </c>
      <c r="DW5" s="45" t="str">
        <f>IF(SUMIF(C6:$C$67,"時間",$DW$6:$DW$67)=0,"",SUMIF(C6:$C$67,"時間",$DW$6:$DW$67))</f>
        <v/>
      </c>
      <c r="DX5" s="45" t="str">
        <f>IF(SUMIF(C6:$C$67,"時間",$DX$6:$DX$67)=0,"",SUMIF(C6:$C$67,"時間",$DX$6:$DX$67))</f>
        <v/>
      </c>
      <c r="DY5" s="45" t="str">
        <f>IF(SUMIF(C6:$C$67,"時間",$DY$6:$DY$67)=0,"",SUMIF(C6:$C$67,"時間",$DY$6:$DY$67))</f>
        <v/>
      </c>
      <c r="DZ5" s="45" t="str">
        <f>IF(SUMIF(C6:$C$67,"時間",$DZ$6:$DZ$67)=0,"",SUMIF(C6:$C$67,"時間",$DZ$6:$DZ$67))</f>
        <v/>
      </c>
      <c r="EA5" s="45" t="str">
        <f>IF(SUMIF(C6:$C$67,"時間",$EA$6:$EA$67)=0,"",SUMIF(C6:$C$67,"時間",$EA$6:$EA$67))</f>
        <v/>
      </c>
      <c r="EB5" s="45" t="str">
        <f>IF(SUMIF(C6:$C$67,"時間",$EB$6:$EB$67)=0,"",SUMIF(C6:$C$67,"時間",$EB$6:$EB$67))</f>
        <v/>
      </c>
      <c r="EC5" s="45" t="str">
        <f>IF(SUMIF(C6:$C$67,"時間",$EC$6:$EC$67)=0,"",SUMIF(C6:$C$67,"時間",$EC$6:$EC$67))</f>
        <v/>
      </c>
      <c r="ED5" s="45" t="str">
        <f>IF(SUMIF(C6:$C$67,"時間",$ED$6:$ED$67)=0,"",SUMIF(C6:$C$67,"時間",$ED$6:$ED$67))</f>
        <v/>
      </c>
      <c r="EE5" s="45">
        <f>IF(SUMIF(C6:$C$67,"時間",$EE$6:$EE$67)=0,"",SUMIF(C6:$C$67,"時間",$EE$6:$EE$67))</f>
        <v>195</v>
      </c>
      <c r="EF5" s="45" t="str">
        <f>IF(SUMIF(C6:$C$67,"時間",$EF$6:$EF$67)=0,"",SUMIF(C6:$C$67,"時間",$EF$6:$EF$67))</f>
        <v/>
      </c>
      <c r="EG5" s="45">
        <f>IF(SUMIF(C6:$C$67,"時間",$EG$6:$EG$67)=0,"",SUMIF(C6:$C$67,"時間",$EG$6:$EG$67))</f>
        <v>1002</v>
      </c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</row>
    <row r="6" spans="1:298" ht="14.25" thickTop="1">
      <c r="B6" s="139" t="s">
        <v>180</v>
      </c>
      <c r="C6" s="40" t="s">
        <v>13</v>
      </c>
      <c r="D6" s="42"/>
      <c r="E6" s="42">
        <v>2</v>
      </c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>
        <v>2</v>
      </c>
      <c r="DE6" s="42">
        <v>2</v>
      </c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</row>
    <row r="7" spans="1:298" ht="13.5" customHeight="1">
      <c r="B7" s="121"/>
      <c r="C7" s="41" t="s">
        <v>6</v>
      </c>
      <c r="D7" s="43"/>
      <c r="E7" s="43">
        <v>120</v>
      </c>
      <c r="F7" s="43">
        <v>27</v>
      </c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43"/>
      <c r="CY7" s="43"/>
      <c r="CZ7" s="43"/>
      <c r="DA7" s="43"/>
      <c r="DB7" s="43"/>
      <c r="DC7" s="43"/>
      <c r="DD7" s="43">
        <v>33</v>
      </c>
      <c r="DE7" s="43">
        <v>15</v>
      </c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</row>
    <row r="8" spans="1:298" ht="13.5">
      <c r="B8" s="119" t="s">
        <v>181</v>
      </c>
      <c r="C8" s="25" t="s">
        <v>13</v>
      </c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</row>
    <row r="9" spans="1:298" ht="13.5" customHeight="1">
      <c r="B9" s="121"/>
      <c r="C9" s="26" t="s">
        <v>6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>
        <v>19</v>
      </c>
      <c r="EF9" s="43"/>
      <c r="EG9" s="43">
        <v>126</v>
      </c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</row>
    <row r="10" spans="1:298" ht="13.5">
      <c r="B10" s="130" t="s">
        <v>182</v>
      </c>
      <c r="C10" s="25" t="s">
        <v>13</v>
      </c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</row>
    <row r="11" spans="1:298" ht="13.5">
      <c r="B11" s="131"/>
      <c r="C11" s="26" t="s">
        <v>6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>
        <v>51</v>
      </c>
      <c r="EF11" s="43"/>
      <c r="EG11" s="43">
        <v>114</v>
      </c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</row>
    <row r="12" spans="1:298" ht="13.5">
      <c r="B12" s="119" t="s">
        <v>183</v>
      </c>
      <c r="C12" s="25" t="s">
        <v>13</v>
      </c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</row>
    <row r="13" spans="1:298" ht="13.5">
      <c r="B13" s="121"/>
      <c r="C13" s="26" t="s">
        <v>6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>
        <v>63</v>
      </c>
      <c r="EF13" s="43"/>
      <c r="EG13" s="43">
        <v>120</v>
      </c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</row>
    <row r="14" spans="1:298" ht="13.5">
      <c r="B14" s="119" t="s">
        <v>184</v>
      </c>
      <c r="C14" s="25" t="s">
        <v>13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</row>
    <row r="15" spans="1:298" ht="13.5">
      <c r="B15" s="121"/>
      <c r="C15" s="26" t="s">
        <v>6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43"/>
      <c r="CY15" s="43"/>
      <c r="CZ15" s="43"/>
      <c r="DA15" s="43"/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43"/>
      <c r="EB15" s="43"/>
      <c r="EC15" s="43"/>
      <c r="ED15" s="43"/>
      <c r="EE15" s="43">
        <v>34</v>
      </c>
      <c r="EF15" s="43"/>
      <c r="EG15" s="43">
        <v>121</v>
      </c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</row>
    <row r="16" spans="1:298" ht="13.5">
      <c r="B16" s="119" t="s">
        <v>185</v>
      </c>
      <c r="C16" s="25" t="s">
        <v>13</v>
      </c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</row>
    <row r="17" spans="2:298" ht="13.5">
      <c r="B17" s="121"/>
      <c r="C17" s="26" t="s">
        <v>6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>
        <v>19</v>
      </c>
      <c r="EF17" s="43"/>
      <c r="EG17" s="43">
        <v>111</v>
      </c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</row>
    <row r="18" spans="2:298" ht="13.5">
      <c r="B18" s="119" t="s">
        <v>186</v>
      </c>
      <c r="C18" s="25" t="s">
        <v>13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</row>
    <row r="19" spans="2:298" ht="13.5">
      <c r="B19" s="121"/>
      <c r="C19" s="26" t="s">
        <v>6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>
        <v>60</v>
      </c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</row>
    <row r="20" spans="2:298" ht="13.5">
      <c r="B20" s="119" t="s">
        <v>187</v>
      </c>
      <c r="C20" s="25" t="s">
        <v>13</v>
      </c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</row>
    <row r="21" spans="2:298" ht="13.5">
      <c r="B21" s="121"/>
      <c r="C21" s="26" t="s">
        <v>6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>
        <v>118</v>
      </c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</row>
    <row r="22" spans="2:298" ht="13.5">
      <c r="B22" s="119" t="s">
        <v>188</v>
      </c>
      <c r="C22" s="25" t="s">
        <v>13</v>
      </c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</row>
    <row r="23" spans="2:298" ht="13.5">
      <c r="B23" s="121"/>
      <c r="C23" s="26" t="s">
        <v>6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>
        <v>9</v>
      </c>
      <c r="EF23" s="43"/>
      <c r="EG23" s="43">
        <v>120</v>
      </c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</row>
    <row r="24" spans="2:298" ht="13.5">
      <c r="B24" s="119" t="s">
        <v>189</v>
      </c>
      <c r="C24" s="25" t="s">
        <v>13</v>
      </c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</row>
    <row r="25" spans="2:298" ht="13.5">
      <c r="B25" s="121"/>
      <c r="C25" s="26" t="s">
        <v>6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>
        <v>112</v>
      </c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</row>
    <row r="26" spans="2:298" ht="13.5">
      <c r="B26" s="119"/>
      <c r="C26" s="25" t="s">
        <v>13</v>
      </c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</row>
    <row r="27" spans="2:298" ht="13.5">
      <c r="B27" s="121"/>
      <c r="C27" s="26" t="s">
        <v>6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</row>
    <row r="28" spans="2:298" ht="13.5">
      <c r="B28" s="119"/>
      <c r="C28" s="25" t="s">
        <v>13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</row>
    <row r="29" spans="2:298" ht="13.5">
      <c r="B29" s="121"/>
      <c r="C29" s="26" t="s">
        <v>6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</row>
    <row r="30" spans="2:298" ht="13.5">
      <c r="B30" s="119"/>
      <c r="C30" s="25" t="s">
        <v>13</v>
      </c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</row>
    <row r="31" spans="2:298" ht="13.5">
      <c r="B31" s="121"/>
      <c r="C31" s="26" t="s">
        <v>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</row>
    <row r="32" spans="2:298" ht="13.5">
      <c r="B32" s="119"/>
      <c r="C32" s="25" t="s">
        <v>13</v>
      </c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</row>
    <row r="33" spans="2:298" ht="13.5">
      <c r="B33" s="121"/>
      <c r="C33" s="26" t="s">
        <v>6</v>
      </c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</row>
    <row r="34" spans="2:298" ht="13.5">
      <c r="B34" s="119"/>
      <c r="C34" s="25" t="s">
        <v>13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</row>
    <row r="35" spans="2:298" ht="13.5">
      <c r="B35" s="121"/>
      <c r="C35" s="26" t="s">
        <v>6</v>
      </c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</row>
    <row r="36" spans="2:298" ht="13.5">
      <c r="B36" s="119"/>
      <c r="C36" s="25" t="s">
        <v>13</v>
      </c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</row>
    <row r="37" spans="2:298" ht="13.5">
      <c r="B37" s="121"/>
      <c r="C37" s="26" t="s">
        <v>6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</row>
    <row r="38" spans="2:298" ht="13.5">
      <c r="B38" s="119"/>
      <c r="C38" s="25" t="s">
        <v>13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</row>
    <row r="39" spans="2:298" ht="13.5">
      <c r="B39" s="121"/>
      <c r="C39" s="26" t="s">
        <v>6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</row>
    <row r="40" spans="2:298" ht="13.5">
      <c r="B40" s="119"/>
      <c r="C40" s="25" t="s">
        <v>13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2"/>
      <c r="DT40" s="42"/>
      <c r="DU40" s="42"/>
      <c r="DV40" s="42"/>
      <c r="DW40" s="42"/>
      <c r="DX40" s="42"/>
      <c r="DY40" s="42"/>
      <c r="DZ40" s="42"/>
      <c r="EA40" s="42"/>
      <c r="EB40" s="42"/>
      <c r="EC40" s="42"/>
      <c r="ED40" s="42"/>
      <c r="EE40" s="42"/>
      <c r="EF40" s="42"/>
      <c r="EG40" s="42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</row>
    <row r="41" spans="2:298" ht="13.5">
      <c r="B41" s="121"/>
      <c r="C41" s="26" t="s">
        <v>6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</row>
    <row r="42" spans="2:298" ht="13.5">
      <c r="B42" s="119"/>
      <c r="C42" s="25" t="s">
        <v>13</v>
      </c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2"/>
      <c r="DT42" s="42"/>
      <c r="DU42" s="42"/>
      <c r="DV42" s="42"/>
      <c r="DW42" s="42"/>
      <c r="DX42" s="42"/>
      <c r="DY42" s="42"/>
      <c r="DZ42" s="42"/>
      <c r="EA42" s="42"/>
      <c r="EB42" s="42"/>
      <c r="EC42" s="42"/>
      <c r="ED42" s="42"/>
      <c r="EE42" s="42"/>
      <c r="EF42" s="42"/>
      <c r="EG42" s="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</row>
    <row r="43" spans="2:298" ht="13.5">
      <c r="B43" s="121"/>
      <c r="C43" s="26" t="s">
        <v>6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</row>
    <row r="44" spans="2:298" ht="13.5">
      <c r="B44" s="119"/>
      <c r="C44" s="25" t="s">
        <v>13</v>
      </c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</row>
    <row r="45" spans="2:298" ht="13.5">
      <c r="B45" s="121"/>
      <c r="C45" s="26" t="s">
        <v>6</v>
      </c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</row>
    <row r="46" spans="2:298" ht="13.5">
      <c r="B46" s="119"/>
      <c r="C46" s="25" t="s">
        <v>13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2"/>
      <c r="DT46" s="42"/>
      <c r="DU46" s="42"/>
      <c r="DV46" s="42"/>
      <c r="DW46" s="42"/>
      <c r="DX46" s="42"/>
      <c r="DY46" s="42"/>
      <c r="DZ46" s="42"/>
      <c r="EA46" s="42"/>
      <c r="EB46" s="42"/>
      <c r="EC46" s="42"/>
      <c r="ED46" s="42"/>
      <c r="EE46" s="42"/>
      <c r="EF46" s="42"/>
      <c r="EG46" s="42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</row>
    <row r="47" spans="2:298" ht="13.5">
      <c r="B47" s="121"/>
      <c r="C47" s="26" t="s">
        <v>6</v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</row>
    <row r="48" spans="2:298" ht="13.5">
      <c r="B48" s="119"/>
      <c r="C48" s="25" t="s">
        <v>13</v>
      </c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/>
      <c r="DY48" s="42"/>
      <c r="DZ48" s="42"/>
      <c r="EA48" s="42"/>
      <c r="EB48" s="42"/>
      <c r="EC48" s="42"/>
      <c r="ED48" s="42"/>
      <c r="EE48" s="42"/>
      <c r="EF48" s="42"/>
      <c r="EG48" s="42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</row>
    <row r="49" spans="2:298" ht="13.5">
      <c r="B49" s="121"/>
      <c r="C49" s="26" t="s">
        <v>6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</row>
    <row r="50" spans="2:298" ht="13.5">
      <c r="B50" s="119"/>
      <c r="C50" s="25" t="s">
        <v>13</v>
      </c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</row>
    <row r="51" spans="2:298" ht="13.5">
      <c r="B51" s="121"/>
      <c r="C51" s="26" t="s">
        <v>6</v>
      </c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</row>
    <row r="52" spans="2:298" ht="13.5">
      <c r="B52" s="119"/>
      <c r="C52" s="25" t="s">
        <v>13</v>
      </c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</row>
    <row r="53" spans="2:298" ht="13.5">
      <c r="B53" s="121"/>
      <c r="C53" s="26" t="s">
        <v>6</v>
      </c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</row>
    <row r="54" spans="2:298" ht="13.5">
      <c r="B54" s="119"/>
      <c r="C54" s="25" t="s">
        <v>13</v>
      </c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2"/>
      <c r="DT54" s="42"/>
      <c r="DU54" s="42"/>
      <c r="DV54" s="42"/>
      <c r="DW54" s="42"/>
      <c r="DX54" s="42"/>
      <c r="DY54" s="42"/>
      <c r="DZ54" s="42"/>
      <c r="EA54" s="42"/>
      <c r="EB54" s="42"/>
      <c r="EC54" s="42"/>
      <c r="ED54" s="42"/>
      <c r="EE54" s="42"/>
      <c r="EF54" s="42"/>
      <c r="EG54" s="42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</row>
    <row r="55" spans="2:298" ht="13.5">
      <c r="B55" s="121"/>
      <c r="C55" s="26" t="s">
        <v>6</v>
      </c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</row>
    <row r="56" spans="2:298" ht="13.5">
      <c r="B56" s="119"/>
      <c r="C56" s="25" t="s">
        <v>13</v>
      </c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/>
      <c r="DY56" s="42"/>
      <c r="DZ56" s="42"/>
      <c r="EA56" s="42"/>
      <c r="EB56" s="42"/>
      <c r="EC56" s="42"/>
      <c r="ED56" s="42"/>
      <c r="EE56" s="42"/>
      <c r="EF56" s="42"/>
      <c r="EG56" s="42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</row>
    <row r="57" spans="2:298" ht="13.5">
      <c r="B57" s="121"/>
      <c r="C57" s="26" t="s">
        <v>6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</row>
    <row r="58" spans="2:298" ht="13.5">
      <c r="B58" s="119"/>
      <c r="C58" s="25" t="s">
        <v>13</v>
      </c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2"/>
      <c r="DT58" s="42"/>
      <c r="DU58" s="42"/>
      <c r="DV58" s="42"/>
      <c r="DW58" s="42"/>
      <c r="DX58" s="42"/>
      <c r="DY58" s="42"/>
      <c r="DZ58" s="42"/>
      <c r="EA58" s="42"/>
      <c r="EB58" s="42"/>
      <c r="EC58" s="42"/>
      <c r="ED58" s="42"/>
      <c r="EE58" s="42"/>
      <c r="EF58" s="42"/>
      <c r="EG58" s="42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</row>
    <row r="59" spans="2:298" ht="13.5">
      <c r="B59" s="121"/>
      <c r="C59" s="26" t="s">
        <v>6</v>
      </c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</row>
    <row r="60" spans="2:298" ht="13.5">
      <c r="B60" s="119"/>
      <c r="C60" s="25" t="s">
        <v>13</v>
      </c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</row>
    <row r="61" spans="2:298" ht="13.5">
      <c r="B61" s="121"/>
      <c r="C61" s="26" t="s">
        <v>6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</row>
    <row r="62" spans="2:298" ht="13.5">
      <c r="B62" s="119"/>
      <c r="C62" s="25" t="s">
        <v>13</v>
      </c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2"/>
      <c r="DT62" s="42"/>
      <c r="DU62" s="42"/>
      <c r="DV62" s="42"/>
      <c r="DW62" s="42"/>
      <c r="DX62" s="42"/>
      <c r="DY62" s="42"/>
      <c r="DZ62" s="42"/>
      <c r="EA62" s="42"/>
      <c r="EB62" s="42"/>
      <c r="EC62" s="42"/>
      <c r="ED62" s="42"/>
      <c r="EE62" s="42"/>
      <c r="EF62" s="42"/>
      <c r="EG62" s="4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</row>
    <row r="63" spans="2:298" ht="13.5">
      <c r="B63" s="121"/>
      <c r="C63" s="26" t="s">
        <v>6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</row>
    <row r="64" spans="2:298" ht="13.5">
      <c r="B64" s="119"/>
      <c r="C64" s="25" t="s">
        <v>13</v>
      </c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2"/>
      <c r="DT64" s="42"/>
      <c r="DU64" s="42"/>
      <c r="DV64" s="42"/>
      <c r="DW64" s="42"/>
      <c r="DX64" s="42"/>
      <c r="DY64" s="42"/>
      <c r="DZ64" s="42"/>
      <c r="EA64" s="42"/>
      <c r="EB64" s="42"/>
      <c r="EC64" s="42"/>
      <c r="ED64" s="42"/>
      <c r="EE64" s="42"/>
      <c r="EF64" s="42"/>
      <c r="EG64" s="42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</row>
    <row r="65" spans="2:298" ht="13.5">
      <c r="B65" s="121"/>
      <c r="C65" s="26" t="s">
        <v>6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</row>
    <row r="66" spans="2:298" ht="13.5">
      <c r="B66" s="126"/>
      <c r="C66" s="25" t="s">
        <v>13</v>
      </c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</row>
    <row r="67" spans="2:298" ht="14.25" thickBot="1">
      <c r="B67" s="120"/>
      <c r="C67" s="27" t="s">
        <v>6</v>
      </c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</row>
    <row r="68" spans="2:298" ht="13.5"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</row>
  </sheetData>
  <dataConsolidate/>
  <mergeCells count="48">
    <mergeCell ref="BV2:CQ2"/>
    <mergeCell ref="CR2:CU2"/>
    <mergeCell ref="CV2:CW2"/>
    <mergeCell ref="CX2:DT2"/>
    <mergeCell ref="DU2:ED2"/>
    <mergeCell ref="B66:B67"/>
    <mergeCell ref="B54:B55"/>
    <mergeCell ref="B56:B57"/>
    <mergeCell ref="B46:B47"/>
    <mergeCell ref="B48:B49"/>
    <mergeCell ref="B58:B59"/>
    <mergeCell ref="B60:B61"/>
    <mergeCell ref="B62:B63"/>
    <mergeCell ref="B64:B65"/>
    <mergeCell ref="B50:B51"/>
    <mergeCell ref="B52:B53"/>
    <mergeCell ref="B40:B41"/>
    <mergeCell ref="B42:B43"/>
    <mergeCell ref="B44:B45"/>
    <mergeCell ref="B30:B31"/>
    <mergeCell ref="B32:B33"/>
    <mergeCell ref="B34:B35"/>
    <mergeCell ref="B36:B37"/>
    <mergeCell ref="B38:B39"/>
    <mergeCell ref="B28:B29"/>
    <mergeCell ref="B6:B7"/>
    <mergeCell ref="B8:B9"/>
    <mergeCell ref="B10:B11"/>
    <mergeCell ref="B12:B13"/>
    <mergeCell ref="B14:B15"/>
    <mergeCell ref="B16:B17"/>
    <mergeCell ref="B18:B19"/>
    <mergeCell ref="B20:B21"/>
    <mergeCell ref="B22:B23"/>
    <mergeCell ref="B24:B25"/>
    <mergeCell ref="B26:B27"/>
    <mergeCell ref="B4:C5"/>
    <mergeCell ref="A1:D1"/>
    <mergeCell ref="B2:B3"/>
    <mergeCell ref="D2:F2"/>
    <mergeCell ref="G2:W2"/>
    <mergeCell ref="X2:AL2"/>
    <mergeCell ref="AM2:AQ2"/>
    <mergeCell ref="AR2:BG2"/>
    <mergeCell ref="BH2:BI2"/>
    <mergeCell ref="BJ2:BK2"/>
    <mergeCell ref="BL2:BU2"/>
    <mergeCell ref="EE2:EF2"/>
  </mergeCells>
  <phoneticPr fontId="1"/>
  <dataValidations count="1">
    <dataValidation allowBlank="1" showErrorMessage="1" promptTitle="日付を入力" prompt="集計する月の1日を入力して下さい。_x000a_例）6月分の集計 ⇒ 6/1" sqref="A1:D1"/>
  </dataValidations>
  <pageMargins left="0.31496062992125984" right="0.31496062992125984" top="0.35433070866141736" bottom="0.35433070866141736" header="0.31496062992125984" footer="0.31496062992125984"/>
  <pageSetup paperSize="9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B1:JR313"/>
  <sheetViews>
    <sheetView zoomScaleNormal="100" workbookViewId="0">
      <selection activeCell="C18" sqref="C18"/>
    </sheetView>
  </sheetViews>
  <sheetFormatPr defaultColWidth="3.125" defaultRowHeight="11.25"/>
  <cols>
    <col min="1" max="1" width="3.125" style="10"/>
    <col min="2" max="2" width="16.5" style="10" customWidth="1"/>
    <col min="3" max="3" width="50.125" style="10" bestFit="1" customWidth="1"/>
    <col min="4" max="5" width="8.125" style="10" bestFit="1" customWidth="1"/>
    <col min="6" max="6" width="3.125" style="10"/>
    <col min="7" max="7" width="12.75" style="10" bestFit="1" customWidth="1"/>
    <col min="8" max="10" width="7.875" style="10" hidden="1" customWidth="1"/>
    <col min="11" max="11" width="12.125" style="10" customWidth="1"/>
    <col min="12" max="16384" width="3.125" style="10"/>
  </cols>
  <sheetData>
    <row r="1" spans="2:278" ht="13.5">
      <c r="B1"/>
    </row>
    <row r="2" spans="2:278" ht="14.25" thickBot="1">
      <c r="B2"/>
      <c r="C2" s="46"/>
    </row>
    <row r="3" spans="2:278" ht="14.25">
      <c r="B3" s="143">
        <v>41579</v>
      </c>
      <c r="C3" s="144"/>
      <c r="D3" s="144"/>
      <c r="E3" s="145"/>
      <c r="F3" s="53"/>
      <c r="G3" s="14" t="s">
        <v>11</v>
      </c>
      <c r="H3" s="15"/>
      <c r="I3" s="28"/>
      <c r="J3" s="28"/>
      <c r="K3" s="16">
        <v>3</v>
      </c>
    </row>
    <row r="4" spans="2:278">
      <c r="B4" s="63"/>
      <c r="C4" s="64" t="s">
        <v>26</v>
      </c>
      <c r="D4" s="64" t="s">
        <v>6</v>
      </c>
      <c r="E4" s="64" t="s">
        <v>13</v>
      </c>
      <c r="F4" s="54"/>
      <c r="G4" s="56" t="s">
        <v>12</v>
      </c>
      <c r="H4" s="13"/>
      <c r="I4" s="29" t="s">
        <v>6</v>
      </c>
      <c r="J4" s="29" t="s">
        <v>14</v>
      </c>
      <c r="K4" s="17">
        <v>10</v>
      </c>
    </row>
    <row r="5" spans="2:278">
      <c r="B5" s="142" t="s">
        <v>24</v>
      </c>
      <c r="C5" s="48" t="s">
        <v>27</v>
      </c>
      <c r="D5" s="49">
        <f>SUMIF(C6:C138,"=★[*]",D6:D138)</f>
        <v>195</v>
      </c>
      <c r="E5" s="50">
        <f>SUMIF(C6:C138,"=★[*]",E6:E138)</f>
        <v>6</v>
      </c>
      <c r="F5" s="55"/>
      <c r="G5" s="57" t="s">
        <v>7</v>
      </c>
      <c r="H5" s="77">
        <f>SUMIF(C6:C138,"=★[*]",D6:D138)</f>
        <v>195</v>
      </c>
      <c r="I5" s="85">
        <f>INT(H5/60)</f>
        <v>3</v>
      </c>
      <c r="J5" s="30">
        <f>MOD(H5,60)</f>
        <v>15</v>
      </c>
      <c r="K5" s="12" t="str">
        <f t="shared" ref="K5:K10" si="0">I5 &amp; "時間" &amp; J5 &amp; "分"</f>
        <v>3時間15分</v>
      </c>
    </row>
    <row r="6" spans="2:278">
      <c r="B6" s="141"/>
      <c r="C6" s="48" t="s">
        <v>30</v>
      </c>
      <c r="D6" s="49">
        <f>SUMIF(C7:C9,"&lt;&gt;【*】",D7:D9)</f>
        <v>147</v>
      </c>
      <c r="E6" s="50">
        <f>SUMIF(C7:C9,"&lt;&gt;【*】",E7:E9)</f>
        <v>2</v>
      </c>
      <c r="F6" s="55"/>
      <c r="G6" s="58" t="s">
        <v>25</v>
      </c>
      <c r="H6" s="77">
        <f>SUMIFS(D271:D272,C271:C272,"&lt;&gt;【*】",C271:C272,"&lt;&gt;*合計")</f>
        <v>0</v>
      </c>
      <c r="I6" s="85">
        <f>INT(H6/60)</f>
        <v>0</v>
      </c>
      <c r="J6" s="30">
        <f>MOD(H6,60)</f>
        <v>0</v>
      </c>
      <c r="K6" s="12" t="str">
        <f t="shared" ref="K6" si="1">I6 &amp; "時間" &amp; J6 &amp; "分"</f>
        <v>0時間0分</v>
      </c>
      <c r="P6" s="11"/>
    </row>
    <row r="7" spans="2:278">
      <c r="B7" s="141"/>
      <c r="C7" s="47" t="s">
        <v>31</v>
      </c>
      <c r="D7" s="51"/>
      <c r="E7" s="52"/>
      <c r="F7" s="55"/>
      <c r="G7" s="59" t="s">
        <v>8</v>
      </c>
      <c r="H7" s="77">
        <f>SUMIFS(D140:D149,C140:C149,"&lt;&gt;【*】",C140:C149,"&lt;&gt;*合計")</f>
        <v>0</v>
      </c>
      <c r="I7" s="85">
        <f t="shared" ref="I7:I9" si="2">INT(H7/60)</f>
        <v>0</v>
      </c>
      <c r="J7" s="30">
        <f>MOD(H7,60)</f>
        <v>0</v>
      </c>
      <c r="K7" s="12" t="str">
        <f t="shared" si="0"/>
        <v>0時間0分</v>
      </c>
      <c r="JE7" s="10">
        <v>1440</v>
      </c>
      <c r="JR7" s="10">
        <v>1440</v>
      </c>
    </row>
    <row r="8" spans="2:278">
      <c r="B8" s="141"/>
      <c r="C8" s="47" t="s">
        <v>32</v>
      </c>
      <c r="D8" s="51">
        <v>120</v>
      </c>
      <c r="E8" s="52">
        <v>2</v>
      </c>
      <c r="F8" s="55"/>
      <c r="G8" s="60" t="s">
        <v>9</v>
      </c>
      <c r="H8" s="77">
        <f>SUMIFS(D151:D152,C151:C152,"&lt;&gt;【*】",C151:C152,"&lt;&gt;*合計")</f>
        <v>195</v>
      </c>
      <c r="I8" s="85">
        <f t="shared" si="2"/>
        <v>3</v>
      </c>
      <c r="J8" s="30">
        <f>MOD(H8,60)</f>
        <v>15</v>
      </c>
      <c r="K8" s="12" t="str">
        <f t="shared" si="0"/>
        <v>3時間15分</v>
      </c>
    </row>
    <row r="9" spans="2:278" ht="12" thickBot="1">
      <c r="B9" s="141"/>
      <c r="C9" s="47" t="s">
        <v>33</v>
      </c>
      <c r="D9" s="51">
        <v>27</v>
      </c>
      <c r="E9" s="148"/>
      <c r="F9" s="55"/>
      <c r="G9" s="61" t="s">
        <v>10</v>
      </c>
      <c r="H9" s="78">
        <f>SUMIFS(D154:D154,C154:C154,"&lt;&gt;【*】",C154:C154,"&lt;&gt;*合計")</f>
        <v>1002</v>
      </c>
      <c r="I9" s="85">
        <f t="shared" si="2"/>
        <v>16</v>
      </c>
      <c r="J9" s="31">
        <f>MOD(H9,60)</f>
        <v>42</v>
      </c>
      <c r="K9" s="18" t="str">
        <f t="shared" si="0"/>
        <v>16時間42分</v>
      </c>
      <c r="JR9" s="10">
        <v>600</v>
      </c>
    </row>
    <row r="10" spans="2:278" ht="12.75" thickTop="1" thickBot="1">
      <c r="B10" s="141"/>
      <c r="C10" s="48" t="s">
        <v>34</v>
      </c>
      <c r="D10" s="49">
        <f>SUMIF(C11:C27,"&lt;&gt;【*】",D11:D27)</f>
        <v>0</v>
      </c>
      <c r="E10" s="50">
        <f>SUMIF(C11:C27,"&lt;&gt;【*】",E11:E27)</f>
        <v>0</v>
      </c>
      <c r="F10" s="55"/>
      <c r="G10" s="62" t="s">
        <v>5</v>
      </c>
      <c r="H10" s="32">
        <f>SUM(H5:H9)</f>
        <v>1392</v>
      </c>
      <c r="I10" s="33">
        <f>IF(SUM(J5:J9)&gt;60,SUM(I5:I9)+INT(SUM(J5:J9) /60),SUM(I5:I9))</f>
        <v>23</v>
      </c>
      <c r="J10" s="33">
        <f>IF(SUM(J5:J9)&gt;60,MOD(SUM(J5:J9),60),SUM(J5:J9))</f>
        <v>12</v>
      </c>
      <c r="K10" s="34" t="str">
        <f t="shared" si="0"/>
        <v>23時間12分</v>
      </c>
    </row>
    <row r="11" spans="2:278">
      <c r="B11" s="141"/>
      <c r="C11" s="82" t="s">
        <v>35</v>
      </c>
      <c r="D11" s="83">
        <f>SUM(D12:D18)</f>
        <v>0</v>
      </c>
      <c r="E11" s="84">
        <f>SUM(E12:E18)</f>
        <v>0</v>
      </c>
      <c r="F11" s="55"/>
      <c r="G11" s="55"/>
    </row>
    <row r="12" spans="2:278">
      <c r="B12" s="141"/>
      <c r="C12" s="47" t="s">
        <v>36</v>
      </c>
      <c r="D12" s="51"/>
      <c r="E12" s="148"/>
      <c r="F12" s="55"/>
      <c r="G12" s="55"/>
    </row>
    <row r="13" spans="2:278">
      <c r="B13" s="141"/>
      <c r="C13" s="47" t="s">
        <v>37</v>
      </c>
      <c r="D13" s="51"/>
      <c r="E13" s="52"/>
      <c r="F13" s="55"/>
      <c r="G13" s="55"/>
    </row>
    <row r="14" spans="2:278">
      <c r="B14" s="141"/>
      <c r="C14" s="47" t="s">
        <v>38</v>
      </c>
      <c r="D14" s="51"/>
      <c r="E14" s="52"/>
      <c r="F14" s="55"/>
      <c r="G14" s="55"/>
    </row>
    <row r="15" spans="2:278">
      <c r="B15" s="141"/>
      <c r="C15" s="47" t="s">
        <v>39</v>
      </c>
      <c r="D15" s="51"/>
      <c r="E15" s="52"/>
      <c r="F15" s="55"/>
      <c r="G15" s="55"/>
      <c r="H15" s="55"/>
      <c r="I15" s="55"/>
      <c r="J15" s="55"/>
      <c r="K15" s="55"/>
    </row>
    <row r="16" spans="2:278">
      <c r="B16" s="141"/>
      <c r="C16" s="47" t="s">
        <v>40</v>
      </c>
      <c r="D16" s="51"/>
      <c r="E16" s="52"/>
      <c r="F16" s="55"/>
      <c r="G16" s="55"/>
      <c r="H16" s="55"/>
      <c r="I16" s="55"/>
      <c r="J16" s="55"/>
      <c r="K16" s="55"/>
    </row>
    <row r="17" spans="2:11">
      <c r="B17" s="141"/>
      <c r="C17" s="47" t="s">
        <v>41</v>
      </c>
      <c r="D17" s="51"/>
      <c r="E17" s="52"/>
      <c r="F17" s="55"/>
      <c r="G17" s="55"/>
      <c r="H17" s="55"/>
      <c r="I17" s="55"/>
      <c r="J17" s="55"/>
      <c r="K17" s="55"/>
    </row>
    <row r="18" spans="2:11">
      <c r="B18" s="141"/>
      <c r="C18" s="47" t="s">
        <v>42</v>
      </c>
      <c r="D18" s="51"/>
      <c r="E18" s="148"/>
      <c r="F18" s="55"/>
      <c r="G18" s="55"/>
      <c r="H18" s="55"/>
      <c r="I18" s="55"/>
      <c r="J18" s="55"/>
      <c r="K18" s="55"/>
    </row>
    <row r="19" spans="2:11">
      <c r="B19" s="141"/>
      <c r="C19" s="82" t="s">
        <v>43</v>
      </c>
      <c r="D19" s="83">
        <f>SUM(D20:D27)</f>
        <v>0</v>
      </c>
      <c r="E19" s="84">
        <f>SUM(E20:E27)</f>
        <v>0</v>
      </c>
      <c r="F19" s="55"/>
      <c r="G19" s="55"/>
      <c r="H19" s="55"/>
      <c r="I19" s="55"/>
      <c r="J19" s="55"/>
      <c r="K19" s="55"/>
    </row>
    <row r="20" spans="2:11">
      <c r="B20" s="141"/>
      <c r="C20" s="47" t="s">
        <v>44</v>
      </c>
      <c r="D20" s="51"/>
      <c r="E20" s="52"/>
      <c r="F20" s="55"/>
      <c r="G20" s="55"/>
      <c r="H20" s="55"/>
      <c r="I20" s="55"/>
      <c r="J20" s="55"/>
      <c r="K20" s="55"/>
    </row>
    <row r="21" spans="2:11">
      <c r="B21" s="141"/>
      <c r="C21" s="47" t="s">
        <v>45</v>
      </c>
      <c r="D21" s="51"/>
      <c r="E21" s="52"/>
      <c r="F21" s="55"/>
      <c r="G21" s="55"/>
      <c r="H21" s="55"/>
      <c r="I21" s="55"/>
      <c r="J21" s="55"/>
      <c r="K21" s="55"/>
    </row>
    <row r="22" spans="2:11">
      <c r="B22" s="141"/>
      <c r="C22" s="47" t="s">
        <v>46</v>
      </c>
      <c r="D22" s="51"/>
      <c r="E22" s="52"/>
      <c r="F22" s="55"/>
      <c r="G22" s="55"/>
      <c r="H22" s="55"/>
      <c r="I22" s="55"/>
      <c r="J22" s="55"/>
      <c r="K22" s="55"/>
    </row>
    <row r="23" spans="2:11">
      <c r="B23" s="141"/>
      <c r="C23" s="47" t="s">
        <v>47</v>
      </c>
      <c r="D23" s="51"/>
      <c r="E23" s="52"/>
      <c r="F23" s="55"/>
      <c r="G23" s="55"/>
      <c r="H23" s="55"/>
      <c r="I23" s="55"/>
      <c r="J23" s="55"/>
      <c r="K23" s="55"/>
    </row>
    <row r="24" spans="2:11">
      <c r="B24" s="141"/>
      <c r="C24" s="47" t="s">
        <v>48</v>
      </c>
      <c r="D24" s="51"/>
      <c r="E24" s="52"/>
      <c r="F24" s="55"/>
      <c r="G24" s="55"/>
      <c r="H24" s="55"/>
      <c r="I24" s="55"/>
      <c r="J24" s="55"/>
      <c r="K24" s="55"/>
    </row>
    <row r="25" spans="2:11">
      <c r="B25" s="141"/>
      <c r="C25" s="47" t="s">
        <v>49</v>
      </c>
      <c r="D25" s="51"/>
      <c r="E25" s="52"/>
      <c r="F25" s="55"/>
      <c r="G25" s="55"/>
      <c r="H25" s="55"/>
      <c r="I25" s="55"/>
      <c r="J25" s="55"/>
      <c r="K25" s="55"/>
    </row>
    <row r="26" spans="2:11">
      <c r="B26" s="141"/>
      <c r="C26" s="47" t="s">
        <v>50</v>
      </c>
      <c r="D26" s="51"/>
      <c r="E26" s="52"/>
      <c r="F26" s="55"/>
      <c r="G26" s="55"/>
      <c r="H26" s="55"/>
      <c r="I26" s="55"/>
      <c r="J26" s="55"/>
      <c r="K26" s="55"/>
    </row>
    <row r="27" spans="2:11">
      <c r="B27" s="141"/>
      <c r="C27" s="47" t="s">
        <v>51</v>
      </c>
      <c r="D27" s="51"/>
      <c r="E27" s="148"/>
      <c r="F27" s="55"/>
      <c r="G27" s="55"/>
      <c r="H27" s="55"/>
      <c r="I27" s="55"/>
      <c r="J27" s="55"/>
      <c r="K27" s="55"/>
    </row>
    <row r="28" spans="2:11">
      <c r="B28" s="141"/>
      <c r="C28" s="48" t="s">
        <v>52</v>
      </c>
      <c r="D28" s="49">
        <f>SUMIF(C29:C43,"&lt;&gt;【*】",D29:D43)</f>
        <v>0</v>
      </c>
      <c r="E28" s="50">
        <f>SUMIF(C29:C43,"&lt;&gt;【*】",E29:E43)</f>
        <v>0</v>
      </c>
      <c r="F28" s="55"/>
      <c r="G28" s="55"/>
      <c r="H28" s="55"/>
      <c r="I28" s="55"/>
      <c r="J28" s="55"/>
      <c r="K28" s="55"/>
    </row>
    <row r="29" spans="2:11">
      <c r="B29" s="141"/>
      <c r="C29" s="47" t="s">
        <v>53</v>
      </c>
      <c r="D29" s="51"/>
      <c r="E29" s="52"/>
      <c r="F29" s="55"/>
      <c r="G29" s="55"/>
      <c r="H29" s="55"/>
      <c r="I29" s="55"/>
      <c r="J29" s="55"/>
      <c r="K29" s="55"/>
    </row>
    <row r="30" spans="2:11">
      <c r="B30" s="141"/>
      <c r="C30" s="47" t="s">
        <v>54</v>
      </c>
      <c r="D30" s="51"/>
      <c r="E30" s="148"/>
      <c r="F30" s="55"/>
      <c r="G30" s="55"/>
      <c r="H30" s="55"/>
      <c r="I30" s="55"/>
      <c r="J30" s="55"/>
      <c r="K30" s="55"/>
    </row>
    <row r="31" spans="2:11">
      <c r="B31" s="141"/>
      <c r="C31" s="47" t="s">
        <v>55</v>
      </c>
      <c r="D31" s="51"/>
      <c r="E31" s="52"/>
      <c r="F31" s="55"/>
      <c r="G31" s="55"/>
      <c r="H31" s="55"/>
      <c r="I31" s="55"/>
      <c r="J31" s="55"/>
      <c r="K31" s="55"/>
    </row>
    <row r="32" spans="2:11">
      <c r="B32" s="141"/>
      <c r="C32" s="47" t="s">
        <v>56</v>
      </c>
      <c r="D32" s="51"/>
      <c r="E32" s="52"/>
      <c r="F32" s="55"/>
      <c r="G32" s="55"/>
      <c r="H32" s="55"/>
      <c r="I32" s="55"/>
      <c r="J32" s="55"/>
      <c r="K32" s="55"/>
    </row>
    <row r="33" spans="2:11">
      <c r="B33" s="141"/>
      <c r="C33" s="47" t="s">
        <v>57</v>
      </c>
      <c r="D33" s="51"/>
      <c r="E33" s="52"/>
      <c r="F33" s="55"/>
      <c r="G33" s="55"/>
      <c r="H33" s="55"/>
      <c r="I33" s="55"/>
      <c r="J33" s="55"/>
      <c r="K33" s="55"/>
    </row>
    <row r="34" spans="2:11">
      <c r="B34" s="141"/>
      <c r="C34" s="47" t="s">
        <v>58</v>
      </c>
      <c r="D34" s="51"/>
      <c r="E34" s="52"/>
      <c r="F34" s="55"/>
      <c r="G34" s="55"/>
      <c r="H34" s="55"/>
      <c r="I34" s="55"/>
      <c r="J34" s="55"/>
      <c r="K34" s="55"/>
    </row>
    <row r="35" spans="2:11">
      <c r="B35" s="141"/>
      <c r="C35" s="47" t="s">
        <v>59</v>
      </c>
      <c r="D35" s="51"/>
      <c r="E35" s="52"/>
      <c r="F35" s="55"/>
      <c r="G35" s="55"/>
      <c r="H35" s="55"/>
      <c r="I35" s="55"/>
      <c r="J35" s="55"/>
      <c r="K35" s="55"/>
    </row>
    <row r="36" spans="2:11">
      <c r="B36" s="141"/>
      <c r="C36" s="47" t="s">
        <v>60</v>
      </c>
      <c r="D36" s="51"/>
      <c r="E36" s="52"/>
      <c r="F36" s="55"/>
      <c r="G36" s="55"/>
      <c r="H36" s="55"/>
      <c r="I36" s="55"/>
      <c r="J36" s="55"/>
      <c r="K36" s="55"/>
    </row>
    <row r="37" spans="2:11">
      <c r="B37" s="141"/>
      <c r="C37" s="47" t="s">
        <v>61</v>
      </c>
      <c r="D37" s="51"/>
      <c r="E37" s="52"/>
      <c r="F37" s="55"/>
      <c r="G37" s="55"/>
      <c r="H37" s="55"/>
      <c r="I37" s="55"/>
      <c r="J37" s="55"/>
      <c r="K37" s="55"/>
    </row>
    <row r="38" spans="2:11">
      <c r="B38" s="141"/>
      <c r="C38" s="47" t="s">
        <v>62</v>
      </c>
      <c r="D38" s="51"/>
      <c r="E38" s="52"/>
      <c r="F38" s="55"/>
      <c r="G38" s="55"/>
      <c r="H38" s="55"/>
      <c r="I38" s="55"/>
      <c r="J38" s="55"/>
      <c r="K38" s="55"/>
    </row>
    <row r="39" spans="2:11">
      <c r="B39" s="141"/>
      <c r="C39" s="47" t="s">
        <v>63</v>
      </c>
      <c r="D39" s="51"/>
      <c r="E39" s="52"/>
      <c r="F39" s="55"/>
      <c r="G39" s="55"/>
    </row>
    <row r="40" spans="2:11">
      <c r="B40" s="141"/>
      <c r="C40" s="47" t="s">
        <v>64</v>
      </c>
      <c r="D40" s="51"/>
      <c r="E40" s="52"/>
      <c r="F40" s="55"/>
      <c r="G40" s="55"/>
    </row>
    <row r="41" spans="2:11">
      <c r="B41" s="141"/>
      <c r="C41" s="47" t="s">
        <v>65</v>
      </c>
      <c r="D41" s="51"/>
      <c r="E41" s="52"/>
      <c r="F41" s="55"/>
      <c r="G41" s="55"/>
    </row>
    <row r="42" spans="2:11">
      <c r="B42" s="141"/>
      <c r="C42" s="47" t="s">
        <v>66</v>
      </c>
      <c r="D42" s="51"/>
      <c r="E42" s="52"/>
      <c r="F42" s="55"/>
      <c r="G42" s="55"/>
    </row>
    <row r="43" spans="2:11">
      <c r="B43" s="141"/>
      <c r="C43" s="47" t="s">
        <v>67</v>
      </c>
      <c r="D43" s="51"/>
      <c r="E43" s="148"/>
      <c r="F43" s="55"/>
      <c r="G43" s="55"/>
    </row>
    <row r="44" spans="2:11">
      <c r="B44" s="141"/>
      <c r="C44" s="48" t="s">
        <v>68</v>
      </c>
      <c r="D44" s="49">
        <f>SUMIF(C45:C49,"&lt;&gt;【*】",D45:D49)</f>
        <v>0</v>
      </c>
      <c r="E44" s="50">
        <f>SUMIF(C45:C49,"&lt;&gt;【*】",E45:E49)</f>
        <v>0</v>
      </c>
      <c r="F44" s="55"/>
      <c r="G44" s="55"/>
    </row>
    <row r="45" spans="2:11">
      <c r="B45" s="141"/>
      <c r="C45" s="47" t="s">
        <v>69</v>
      </c>
      <c r="D45" s="51"/>
      <c r="E45" s="52"/>
      <c r="F45" s="55"/>
      <c r="G45" s="55"/>
    </row>
    <row r="46" spans="2:11">
      <c r="B46" s="141"/>
      <c r="C46" s="47" t="s">
        <v>70</v>
      </c>
      <c r="D46" s="51"/>
      <c r="E46" s="52"/>
      <c r="F46" s="55"/>
      <c r="G46" s="55"/>
    </row>
    <row r="47" spans="2:11">
      <c r="B47" s="141"/>
      <c r="C47" s="47" t="s">
        <v>71</v>
      </c>
      <c r="D47" s="51"/>
      <c r="E47" s="52"/>
      <c r="F47" s="55"/>
      <c r="G47" s="55"/>
    </row>
    <row r="48" spans="2:11">
      <c r="B48" s="141"/>
      <c r="C48" s="47" t="s">
        <v>72</v>
      </c>
      <c r="D48" s="51"/>
      <c r="E48" s="52"/>
      <c r="F48" s="55"/>
      <c r="G48" s="55"/>
    </row>
    <row r="49" spans="2:7">
      <c r="B49" s="141"/>
      <c r="C49" s="47" t="s">
        <v>73</v>
      </c>
      <c r="D49" s="51"/>
      <c r="E49" s="52"/>
      <c r="F49" s="55"/>
      <c r="G49" s="55"/>
    </row>
    <row r="50" spans="2:7">
      <c r="B50" s="141"/>
      <c r="C50" s="48" t="s">
        <v>74</v>
      </c>
      <c r="D50" s="49">
        <f>SUMIF(C51:C66,"&lt;&gt;【*】",D51:D66)</f>
        <v>0</v>
      </c>
      <c r="E50" s="50">
        <f>SUMIF(C51:C66,"&lt;&gt;【*】",E51:E66)</f>
        <v>0</v>
      </c>
      <c r="F50" s="55"/>
      <c r="G50" s="55"/>
    </row>
    <row r="51" spans="2:7">
      <c r="B51" s="141"/>
      <c r="C51" s="47" t="s">
        <v>75</v>
      </c>
      <c r="D51" s="51"/>
      <c r="E51" s="52"/>
      <c r="F51" s="55"/>
      <c r="G51" s="55"/>
    </row>
    <row r="52" spans="2:7">
      <c r="B52" s="141"/>
      <c r="C52" s="47" t="s">
        <v>76</v>
      </c>
      <c r="D52" s="51"/>
      <c r="E52" s="52"/>
      <c r="F52" s="55"/>
      <c r="G52" s="55"/>
    </row>
    <row r="53" spans="2:7">
      <c r="B53" s="141"/>
      <c r="C53" s="47" t="s">
        <v>77</v>
      </c>
      <c r="D53" s="51"/>
      <c r="E53" s="52"/>
      <c r="F53" s="55"/>
      <c r="G53" s="55"/>
    </row>
    <row r="54" spans="2:7">
      <c r="B54" s="141"/>
      <c r="C54" s="47" t="s">
        <v>78</v>
      </c>
      <c r="D54" s="51"/>
      <c r="E54" s="52"/>
      <c r="F54" s="55"/>
      <c r="G54" s="55"/>
    </row>
    <row r="55" spans="2:7">
      <c r="B55" s="141"/>
      <c r="C55" s="47" t="s">
        <v>79</v>
      </c>
      <c r="D55" s="51"/>
      <c r="E55" s="52"/>
      <c r="F55" s="55"/>
      <c r="G55" s="55"/>
    </row>
    <row r="56" spans="2:7">
      <c r="B56" s="141"/>
      <c r="C56" s="47" t="s">
        <v>80</v>
      </c>
      <c r="D56" s="51"/>
      <c r="E56" s="52"/>
      <c r="F56" s="55"/>
      <c r="G56" s="55"/>
    </row>
    <row r="57" spans="2:7">
      <c r="B57" s="141"/>
      <c r="C57" s="47" t="s">
        <v>81</v>
      </c>
      <c r="D57" s="51"/>
      <c r="E57" s="148"/>
      <c r="F57" s="55"/>
      <c r="G57" s="55"/>
    </row>
    <row r="58" spans="2:7">
      <c r="B58" s="141"/>
      <c r="C58" s="47" t="s">
        <v>82</v>
      </c>
      <c r="D58" s="51"/>
      <c r="E58" s="52"/>
      <c r="F58" s="55"/>
      <c r="G58" s="55"/>
    </row>
    <row r="59" spans="2:7">
      <c r="B59" s="141"/>
      <c r="C59" s="47" t="s">
        <v>83</v>
      </c>
      <c r="D59" s="51"/>
      <c r="E59" s="52"/>
      <c r="F59" s="55"/>
      <c r="G59" s="55"/>
    </row>
    <row r="60" spans="2:7">
      <c r="B60" s="141"/>
      <c r="C60" s="47" t="s">
        <v>84</v>
      </c>
      <c r="D60" s="51"/>
      <c r="E60" s="52"/>
      <c r="F60" s="55"/>
      <c r="G60" s="55"/>
    </row>
    <row r="61" spans="2:7">
      <c r="B61" s="141"/>
      <c r="C61" s="47" t="s">
        <v>85</v>
      </c>
      <c r="D61" s="51"/>
      <c r="E61" s="52"/>
      <c r="F61" s="55"/>
      <c r="G61" s="55"/>
    </row>
    <row r="62" spans="2:7">
      <c r="B62" s="141"/>
      <c r="C62" s="47" t="s">
        <v>86</v>
      </c>
      <c r="D62" s="51"/>
      <c r="E62" s="52"/>
      <c r="F62" s="55"/>
      <c r="G62" s="55"/>
    </row>
    <row r="63" spans="2:7">
      <c r="B63" s="141"/>
      <c r="C63" s="47" t="s">
        <v>87</v>
      </c>
      <c r="D63" s="51"/>
      <c r="E63" s="52"/>
      <c r="F63" s="55"/>
      <c r="G63" s="55"/>
    </row>
    <row r="64" spans="2:7">
      <c r="B64" s="141"/>
      <c r="C64" s="47" t="s">
        <v>88</v>
      </c>
      <c r="D64" s="51"/>
      <c r="E64" s="52"/>
      <c r="F64" s="55"/>
      <c r="G64" s="55"/>
    </row>
    <row r="65" spans="2:7">
      <c r="B65" s="141"/>
      <c r="C65" s="47" t="s">
        <v>89</v>
      </c>
      <c r="D65" s="51"/>
      <c r="E65" s="52"/>
      <c r="F65" s="55"/>
      <c r="G65" s="55"/>
    </row>
    <row r="66" spans="2:7">
      <c r="B66" s="141"/>
      <c r="C66" s="47" t="s">
        <v>90</v>
      </c>
      <c r="D66" s="51"/>
      <c r="E66" s="148"/>
      <c r="F66" s="55"/>
      <c r="G66" s="55"/>
    </row>
    <row r="67" spans="2:7">
      <c r="B67" s="141"/>
      <c r="C67" s="48" t="s">
        <v>91</v>
      </c>
      <c r="D67" s="49">
        <f>SUMIF(C68:C69,"&lt;&gt;【*】",D68:D69)</f>
        <v>0</v>
      </c>
      <c r="E67" s="50">
        <f>SUMIF(C68:C69,"&lt;&gt;【*】",E68:E69)</f>
        <v>0</v>
      </c>
      <c r="F67" s="55"/>
      <c r="G67" s="55"/>
    </row>
    <row r="68" spans="2:7">
      <c r="B68" s="141"/>
      <c r="C68" s="47" t="s">
        <v>92</v>
      </c>
      <c r="D68" s="51"/>
      <c r="E68" s="52"/>
      <c r="F68" s="55"/>
      <c r="G68" s="55"/>
    </row>
    <row r="69" spans="2:7">
      <c r="B69" s="141"/>
      <c r="C69" s="47" t="s">
        <v>93</v>
      </c>
      <c r="D69" s="51"/>
      <c r="E69" s="52"/>
      <c r="F69" s="55"/>
      <c r="G69" s="55"/>
    </row>
    <row r="70" spans="2:7">
      <c r="B70" s="141"/>
      <c r="C70" s="48" t="s">
        <v>94</v>
      </c>
      <c r="D70" s="49">
        <f>SUMIF(C71:C72,"&lt;&gt;【*】",D71:D72)</f>
        <v>0</v>
      </c>
      <c r="E70" s="50">
        <f>SUMIF(C71:C72,"&lt;&gt;【*】",E71:E72)</f>
        <v>0</v>
      </c>
      <c r="F70" s="55"/>
      <c r="G70" s="55"/>
    </row>
    <row r="71" spans="2:7">
      <c r="B71" s="141"/>
      <c r="C71" s="47" t="s">
        <v>95</v>
      </c>
      <c r="D71" s="51"/>
      <c r="E71" s="52"/>
      <c r="F71" s="55"/>
      <c r="G71" s="55"/>
    </row>
    <row r="72" spans="2:7">
      <c r="B72" s="141"/>
      <c r="C72" s="47" t="s">
        <v>96</v>
      </c>
      <c r="D72" s="51"/>
      <c r="E72" s="52"/>
      <c r="F72" s="55"/>
      <c r="G72" s="55"/>
    </row>
    <row r="73" spans="2:7">
      <c r="B73" s="141"/>
      <c r="C73" s="48" t="s">
        <v>97</v>
      </c>
      <c r="D73" s="49">
        <f>SUMIF(C74:C83,"&lt;&gt;【*】",D74:D83)</f>
        <v>0</v>
      </c>
      <c r="E73" s="50">
        <f>SUMIF(C74:C83,"&lt;&gt;【*】",E74:E83)</f>
        <v>0</v>
      </c>
      <c r="F73" s="55"/>
      <c r="G73" s="55"/>
    </row>
    <row r="74" spans="2:7">
      <c r="B74" s="141"/>
      <c r="C74" s="47" t="s">
        <v>98</v>
      </c>
      <c r="D74" s="51"/>
      <c r="E74" s="52"/>
      <c r="F74" s="55"/>
      <c r="G74" s="55"/>
    </row>
    <row r="75" spans="2:7">
      <c r="B75" s="141"/>
      <c r="C75" s="47" t="s">
        <v>99</v>
      </c>
      <c r="D75" s="51"/>
      <c r="E75" s="148"/>
      <c r="F75" s="55"/>
      <c r="G75" s="55"/>
    </row>
    <row r="76" spans="2:7">
      <c r="B76" s="141"/>
      <c r="C76" s="47" t="s">
        <v>100</v>
      </c>
      <c r="D76" s="51"/>
      <c r="E76" s="52"/>
      <c r="F76" s="55"/>
      <c r="G76" s="55"/>
    </row>
    <row r="77" spans="2:7">
      <c r="B77" s="141"/>
      <c r="C77" s="47" t="s">
        <v>101</v>
      </c>
      <c r="D77" s="51"/>
      <c r="E77" s="52"/>
      <c r="F77" s="55"/>
      <c r="G77" s="55"/>
    </row>
    <row r="78" spans="2:7">
      <c r="B78" s="141"/>
      <c r="C78" s="47" t="s">
        <v>102</v>
      </c>
      <c r="D78" s="51"/>
      <c r="E78" s="52"/>
      <c r="F78" s="55"/>
      <c r="G78" s="55"/>
    </row>
    <row r="79" spans="2:7">
      <c r="B79" s="141"/>
      <c r="C79" s="47" t="s">
        <v>103</v>
      </c>
      <c r="D79" s="51"/>
      <c r="E79" s="148"/>
      <c r="F79" s="55"/>
      <c r="G79" s="55"/>
    </row>
    <row r="80" spans="2:7">
      <c r="B80" s="141"/>
      <c r="C80" s="47" t="s">
        <v>104</v>
      </c>
      <c r="D80" s="51"/>
      <c r="E80" s="52"/>
      <c r="F80" s="55"/>
      <c r="G80" s="55"/>
    </row>
    <row r="81" spans="2:7">
      <c r="B81" s="141"/>
      <c r="C81" s="47" t="s">
        <v>105</v>
      </c>
      <c r="D81" s="51"/>
      <c r="E81" s="52"/>
      <c r="F81" s="55"/>
      <c r="G81" s="55"/>
    </row>
    <row r="82" spans="2:7">
      <c r="B82" s="141"/>
      <c r="C82" s="47" t="s">
        <v>106</v>
      </c>
      <c r="D82" s="51"/>
      <c r="E82" s="52"/>
      <c r="F82" s="55"/>
      <c r="G82" s="55"/>
    </row>
    <row r="83" spans="2:7">
      <c r="B83" s="141"/>
      <c r="C83" s="47" t="s">
        <v>107</v>
      </c>
      <c r="D83" s="51"/>
      <c r="E83" s="52"/>
      <c r="F83" s="55"/>
      <c r="G83" s="55"/>
    </row>
    <row r="84" spans="2:7">
      <c r="B84" s="141"/>
      <c r="C84" s="48" t="s">
        <v>108</v>
      </c>
      <c r="D84" s="49">
        <f>SUMIF(C85:C106,"&lt;&gt;【*】",D85:D106)</f>
        <v>0</v>
      </c>
      <c r="E84" s="50">
        <f>SUMIF(C85:C106,"&lt;&gt;【*】",E85:E106)</f>
        <v>0</v>
      </c>
      <c r="F84" s="55"/>
      <c r="G84" s="55"/>
    </row>
    <row r="85" spans="2:7">
      <c r="B85" s="141"/>
      <c r="C85" s="47" t="s">
        <v>109</v>
      </c>
      <c r="D85" s="51"/>
      <c r="E85" s="52"/>
      <c r="F85" s="55"/>
      <c r="G85" s="55"/>
    </row>
    <row r="86" spans="2:7">
      <c r="B86" s="141"/>
      <c r="C86" s="47" t="s">
        <v>110</v>
      </c>
      <c r="D86" s="51"/>
      <c r="E86" s="52"/>
      <c r="F86" s="55"/>
      <c r="G86" s="55"/>
    </row>
    <row r="87" spans="2:7">
      <c r="B87" s="141"/>
      <c r="C87" s="47" t="s">
        <v>111</v>
      </c>
      <c r="D87" s="51"/>
      <c r="E87" s="52"/>
      <c r="F87" s="55"/>
      <c r="G87" s="55"/>
    </row>
    <row r="88" spans="2:7">
      <c r="B88" s="141"/>
      <c r="C88" s="47" t="s">
        <v>112</v>
      </c>
      <c r="D88" s="51"/>
      <c r="E88" s="52"/>
      <c r="F88" s="55"/>
      <c r="G88" s="55"/>
    </row>
    <row r="89" spans="2:7">
      <c r="B89" s="141"/>
      <c r="C89" s="47" t="s">
        <v>113</v>
      </c>
      <c r="D89" s="51"/>
      <c r="E89" s="52"/>
      <c r="F89" s="55"/>
      <c r="G89" s="55"/>
    </row>
    <row r="90" spans="2:7">
      <c r="B90" s="141"/>
      <c r="C90" s="47" t="s">
        <v>114</v>
      </c>
      <c r="D90" s="51"/>
      <c r="E90" s="52"/>
      <c r="F90" s="55"/>
      <c r="G90" s="55"/>
    </row>
    <row r="91" spans="2:7">
      <c r="B91" s="141"/>
      <c r="C91" s="47" t="s">
        <v>115</v>
      </c>
      <c r="D91" s="51"/>
      <c r="E91" s="52"/>
      <c r="F91" s="55"/>
      <c r="G91" s="55"/>
    </row>
    <row r="92" spans="2:7">
      <c r="B92" s="141"/>
      <c r="C92" s="47" t="s">
        <v>116</v>
      </c>
      <c r="D92" s="51"/>
      <c r="E92" s="52"/>
      <c r="F92" s="55"/>
      <c r="G92" s="55"/>
    </row>
    <row r="93" spans="2:7">
      <c r="B93" s="141"/>
      <c r="C93" s="47" t="s">
        <v>117</v>
      </c>
      <c r="D93" s="51"/>
      <c r="E93" s="52"/>
      <c r="F93" s="55"/>
      <c r="G93" s="55"/>
    </row>
    <row r="94" spans="2:7">
      <c r="B94" s="141"/>
      <c r="C94" s="47" t="s">
        <v>118</v>
      </c>
      <c r="D94" s="51"/>
      <c r="E94" s="52"/>
      <c r="F94" s="55"/>
      <c r="G94" s="55"/>
    </row>
    <row r="95" spans="2:7">
      <c r="B95" s="141"/>
      <c r="C95" s="47" t="s">
        <v>119</v>
      </c>
      <c r="D95" s="51"/>
      <c r="E95" s="52"/>
      <c r="F95" s="55"/>
      <c r="G95" s="55"/>
    </row>
    <row r="96" spans="2:7">
      <c r="B96" s="141"/>
      <c r="C96" s="47" t="s">
        <v>120</v>
      </c>
      <c r="D96" s="51"/>
      <c r="E96" s="52"/>
      <c r="F96" s="55"/>
      <c r="G96" s="55"/>
    </row>
    <row r="97" spans="2:7">
      <c r="B97" s="141"/>
      <c r="C97" s="47" t="s">
        <v>121</v>
      </c>
      <c r="D97" s="51"/>
      <c r="E97" s="52"/>
      <c r="F97" s="55"/>
      <c r="G97" s="55"/>
    </row>
    <row r="98" spans="2:7">
      <c r="B98" s="141"/>
      <c r="C98" s="47" t="s">
        <v>122</v>
      </c>
      <c r="D98" s="51"/>
      <c r="E98" s="52"/>
      <c r="F98" s="55"/>
      <c r="G98" s="55"/>
    </row>
    <row r="99" spans="2:7">
      <c r="B99" s="141"/>
      <c r="C99" s="47" t="s">
        <v>123</v>
      </c>
      <c r="D99" s="51"/>
      <c r="E99" s="52"/>
      <c r="F99" s="55"/>
      <c r="G99" s="55"/>
    </row>
    <row r="100" spans="2:7">
      <c r="B100" s="141"/>
      <c r="C100" s="47" t="s">
        <v>124</v>
      </c>
      <c r="D100" s="51"/>
      <c r="E100" s="52"/>
      <c r="F100" s="55"/>
      <c r="G100" s="55"/>
    </row>
    <row r="101" spans="2:7">
      <c r="B101" s="141"/>
      <c r="C101" s="47" t="s">
        <v>125</v>
      </c>
      <c r="D101" s="51"/>
      <c r="E101" s="52"/>
      <c r="F101" s="55"/>
      <c r="G101" s="55"/>
    </row>
    <row r="102" spans="2:7">
      <c r="B102" s="141"/>
      <c r="C102" s="47" t="s">
        <v>126</v>
      </c>
      <c r="D102" s="51"/>
      <c r="E102" s="52"/>
      <c r="F102" s="55"/>
      <c r="G102" s="55"/>
    </row>
    <row r="103" spans="2:7">
      <c r="B103" s="141"/>
      <c r="C103" s="47" t="s">
        <v>127</v>
      </c>
      <c r="D103" s="51"/>
      <c r="E103" s="52"/>
      <c r="F103" s="55"/>
      <c r="G103" s="55"/>
    </row>
    <row r="104" spans="2:7">
      <c r="B104" s="141"/>
      <c r="C104" s="47" t="s">
        <v>128</v>
      </c>
      <c r="D104" s="51"/>
      <c r="E104" s="148"/>
      <c r="F104" s="55"/>
      <c r="G104" s="55"/>
    </row>
    <row r="105" spans="2:7">
      <c r="B105" s="141"/>
      <c r="C105" s="47" t="s">
        <v>129</v>
      </c>
      <c r="D105" s="51"/>
      <c r="E105" s="52"/>
      <c r="F105" s="55"/>
      <c r="G105" s="55"/>
    </row>
    <row r="106" spans="2:7">
      <c r="B106" s="141"/>
      <c r="C106" s="47" t="s">
        <v>130</v>
      </c>
      <c r="D106" s="51"/>
      <c r="E106" s="148"/>
      <c r="F106" s="55"/>
      <c r="G106" s="55"/>
    </row>
    <row r="107" spans="2:7">
      <c r="B107" s="141"/>
      <c r="C107" s="48" t="s">
        <v>131</v>
      </c>
      <c r="D107" s="49">
        <f>SUMIF(C108:C111,"&lt;&gt;【*】",D108:D111)</f>
        <v>0</v>
      </c>
      <c r="E107" s="50">
        <f>SUMIF(C108:C111,"&lt;&gt;【*】",E108:E111)</f>
        <v>0</v>
      </c>
      <c r="F107" s="55"/>
      <c r="G107" s="55"/>
    </row>
    <row r="108" spans="2:7">
      <c r="B108" s="141"/>
      <c r="C108" s="47" t="s">
        <v>132</v>
      </c>
      <c r="D108" s="51"/>
      <c r="E108" s="52"/>
      <c r="F108" s="55"/>
      <c r="G108" s="55"/>
    </row>
    <row r="109" spans="2:7">
      <c r="B109" s="141"/>
      <c r="C109" s="47" t="s">
        <v>133</v>
      </c>
      <c r="D109" s="51"/>
      <c r="E109" s="52"/>
      <c r="F109" s="55"/>
      <c r="G109" s="55"/>
    </row>
    <row r="110" spans="2:7">
      <c r="B110" s="141"/>
      <c r="C110" s="47" t="s">
        <v>134</v>
      </c>
      <c r="D110" s="51"/>
      <c r="E110" s="52"/>
      <c r="F110" s="55"/>
      <c r="G110" s="55"/>
    </row>
    <row r="111" spans="2:7">
      <c r="B111" s="141"/>
      <c r="C111" s="47" t="s">
        <v>135</v>
      </c>
      <c r="D111" s="51"/>
      <c r="E111" s="148"/>
      <c r="F111" s="55"/>
      <c r="G111" s="55"/>
    </row>
    <row r="112" spans="2:7">
      <c r="B112" s="141"/>
      <c r="C112" s="48" t="s">
        <v>136</v>
      </c>
      <c r="D112" s="49">
        <f>SUMIF(C113:C114,"&lt;&gt;【*】",D113:D114)</f>
        <v>0</v>
      </c>
      <c r="E112" s="50">
        <f>SUMIF(C113:C114,"&lt;&gt;【*】",E113:E114)</f>
        <v>0</v>
      </c>
      <c r="F112" s="55"/>
      <c r="G112" s="55"/>
    </row>
    <row r="113" spans="2:7">
      <c r="B113" s="141"/>
      <c r="C113" s="47" t="s">
        <v>137</v>
      </c>
      <c r="D113" s="51"/>
      <c r="E113" s="148"/>
      <c r="F113" s="55"/>
      <c r="G113" s="55"/>
    </row>
    <row r="114" spans="2:7">
      <c r="B114" s="141"/>
      <c r="C114" s="47" t="s">
        <v>138</v>
      </c>
      <c r="D114" s="51"/>
      <c r="E114" s="148"/>
      <c r="F114" s="55"/>
      <c r="G114" s="55"/>
    </row>
    <row r="115" spans="2:7">
      <c r="B115" s="141"/>
      <c r="C115" s="48" t="s">
        <v>139</v>
      </c>
      <c r="D115" s="49">
        <f>SUMIF(C116:C138,"&lt;&gt;【*】",D116:D138)</f>
        <v>48</v>
      </c>
      <c r="E115" s="50">
        <f>SUMIF(C116:C138,"&lt;&gt;【*】",E116:E138)</f>
        <v>4</v>
      </c>
      <c r="F115" s="55"/>
      <c r="G115" s="55"/>
    </row>
    <row r="116" spans="2:7">
      <c r="B116" s="141"/>
      <c r="C116" s="47" t="s">
        <v>140</v>
      </c>
      <c r="D116" s="51"/>
      <c r="E116" s="52"/>
      <c r="F116" s="55"/>
      <c r="G116" s="55"/>
    </row>
    <row r="117" spans="2:7">
      <c r="B117" s="141"/>
      <c r="C117" s="47" t="s">
        <v>141</v>
      </c>
      <c r="D117" s="51"/>
      <c r="E117" s="52"/>
      <c r="F117" s="55"/>
      <c r="G117" s="55"/>
    </row>
    <row r="118" spans="2:7">
      <c r="B118" s="141"/>
      <c r="C118" s="47" t="s">
        <v>142</v>
      </c>
      <c r="D118" s="51"/>
      <c r="E118" s="52"/>
      <c r="F118" s="55"/>
      <c r="G118" s="55"/>
    </row>
    <row r="119" spans="2:7">
      <c r="B119" s="141"/>
      <c r="C119" s="47" t="s">
        <v>143</v>
      </c>
      <c r="D119" s="51"/>
      <c r="E119" s="52"/>
      <c r="F119" s="55"/>
      <c r="G119" s="55"/>
    </row>
    <row r="120" spans="2:7">
      <c r="B120" s="141"/>
      <c r="C120" s="47" t="s">
        <v>144</v>
      </c>
      <c r="D120" s="51"/>
      <c r="E120" s="52"/>
      <c r="F120" s="55"/>
      <c r="G120" s="55"/>
    </row>
    <row r="121" spans="2:7">
      <c r="B121" s="141"/>
      <c r="C121" s="47" t="s">
        <v>145</v>
      </c>
      <c r="D121" s="51"/>
      <c r="E121" s="52"/>
      <c r="F121" s="55"/>
      <c r="G121" s="55"/>
    </row>
    <row r="122" spans="2:7">
      <c r="B122" s="141"/>
      <c r="C122" s="47" t="s">
        <v>146</v>
      </c>
      <c r="D122" s="51">
        <v>33</v>
      </c>
      <c r="E122" s="52">
        <v>2</v>
      </c>
      <c r="F122" s="55"/>
      <c r="G122" s="55"/>
    </row>
    <row r="123" spans="2:7">
      <c r="B123" s="141"/>
      <c r="C123" s="47" t="s">
        <v>147</v>
      </c>
      <c r="D123" s="51">
        <v>15</v>
      </c>
      <c r="E123" s="52">
        <v>2</v>
      </c>
      <c r="F123" s="55"/>
      <c r="G123" s="55"/>
    </row>
    <row r="124" spans="2:7">
      <c r="B124" s="141"/>
      <c r="C124" s="47" t="s">
        <v>148</v>
      </c>
      <c r="D124" s="51"/>
      <c r="E124" s="52"/>
      <c r="F124" s="55"/>
      <c r="G124" s="55"/>
    </row>
    <row r="125" spans="2:7">
      <c r="B125" s="141"/>
      <c r="C125" s="47" t="s">
        <v>149</v>
      </c>
      <c r="D125" s="51"/>
      <c r="E125" s="52"/>
    </row>
    <row r="126" spans="2:7">
      <c r="B126" s="141"/>
      <c r="C126" s="47" t="s">
        <v>150</v>
      </c>
      <c r="D126" s="51"/>
      <c r="E126" s="52"/>
    </row>
    <row r="127" spans="2:7">
      <c r="B127" s="141"/>
      <c r="C127" s="47" t="s">
        <v>151</v>
      </c>
      <c r="D127" s="51"/>
      <c r="E127" s="52"/>
    </row>
    <row r="128" spans="2:7">
      <c r="B128" s="141"/>
      <c r="C128" s="47" t="s">
        <v>152</v>
      </c>
      <c r="D128" s="51"/>
      <c r="E128" s="52"/>
    </row>
    <row r="129" spans="2:5">
      <c r="B129" s="141"/>
      <c r="C129" s="47" t="s">
        <v>153</v>
      </c>
      <c r="D129" s="51"/>
      <c r="E129" s="52"/>
    </row>
    <row r="130" spans="2:5">
      <c r="B130" s="141"/>
      <c r="C130" s="47" t="s">
        <v>154</v>
      </c>
      <c r="D130" s="51"/>
      <c r="E130" s="52"/>
    </row>
    <row r="131" spans="2:5">
      <c r="B131" s="141"/>
      <c r="C131" s="47" t="s">
        <v>155</v>
      </c>
      <c r="D131" s="51"/>
      <c r="E131" s="52"/>
    </row>
    <row r="132" spans="2:5">
      <c r="B132" s="141"/>
      <c r="C132" s="47" t="s">
        <v>156</v>
      </c>
      <c r="D132" s="51"/>
      <c r="E132" s="52"/>
    </row>
    <row r="133" spans="2:5">
      <c r="B133" s="141"/>
      <c r="C133" s="47" t="s">
        <v>157</v>
      </c>
      <c r="D133" s="51"/>
      <c r="E133" s="52"/>
    </row>
    <row r="134" spans="2:5">
      <c r="B134" s="141"/>
      <c r="C134" s="47" t="s">
        <v>158</v>
      </c>
      <c r="D134" s="51"/>
      <c r="E134" s="52"/>
    </row>
    <row r="135" spans="2:5">
      <c r="B135" s="141"/>
      <c r="C135" s="47" t="s">
        <v>159</v>
      </c>
      <c r="D135" s="51"/>
      <c r="E135" s="52"/>
    </row>
    <row r="136" spans="2:5">
      <c r="B136" s="141"/>
      <c r="C136" s="47" t="s">
        <v>160</v>
      </c>
      <c r="D136" s="51"/>
      <c r="E136" s="52"/>
    </row>
    <row r="137" spans="2:5">
      <c r="B137" s="141"/>
      <c r="C137" s="47" t="s">
        <v>161</v>
      </c>
      <c r="D137" s="51"/>
      <c r="E137" s="148"/>
    </row>
    <row r="138" spans="2:5">
      <c r="B138" s="141"/>
      <c r="C138" s="47" t="s">
        <v>162</v>
      </c>
      <c r="D138" s="51"/>
      <c r="E138" s="148"/>
    </row>
    <row r="139" spans="2:5">
      <c r="B139" s="147" t="s">
        <v>163</v>
      </c>
      <c r="C139" s="109" t="s">
        <v>177</v>
      </c>
      <c r="D139" s="110">
        <f>SUMIF(C140:C149,"&lt;&gt;【*】",D140:D149)</f>
        <v>0</v>
      </c>
      <c r="E139" s="111">
        <f>SUMIF(C140:C149,"&lt;&gt;【*】",E140:E149)</f>
        <v>0</v>
      </c>
    </row>
    <row r="140" spans="2:5">
      <c r="B140" s="141"/>
      <c r="C140" s="47" t="s">
        <v>164</v>
      </c>
      <c r="D140" s="51"/>
      <c r="E140" s="52"/>
    </row>
    <row r="141" spans="2:5">
      <c r="B141" s="141"/>
      <c r="C141" s="47" t="s">
        <v>165</v>
      </c>
      <c r="D141" s="51"/>
      <c r="E141" s="52"/>
    </row>
    <row r="142" spans="2:5">
      <c r="B142" s="141"/>
      <c r="C142" s="47" t="s">
        <v>166</v>
      </c>
      <c r="D142" s="51"/>
      <c r="E142" s="52"/>
    </row>
    <row r="143" spans="2:5">
      <c r="B143" s="141"/>
      <c r="C143" s="47" t="s">
        <v>167</v>
      </c>
      <c r="D143" s="51"/>
      <c r="E143" s="52"/>
    </row>
    <row r="144" spans="2:5">
      <c r="B144" s="141"/>
      <c r="C144" s="47" t="s">
        <v>168</v>
      </c>
      <c r="D144" s="51"/>
      <c r="E144" s="52"/>
    </row>
    <row r="145" spans="2:5">
      <c r="B145" s="141"/>
      <c r="C145" s="47" t="s">
        <v>169</v>
      </c>
      <c r="D145" s="51"/>
      <c r="E145" s="52"/>
    </row>
    <row r="146" spans="2:5">
      <c r="B146" s="141"/>
      <c r="C146" s="47" t="s">
        <v>170</v>
      </c>
      <c r="D146" s="51"/>
      <c r="E146" s="52"/>
    </row>
    <row r="147" spans="2:5">
      <c r="B147" s="141"/>
      <c r="C147" s="47" t="s">
        <v>171</v>
      </c>
      <c r="D147" s="51"/>
      <c r="E147" s="52"/>
    </row>
    <row r="148" spans="2:5">
      <c r="B148" s="141"/>
      <c r="C148" s="47" t="s">
        <v>172</v>
      </c>
      <c r="D148" s="51"/>
      <c r="E148" s="52"/>
    </row>
    <row r="149" spans="2:5">
      <c r="B149" s="141"/>
      <c r="C149" s="47" t="s">
        <v>173</v>
      </c>
      <c r="D149" s="51"/>
      <c r="E149" s="52"/>
    </row>
    <row r="150" spans="2:5">
      <c r="B150" s="146" t="s">
        <v>174</v>
      </c>
      <c r="C150" s="112" t="s">
        <v>178</v>
      </c>
      <c r="D150" s="113">
        <f>SUMIF(C151:C152,"&lt;&gt;【*】",D151:D152)</f>
        <v>195</v>
      </c>
      <c r="E150" s="114">
        <f>SUMIF(C151:C152,"&lt;&gt;【*】",E151:E152)</f>
        <v>0</v>
      </c>
    </row>
    <row r="151" spans="2:5">
      <c r="B151" s="141"/>
      <c r="C151" s="47" t="s">
        <v>23</v>
      </c>
      <c r="D151" s="51">
        <v>195</v>
      </c>
      <c r="E151" s="52"/>
    </row>
    <row r="152" spans="2:5">
      <c r="B152" s="141"/>
      <c r="C152" s="47" t="s">
        <v>175</v>
      </c>
      <c r="D152" s="51"/>
      <c r="E152" s="52"/>
    </row>
    <row r="153" spans="2:5">
      <c r="B153" s="140" t="s">
        <v>176</v>
      </c>
      <c r="C153" s="115" t="s">
        <v>179</v>
      </c>
      <c r="D153" s="116">
        <f>SUMIF(C154:C154,"&lt;&gt;【*】",D154:D154)</f>
        <v>1002</v>
      </c>
      <c r="E153" s="117">
        <f>SUMIF(C154:C154,"&lt;&gt;【*】",E154:E154)</f>
        <v>0</v>
      </c>
    </row>
    <row r="154" spans="2:5">
      <c r="B154" s="141"/>
      <c r="C154" s="47" t="s">
        <v>22</v>
      </c>
      <c r="D154" s="51">
        <v>1002</v>
      </c>
      <c r="E154" s="52"/>
    </row>
    <row r="155" spans="2:5" ht="13.5">
      <c r="B155"/>
      <c r="C155"/>
      <c r="D155"/>
      <c r="E155"/>
    </row>
    <row r="156" spans="2:5" ht="13.5">
      <c r="B156"/>
      <c r="C156"/>
      <c r="D156"/>
      <c r="E156"/>
    </row>
    <row r="157" spans="2:5" ht="13.5">
      <c r="B157"/>
      <c r="C157"/>
      <c r="D157"/>
      <c r="E157"/>
    </row>
    <row r="158" spans="2:5" ht="13.5">
      <c r="B158"/>
      <c r="C158"/>
      <c r="D158"/>
      <c r="E158"/>
    </row>
    <row r="159" spans="2:5" ht="13.5">
      <c r="B159"/>
      <c r="C159"/>
      <c r="D159"/>
      <c r="E159"/>
    </row>
    <row r="160" spans="2:5" ht="13.5">
      <c r="B160"/>
      <c r="C160"/>
      <c r="D160"/>
      <c r="E160"/>
    </row>
    <row r="161" spans="2:5" ht="13.5">
      <c r="B161"/>
      <c r="C161"/>
      <c r="D161"/>
      <c r="E161"/>
    </row>
    <row r="162" spans="2:5" ht="13.5">
      <c r="B162"/>
      <c r="C162"/>
      <c r="D162"/>
      <c r="E162"/>
    </row>
    <row r="163" spans="2:5" ht="13.5">
      <c r="B163"/>
      <c r="C163"/>
      <c r="D163"/>
      <c r="E163"/>
    </row>
    <row r="164" spans="2:5" ht="13.5">
      <c r="B164"/>
      <c r="C164"/>
      <c r="D164"/>
      <c r="E164"/>
    </row>
    <row r="165" spans="2:5" ht="13.5">
      <c r="B165"/>
      <c r="C165"/>
      <c r="D165"/>
      <c r="E165"/>
    </row>
    <row r="166" spans="2:5" ht="13.5">
      <c r="B166"/>
      <c r="C166"/>
      <c r="D166"/>
      <c r="E166"/>
    </row>
    <row r="167" spans="2:5" ht="13.5">
      <c r="B167"/>
      <c r="C167"/>
      <c r="D167"/>
      <c r="E167"/>
    </row>
    <row r="168" spans="2:5" ht="13.5">
      <c r="B168"/>
      <c r="C168"/>
      <c r="D168"/>
      <c r="E168"/>
    </row>
    <row r="169" spans="2:5" ht="13.5">
      <c r="B169"/>
      <c r="C169"/>
      <c r="D169"/>
      <c r="E169"/>
    </row>
    <row r="170" spans="2:5" ht="13.5">
      <c r="B170"/>
      <c r="C170"/>
      <c r="D170"/>
      <c r="E170"/>
    </row>
    <row r="171" spans="2:5" ht="13.5">
      <c r="B171"/>
      <c r="C171"/>
      <c r="D171"/>
      <c r="E171"/>
    </row>
    <row r="172" spans="2:5" ht="13.5">
      <c r="B172"/>
      <c r="C172"/>
      <c r="D172"/>
      <c r="E172"/>
    </row>
    <row r="173" spans="2:5" ht="13.5">
      <c r="B173"/>
      <c r="C173"/>
      <c r="D173"/>
      <c r="E173"/>
    </row>
    <row r="174" spans="2:5" ht="13.5">
      <c r="B174"/>
      <c r="C174"/>
      <c r="D174"/>
      <c r="E174"/>
    </row>
    <row r="175" spans="2:5" ht="13.5">
      <c r="B175"/>
      <c r="C175"/>
      <c r="D175"/>
      <c r="E175"/>
    </row>
    <row r="176" spans="2:5" ht="13.5">
      <c r="B176"/>
      <c r="C176"/>
      <c r="D176"/>
      <c r="E176"/>
    </row>
    <row r="177" spans="2:5" ht="13.5">
      <c r="B177"/>
      <c r="C177"/>
      <c r="D177"/>
      <c r="E177"/>
    </row>
    <row r="178" spans="2:5" ht="13.5">
      <c r="B178"/>
      <c r="C178"/>
      <c r="D178"/>
      <c r="E178"/>
    </row>
    <row r="179" spans="2:5" ht="13.5">
      <c r="B179"/>
      <c r="C179"/>
      <c r="D179"/>
      <c r="E179"/>
    </row>
    <row r="180" spans="2:5" ht="13.5">
      <c r="B180"/>
      <c r="C180"/>
      <c r="D180"/>
      <c r="E180"/>
    </row>
    <row r="181" spans="2:5" ht="13.5">
      <c r="B181"/>
      <c r="C181"/>
      <c r="D181"/>
      <c r="E181"/>
    </row>
    <row r="182" spans="2:5" ht="13.5">
      <c r="B182"/>
      <c r="C182"/>
      <c r="D182"/>
      <c r="E182"/>
    </row>
    <row r="183" spans="2:5" ht="13.5">
      <c r="B183"/>
      <c r="C183"/>
      <c r="D183"/>
      <c r="E183"/>
    </row>
    <row r="184" spans="2:5" ht="13.5">
      <c r="B184"/>
      <c r="C184"/>
      <c r="D184"/>
      <c r="E184"/>
    </row>
    <row r="185" spans="2:5" ht="13.5">
      <c r="B185"/>
      <c r="C185"/>
      <c r="D185"/>
      <c r="E185"/>
    </row>
    <row r="186" spans="2:5" ht="13.5">
      <c r="B186"/>
      <c r="C186"/>
      <c r="D186"/>
      <c r="E186"/>
    </row>
    <row r="187" spans="2:5" ht="13.5">
      <c r="B187"/>
      <c r="C187"/>
      <c r="D187"/>
      <c r="E187"/>
    </row>
    <row r="188" spans="2:5" ht="13.5">
      <c r="B188"/>
      <c r="C188"/>
      <c r="D188"/>
      <c r="E188"/>
    </row>
    <row r="189" spans="2:5" ht="13.5">
      <c r="B189"/>
      <c r="C189"/>
      <c r="D189"/>
      <c r="E189"/>
    </row>
    <row r="190" spans="2:5" ht="13.5">
      <c r="B190"/>
      <c r="C190"/>
      <c r="D190"/>
      <c r="E190"/>
    </row>
    <row r="191" spans="2:5" ht="13.5">
      <c r="B191"/>
      <c r="C191"/>
      <c r="D191"/>
      <c r="E191"/>
    </row>
    <row r="192" spans="2:5" ht="13.5">
      <c r="B192"/>
      <c r="C192"/>
      <c r="D192"/>
      <c r="E192"/>
    </row>
    <row r="193" spans="2:5" ht="13.5">
      <c r="B193"/>
      <c r="C193"/>
      <c r="D193"/>
      <c r="E193"/>
    </row>
    <row r="194" spans="2:5" ht="13.5">
      <c r="B194"/>
      <c r="C194"/>
      <c r="D194"/>
      <c r="E194"/>
    </row>
    <row r="195" spans="2:5" ht="13.5">
      <c r="B195"/>
      <c r="C195"/>
      <c r="D195"/>
      <c r="E195"/>
    </row>
    <row r="196" spans="2:5" ht="13.5">
      <c r="B196"/>
      <c r="C196"/>
      <c r="D196"/>
      <c r="E196"/>
    </row>
    <row r="197" spans="2:5" ht="13.5">
      <c r="B197"/>
      <c r="C197"/>
      <c r="D197"/>
      <c r="E197"/>
    </row>
    <row r="198" spans="2:5" ht="13.5">
      <c r="B198"/>
      <c r="C198"/>
      <c r="D198"/>
      <c r="E198"/>
    </row>
    <row r="199" spans="2:5" ht="13.5">
      <c r="B199"/>
      <c r="C199"/>
      <c r="D199"/>
      <c r="E199"/>
    </row>
    <row r="200" spans="2:5" ht="13.5">
      <c r="B200"/>
      <c r="C200"/>
      <c r="D200"/>
      <c r="E200"/>
    </row>
    <row r="201" spans="2:5" ht="13.5">
      <c r="B201"/>
      <c r="C201"/>
      <c r="D201"/>
      <c r="E201"/>
    </row>
    <row r="202" spans="2:5" ht="13.5">
      <c r="B202"/>
      <c r="C202"/>
      <c r="D202"/>
      <c r="E202"/>
    </row>
    <row r="203" spans="2:5" ht="13.5">
      <c r="B203"/>
      <c r="C203"/>
      <c r="D203"/>
      <c r="E203"/>
    </row>
    <row r="204" spans="2:5" ht="13.5">
      <c r="B204"/>
      <c r="C204"/>
      <c r="D204"/>
      <c r="E204"/>
    </row>
    <row r="205" spans="2:5" ht="13.5">
      <c r="B205"/>
      <c r="C205"/>
      <c r="D205"/>
      <c r="E205"/>
    </row>
    <row r="206" spans="2:5" ht="13.5">
      <c r="B206"/>
      <c r="C206"/>
      <c r="D206"/>
      <c r="E206"/>
    </row>
    <row r="207" spans="2:5" ht="13.5">
      <c r="B207"/>
      <c r="C207"/>
      <c r="D207"/>
      <c r="E207"/>
    </row>
    <row r="208" spans="2:5" ht="13.5">
      <c r="B208"/>
      <c r="C208"/>
      <c r="D208"/>
      <c r="E208"/>
    </row>
    <row r="209" spans="2:5" ht="13.5">
      <c r="B209"/>
      <c r="C209"/>
      <c r="D209"/>
      <c r="E209"/>
    </row>
    <row r="210" spans="2:5" ht="13.5">
      <c r="B210"/>
      <c r="C210"/>
      <c r="D210"/>
      <c r="E210"/>
    </row>
    <row r="211" spans="2:5" ht="13.5">
      <c r="B211"/>
      <c r="C211"/>
      <c r="D211"/>
      <c r="E211"/>
    </row>
    <row r="212" spans="2:5" ht="13.5">
      <c r="B212"/>
      <c r="C212"/>
      <c r="D212"/>
      <c r="E212"/>
    </row>
    <row r="213" spans="2:5" ht="13.5">
      <c r="B213"/>
      <c r="C213"/>
      <c r="D213"/>
      <c r="E213"/>
    </row>
    <row r="214" spans="2:5" ht="13.5">
      <c r="B214"/>
      <c r="C214"/>
      <c r="D214"/>
      <c r="E214"/>
    </row>
    <row r="215" spans="2:5" ht="13.5">
      <c r="B215"/>
      <c r="C215"/>
      <c r="D215"/>
      <c r="E215"/>
    </row>
    <row r="216" spans="2:5" ht="13.5">
      <c r="B216"/>
      <c r="C216"/>
      <c r="D216"/>
      <c r="E216"/>
    </row>
    <row r="217" spans="2:5" ht="13.5">
      <c r="B217"/>
      <c r="C217"/>
      <c r="D217"/>
      <c r="E217"/>
    </row>
    <row r="218" spans="2:5" ht="13.5">
      <c r="B218"/>
      <c r="C218"/>
      <c r="D218"/>
      <c r="E218"/>
    </row>
    <row r="219" spans="2:5" ht="13.5">
      <c r="B219"/>
      <c r="C219"/>
      <c r="D219"/>
      <c r="E219"/>
    </row>
    <row r="220" spans="2:5" ht="13.5">
      <c r="B220"/>
      <c r="C220"/>
      <c r="D220"/>
      <c r="E220"/>
    </row>
    <row r="221" spans="2:5" ht="13.5">
      <c r="B221"/>
      <c r="C221"/>
      <c r="D221"/>
      <c r="E221"/>
    </row>
    <row r="222" spans="2:5" ht="13.5">
      <c r="B222"/>
      <c r="C222"/>
      <c r="D222"/>
      <c r="E222"/>
    </row>
    <row r="223" spans="2:5" ht="13.5">
      <c r="B223"/>
      <c r="C223"/>
      <c r="D223"/>
      <c r="E223"/>
    </row>
    <row r="224" spans="2:5" ht="13.5">
      <c r="B224"/>
      <c r="C224"/>
      <c r="D224"/>
      <c r="E224"/>
    </row>
    <row r="225" spans="2:5" ht="13.5">
      <c r="B225"/>
      <c r="C225"/>
      <c r="D225"/>
      <c r="E225"/>
    </row>
    <row r="226" spans="2:5" ht="13.5">
      <c r="B226"/>
      <c r="C226"/>
      <c r="D226"/>
      <c r="E226"/>
    </row>
    <row r="227" spans="2:5" ht="13.5">
      <c r="B227"/>
      <c r="C227"/>
      <c r="D227"/>
      <c r="E227"/>
    </row>
    <row r="228" spans="2:5" ht="13.5">
      <c r="B228"/>
      <c r="C228"/>
      <c r="D228"/>
      <c r="E228"/>
    </row>
    <row r="229" spans="2:5" ht="13.5">
      <c r="B229"/>
      <c r="C229"/>
      <c r="D229"/>
      <c r="E229"/>
    </row>
    <row r="230" spans="2:5" ht="13.5">
      <c r="B230"/>
      <c r="C230"/>
      <c r="D230"/>
      <c r="E230"/>
    </row>
    <row r="231" spans="2:5" ht="13.5">
      <c r="B231"/>
      <c r="C231"/>
      <c r="D231"/>
      <c r="E231"/>
    </row>
    <row r="232" spans="2:5" ht="13.5">
      <c r="B232"/>
      <c r="C232"/>
      <c r="D232"/>
      <c r="E232"/>
    </row>
    <row r="233" spans="2:5" ht="13.5">
      <c r="B233"/>
      <c r="C233"/>
      <c r="D233"/>
      <c r="E233"/>
    </row>
    <row r="234" spans="2:5" ht="13.5">
      <c r="B234"/>
      <c r="C234"/>
      <c r="D234"/>
      <c r="E234"/>
    </row>
    <row r="235" spans="2:5" ht="13.5">
      <c r="B235"/>
      <c r="C235"/>
      <c r="D235"/>
      <c r="E235"/>
    </row>
    <row r="236" spans="2:5" ht="13.5">
      <c r="B236"/>
      <c r="C236"/>
      <c r="D236"/>
      <c r="E236"/>
    </row>
    <row r="237" spans="2:5" ht="13.5">
      <c r="B237"/>
      <c r="C237"/>
      <c r="D237"/>
      <c r="E237"/>
    </row>
    <row r="238" spans="2:5" ht="13.5">
      <c r="B238"/>
      <c r="C238"/>
      <c r="D238"/>
      <c r="E238"/>
    </row>
    <row r="239" spans="2:5" ht="13.5">
      <c r="B239"/>
      <c r="C239"/>
      <c r="D239"/>
      <c r="E239"/>
    </row>
    <row r="240" spans="2:5" ht="13.5">
      <c r="B240"/>
      <c r="C240"/>
      <c r="D240"/>
      <c r="E240"/>
    </row>
    <row r="241" spans="2:5" ht="13.5">
      <c r="B241"/>
      <c r="C241"/>
      <c r="D241"/>
      <c r="E241"/>
    </row>
    <row r="242" spans="2:5" ht="13.5">
      <c r="B242"/>
      <c r="C242"/>
      <c r="D242"/>
      <c r="E242"/>
    </row>
    <row r="243" spans="2:5" ht="13.5">
      <c r="B243"/>
      <c r="C243"/>
      <c r="D243"/>
      <c r="E243"/>
    </row>
    <row r="244" spans="2:5" ht="13.5">
      <c r="B244"/>
      <c r="C244"/>
      <c r="D244"/>
      <c r="E244"/>
    </row>
    <row r="245" spans="2:5" ht="13.5">
      <c r="B245"/>
      <c r="C245"/>
      <c r="D245"/>
      <c r="E245"/>
    </row>
    <row r="246" spans="2:5" ht="13.5">
      <c r="B246"/>
      <c r="C246"/>
      <c r="D246"/>
      <c r="E246"/>
    </row>
    <row r="247" spans="2:5" ht="13.5">
      <c r="B247"/>
      <c r="C247"/>
      <c r="D247"/>
      <c r="E247"/>
    </row>
    <row r="248" spans="2:5" ht="13.5">
      <c r="B248"/>
      <c r="C248"/>
      <c r="D248"/>
      <c r="E248"/>
    </row>
    <row r="249" spans="2:5" ht="13.5">
      <c r="B249"/>
      <c r="C249"/>
      <c r="D249"/>
      <c r="E249"/>
    </row>
    <row r="250" spans="2:5" ht="13.5">
      <c r="B250"/>
      <c r="C250"/>
      <c r="D250"/>
      <c r="E250"/>
    </row>
    <row r="251" spans="2:5" ht="13.5">
      <c r="B251"/>
      <c r="C251"/>
      <c r="D251"/>
      <c r="E251"/>
    </row>
    <row r="252" spans="2:5" ht="13.5">
      <c r="B252"/>
      <c r="C252"/>
      <c r="D252"/>
      <c r="E252"/>
    </row>
    <row r="253" spans="2:5" ht="13.5">
      <c r="B253"/>
      <c r="C253"/>
      <c r="D253"/>
      <c r="E253"/>
    </row>
    <row r="254" spans="2:5" ht="13.5">
      <c r="B254"/>
      <c r="C254"/>
      <c r="D254"/>
      <c r="E254"/>
    </row>
    <row r="255" spans="2:5" ht="13.5">
      <c r="B255"/>
      <c r="C255"/>
      <c r="D255"/>
      <c r="E255"/>
    </row>
    <row r="256" spans="2:5" ht="13.5">
      <c r="B256"/>
      <c r="C256"/>
      <c r="D256"/>
      <c r="E256"/>
    </row>
    <row r="257" spans="2:5" ht="13.5">
      <c r="B257"/>
      <c r="C257"/>
      <c r="D257"/>
      <c r="E257"/>
    </row>
    <row r="258" spans="2:5" ht="13.5">
      <c r="B258"/>
      <c r="C258"/>
      <c r="D258"/>
      <c r="E258"/>
    </row>
    <row r="259" spans="2:5" ht="13.5">
      <c r="B259"/>
      <c r="C259"/>
      <c r="D259"/>
      <c r="E259"/>
    </row>
    <row r="260" spans="2:5" ht="13.5">
      <c r="B260"/>
      <c r="C260"/>
      <c r="D260"/>
      <c r="E260"/>
    </row>
    <row r="261" spans="2:5" ht="13.5">
      <c r="B261"/>
      <c r="C261"/>
      <c r="D261"/>
      <c r="E261"/>
    </row>
    <row r="262" spans="2:5" ht="13.5">
      <c r="B262"/>
      <c r="C262"/>
      <c r="D262"/>
      <c r="E262"/>
    </row>
    <row r="263" spans="2:5" ht="13.5">
      <c r="B263"/>
      <c r="C263"/>
      <c r="D263"/>
      <c r="E263"/>
    </row>
    <row r="264" spans="2:5" ht="13.5">
      <c r="B264"/>
      <c r="C264"/>
      <c r="D264"/>
      <c r="E264"/>
    </row>
    <row r="265" spans="2:5" ht="13.5">
      <c r="B265"/>
      <c r="C265"/>
      <c r="D265"/>
      <c r="E265"/>
    </row>
    <row r="266" spans="2:5" ht="13.5">
      <c r="B266"/>
      <c r="C266"/>
      <c r="D266"/>
      <c r="E266"/>
    </row>
    <row r="267" spans="2:5" ht="13.5">
      <c r="B267"/>
      <c r="C267"/>
      <c r="D267"/>
      <c r="E267"/>
    </row>
    <row r="268" spans="2:5" ht="13.5">
      <c r="B268"/>
      <c r="C268"/>
      <c r="D268"/>
      <c r="E268"/>
    </row>
    <row r="269" spans="2:5" ht="13.5">
      <c r="B269"/>
      <c r="C269"/>
      <c r="D269"/>
      <c r="E269"/>
    </row>
    <row r="270" spans="2:5" ht="13.5">
      <c r="B270"/>
      <c r="C270"/>
      <c r="D270"/>
      <c r="E270"/>
    </row>
    <row r="271" spans="2:5" ht="13.5">
      <c r="B271"/>
      <c r="C271"/>
      <c r="D271"/>
      <c r="E271"/>
    </row>
    <row r="272" spans="2:5" ht="13.5">
      <c r="B272"/>
      <c r="C272"/>
      <c r="D272"/>
      <c r="E272"/>
    </row>
    <row r="273" spans="2:5" ht="13.5">
      <c r="B273"/>
      <c r="C273"/>
      <c r="D273"/>
      <c r="E273"/>
    </row>
    <row r="274" spans="2:5" ht="13.5">
      <c r="B274"/>
      <c r="C274"/>
      <c r="D274"/>
      <c r="E274"/>
    </row>
    <row r="275" spans="2:5" ht="13.5">
      <c r="B275"/>
      <c r="C275"/>
      <c r="D275"/>
      <c r="E275"/>
    </row>
    <row r="276" spans="2:5" ht="13.5">
      <c r="B276"/>
      <c r="C276"/>
      <c r="D276"/>
      <c r="E276"/>
    </row>
    <row r="277" spans="2:5" ht="13.5">
      <c r="B277"/>
      <c r="C277"/>
      <c r="D277"/>
      <c r="E277"/>
    </row>
    <row r="278" spans="2:5" ht="13.5">
      <c r="B278"/>
      <c r="C278"/>
      <c r="D278"/>
      <c r="E278"/>
    </row>
    <row r="279" spans="2:5" ht="13.5">
      <c r="B279"/>
      <c r="C279"/>
      <c r="D279"/>
      <c r="E279"/>
    </row>
    <row r="280" spans="2:5" ht="13.5">
      <c r="B280"/>
      <c r="C280"/>
      <c r="D280"/>
      <c r="E280"/>
    </row>
    <row r="281" spans="2:5" ht="13.5">
      <c r="B281"/>
      <c r="C281"/>
      <c r="D281"/>
      <c r="E281"/>
    </row>
    <row r="282" spans="2:5" ht="13.5">
      <c r="B282"/>
      <c r="C282"/>
      <c r="D282"/>
      <c r="E282"/>
    </row>
    <row r="283" spans="2:5" ht="13.5">
      <c r="B283"/>
      <c r="C283"/>
      <c r="D283"/>
      <c r="E283"/>
    </row>
    <row r="284" spans="2:5" ht="13.5">
      <c r="B284"/>
      <c r="C284"/>
      <c r="D284"/>
      <c r="E284"/>
    </row>
    <row r="285" spans="2:5" ht="13.5">
      <c r="B285"/>
      <c r="C285"/>
      <c r="D285"/>
      <c r="E285"/>
    </row>
    <row r="286" spans="2:5" ht="13.5">
      <c r="B286"/>
      <c r="C286"/>
      <c r="D286"/>
      <c r="E286"/>
    </row>
    <row r="287" spans="2:5" ht="13.5">
      <c r="B287"/>
      <c r="C287"/>
      <c r="D287"/>
      <c r="E287"/>
    </row>
    <row r="288" spans="2:5" ht="13.5">
      <c r="B288"/>
      <c r="C288"/>
      <c r="D288"/>
      <c r="E288"/>
    </row>
    <row r="289" spans="2:5" ht="13.5">
      <c r="B289"/>
      <c r="C289"/>
      <c r="D289"/>
      <c r="E289"/>
    </row>
    <row r="290" spans="2:5" ht="13.5">
      <c r="B290"/>
      <c r="C290"/>
      <c r="D290"/>
      <c r="E290"/>
    </row>
    <row r="291" spans="2:5" ht="13.5">
      <c r="B291"/>
      <c r="C291"/>
      <c r="D291"/>
      <c r="E291"/>
    </row>
    <row r="292" spans="2:5" ht="13.5">
      <c r="B292"/>
      <c r="C292"/>
      <c r="D292"/>
      <c r="E292"/>
    </row>
    <row r="293" spans="2:5" ht="13.5">
      <c r="B293"/>
      <c r="C293"/>
      <c r="D293"/>
      <c r="E293"/>
    </row>
    <row r="294" spans="2:5" ht="13.5">
      <c r="B294"/>
      <c r="C294"/>
      <c r="D294"/>
      <c r="E294"/>
    </row>
    <row r="295" spans="2:5" ht="13.5">
      <c r="B295"/>
      <c r="C295"/>
      <c r="D295"/>
      <c r="E295"/>
    </row>
    <row r="296" spans="2:5" ht="13.5">
      <c r="B296"/>
      <c r="C296"/>
      <c r="D296"/>
      <c r="E296"/>
    </row>
    <row r="297" spans="2:5" ht="13.5">
      <c r="B297"/>
      <c r="C297"/>
      <c r="D297"/>
      <c r="E297"/>
    </row>
    <row r="298" spans="2:5" ht="13.5">
      <c r="B298"/>
      <c r="C298"/>
      <c r="D298"/>
      <c r="E298"/>
    </row>
    <row r="299" spans="2:5" ht="13.5">
      <c r="B299"/>
      <c r="C299"/>
      <c r="D299"/>
      <c r="E299"/>
    </row>
    <row r="300" spans="2:5" ht="13.5">
      <c r="B300"/>
      <c r="C300"/>
      <c r="D300"/>
      <c r="E300"/>
    </row>
    <row r="301" spans="2:5" ht="13.5">
      <c r="B301"/>
      <c r="C301"/>
      <c r="D301"/>
      <c r="E301"/>
    </row>
    <row r="302" spans="2:5" ht="13.5">
      <c r="B302"/>
      <c r="C302"/>
      <c r="D302"/>
      <c r="E302"/>
    </row>
    <row r="303" spans="2:5" ht="13.5">
      <c r="B303"/>
      <c r="C303"/>
      <c r="D303"/>
      <c r="E303"/>
    </row>
    <row r="304" spans="2:5" ht="13.5">
      <c r="B304"/>
      <c r="C304"/>
      <c r="D304"/>
      <c r="E304"/>
    </row>
    <row r="305" spans="2:5" ht="13.5">
      <c r="B305"/>
      <c r="C305"/>
      <c r="D305"/>
      <c r="E305"/>
    </row>
    <row r="306" spans="2:5" ht="13.5">
      <c r="B306"/>
      <c r="C306"/>
      <c r="D306"/>
      <c r="E306"/>
    </row>
    <row r="307" spans="2:5" ht="13.5">
      <c r="B307"/>
      <c r="C307"/>
      <c r="D307"/>
      <c r="E307"/>
    </row>
    <row r="308" spans="2:5" ht="13.5">
      <c r="B308"/>
      <c r="C308"/>
      <c r="D308"/>
      <c r="E308"/>
    </row>
    <row r="309" spans="2:5" ht="13.5">
      <c r="B309"/>
      <c r="C309"/>
      <c r="D309"/>
      <c r="E309"/>
    </row>
    <row r="310" spans="2:5" ht="13.5">
      <c r="B310"/>
      <c r="C310"/>
      <c r="D310"/>
      <c r="E310"/>
    </row>
    <row r="311" spans="2:5" ht="13.5">
      <c r="B311"/>
      <c r="C311"/>
      <c r="D311"/>
      <c r="E311"/>
    </row>
    <row r="312" spans="2:5" ht="13.5">
      <c r="B312"/>
      <c r="C312"/>
      <c r="D312"/>
      <c r="E312"/>
    </row>
    <row r="313" spans="2:5" ht="13.5">
      <c r="B313"/>
      <c r="C313"/>
      <c r="D313"/>
      <c r="E313"/>
    </row>
  </sheetData>
  <mergeCells count="5">
    <mergeCell ref="B3:E3"/>
    <mergeCell ref="B5:B138"/>
    <mergeCell ref="B139:B149"/>
    <mergeCell ref="B150:B152"/>
    <mergeCell ref="B153:B154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AG54"/>
  <sheetViews>
    <sheetView zoomScale="70" zoomScaleNormal="70" workbookViewId="0">
      <selection activeCell="E8" sqref="E8"/>
    </sheetView>
  </sheetViews>
  <sheetFormatPr defaultRowHeight="13.5"/>
  <cols>
    <col min="2" max="2" width="14.25" bestFit="1" customWidth="1"/>
    <col min="3" max="11" width="5.625" bestFit="1" customWidth="1"/>
    <col min="12" max="32" width="6.5" bestFit="1" customWidth="1"/>
    <col min="33" max="33" width="5.5" bestFit="1" customWidth="1"/>
  </cols>
  <sheetData>
    <row r="2" spans="2:33" ht="27" customHeight="1"/>
    <row r="3" spans="2:33" ht="18" thickBot="1">
      <c r="B3" s="103" t="s">
        <v>28</v>
      </c>
    </row>
    <row r="4" spans="2:33" ht="20.25" customHeight="1">
      <c r="B4" s="104" t="s">
        <v>29</v>
      </c>
      <c r="C4" s="92">
        <v>41579</v>
      </c>
      <c r="D4" s="105">
        <v>41580</v>
      </c>
      <c r="E4" s="106">
        <v>41581</v>
      </c>
      <c r="F4" s="92">
        <v>41582</v>
      </c>
      <c r="G4" s="92">
        <v>41583</v>
      </c>
      <c r="H4" s="92">
        <v>41584</v>
      </c>
      <c r="I4" s="92">
        <v>41585</v>
      </c>
      <c r="J4" s="92">
        <v>41586</v>
      </c>
      <c r="K4" s="105">
        <v>41587</v>
      </c>
      <c r="L4" s="106">
        <v>41588</v>
      </c>
      <c r="M4" s="92">
        <v>41589</v>
      </c>
      <c r="N4" s="92">
        <v>41590</v>
      </c>
      <c r="O4" s="92">
        <v>41591</v>
      </c>
      <c r="P4" s="92">
        <v>41592</v>
      </c>
      <c r="Q4" s="92">
        <v>41593</v>
      </c>
      <c r="R4" s="105">
        <v>41594</v>
      </c>
      <c r="S4" s="106">
        <v>41595</v>
      </c>
      <c r="T4" s="92">
        <v>41596</v>
      </c>
      <c r="U4" s="92">
        <v>41597</v>
      </c>
      <c r="V4" s="92">
        <v>41598</v>
      </c>
      <c r="W4" s="92">
        <v>41599</v>
      </c>
      <c r="X4" s="92">
        <v>41600</v>
      </c>
      <c r="Y4" s="105">
        <v>41601</v>
      </c>
      <c r="Z4" s="106">
        <v>41602</v>
      </c>
      <c r="AA4" s="92">
        <v>41603</v>
      </c>
      <c r="AB4" s="92">
        <v>41604</v>
      </c>
      <c r="AC4" s="92">
        <v>41605</v>
      </c>
      <c r="AD4" s="92">
        <v>41606</v>
      </c>
      <c r="AE4" s="92">
        <v>41607</v>
      </c>
      <c r="AF4" s="105">
        <v>41608</v>
      </c>
      <c r="AG4" s="93"/>
    </row>
    <row r="5" spans="2:33">
      <c r="B5" s="98" t="s">
        <v>180</v>
      </c>
      <c r="C5" s="94">
        <v>7</v>
      </c>
      <c r="D5" s="94"/>
      <c r="E5" s="94"/>
      <c r="F5" s="94">
        <v>7</v>
      </c>
      <c r="G5" s="94">
        <v>7</v>
      </c>
      <c r="H5" s="94">
        <v>7</v>
      </c>
      <c r="I5" s="94">
        <v>7</v>
      </c>
      <c r="J5" s="94">
        <v>7</v>
      </c>
      <c r="K5" s="94"/>
      <c r="L5" s="94"/>
      <c r="M5" s="94">
        <v>7</v>
      </c>
      <c r="N5" s="94">
        <v>7</v>
      </c>
      <c r="O5" s="94">
        <v>7</v>
      </c>
      <c r="P5" s="94">
        <v>7</v>
      </c>
      <c r="Q5" s="94">
        <v>7</v>
      </c>
      <c r="R5" s="94"/>
      <c r="S5" s="94"/>
      <c r="T5" s="94">
        <v>7</v>
      </c>
      <c r="U5" s="94">
        <v>7</v>
      </c>
      <c r="V5" s="94">
        <v>7</v>
      </c>
      <c r="W5" s="94">
        <v>7</v>
      </c>
      <c r="X5" s="94">
        <v>7</v>
      </c>
      <c r="Y5" s="94"/>
      <c r="Z5" s="94"/>
      <c r="AA5" s="94">
        <v>7</v>
      </c>
      <c r="AB5" s="94">
        <v>7</v>
      </c>
      <c r="AC5" s="94">
        <v>7</v>
      </c>
      <c r="AD5" s="94">
        <v>7</v>
      </c>
      <c r="AE5" s="94">
        <v>7</v>
      </c>
      <c r="AF5" s="94"/>
      <c r="AG5" s="95"/>
    </row>
    <row r="6" spans="2:33">
      <c r="B6" s="99" t="s">
        <v>181</v>
      </c>
      <c r="C6" s="96">
        <v>7</v>
      </c>
      <c r="D6" s="96"/>
      <c r="E6" s="96"/>
      <c r="F6" s="96">
        <v>7</v>
      </c>
      <c r="G6" s="96">
        <v>7</v>
      </c>
      <c r="H6" s="96">
        <v>7</v>
      </c>
      <c r="I6" s="96">
        <v>7</v>
      </c>
      <c r="J6" s="96">
        <v>7</v>
      </c>
      <c r="K6" s="96"/>
      <c r="L6" s="96"/>
      <c r="M6" s="96">
        <v>7</v>
      </c>
      <c r="N6" s="96">
        <v>7</v>
      </c>
      <c r="O6" s="96">
        <v>7</v>
      </c>
      <c r="P6" s="96">
        <v>7</v>
      </c>
      <c r="Q6" s="96">
        <v>7</v>
      </c>
      <c r="R6" s="96"/>
      <c r="S6" s="96"/>
      <c r="T6" s="96">
        <v>7</v>
      </c>
      <c r="U6" s="96">
        <v>7</v>
      </c>
      <c r="V6" s="96">
        <v>7</v>
      </c>
      <c r="W6" s="96">
        <v>7</v>
      </c>
      <c r="X6" s="96">
        <v>7</v>
      </c>
      <c r="Y6" s="96"/>
      <c r="Z6" s="96"/>
      <c r="AA6" s="96">
        <v>7</v>
      </c>
      <c r="AB6" s="96">
        <v>7</v>
      </c>
      <c r="AC6" s="96">
        <v>7</v>
      </c>
      <c r="AD6" s="96">
        <v>7</v>
      </c>
      <c r="AE6" s="96">
        <v>7</v>
      </c>
      <c r="AF6" s="96"/>
      <c r="AG6" s="97"/>
    </row>
    <row r="7" spans="2:33">
      <c r="B7" s="99" t="s">
        <v>182</v>
      </c>
      <c r="C7" s="94">
        <v>7</v>
      </c>
      <c r="D7" s="94"/>
      <c r="E7" s="94"/>
      <c r="F7" s="94">
        <v>7</v>
      </c>
      <c r="G7" s="94">
        <v>7</v>
      </c>
      <c r="H7" s="94">
        <v>7</v>
      </c>
      <c r="I7" s="94">
        <v>7</v>
      </c>
      <c r="J7" s="94">
        <v>7</v>
      </c>
      <c r="K7" s="94"/>
      <c r="L7" s="94"/>
      <c r="M7" s="94">
        <v>7</v>
      </c>
      <c r="N7" s="94">
        <v>7</v>
      </c>
      <c r="O7" s="94">
        <v>7</v>
      </c>
      <c r="P7" s="94">
        <v>7</v>
      </c>
      <c r="Q7" s="94">
        <v>7</v>
      </c>
      <c r="R7" s="94"/>
      <c r="S7" s="94"/>
      <c r="T7" s="94">
        <v>7</v>
      </c>
      <c r="U7" s="94">
        <v>7</v>
      </c>
      <c r="V7" s="94">
        <v>7</v>
      </c>
      <c r="W7" s="94">
        <v>7</v>
      </c>
      <c r="X7" s="94">
        <v>7</v>
      </c>
      <c r="Y7" s="94"/>
      <c r="Z7" s="94"/>
      <c r="AA7" s="94">
        <v>7</v>
      </c>
      <c r="AB7" s="94">
        <v>7</v>
      </c>
      <c r="AC7" s="94">
        <v>7</v>
      </c>
      <c r="AD7" s="94">
        <v>7</v>
      </c>
      <c r="AE7" s="94">
        <v>7</v>
      </c>
      <c r="AF7" s="94"/>
      <c r="AG7" s="95"/>
    </row>
    <row r="8" spans="2:33">
      <c r="B8" s="99" t="s">
        <v>183</v>
      </c>
      <c r="C8" s="96">
        <v>7</v>
      </c>
      <c r="D8" s="96"/>
      <c r="E8" s="96"/>
      <c r="F8" s="96">
        <v>7</v>
      </c>
      <c r="G8" s="96">
        <v>7</v>
      </c>
      <c r="H8" s="96">
        <v>7</v>
      </c>
      <c r="I8" s="96">
        <v>7</v>
      </c>
      <c r="J8" s="96">
        <v>7</v>
      </c>
      <c r="K8" s="96"/>
      <c r="L8" s="96"/>
      <c r="M8" s="96">
        <v>7</v>
      </c>
      <c r="N8" s="96">
        <v>7</v>
      </c>
      <c r="O8" s="96">
        <v>7</v>
      </c>
      <c r="P8" s="96">
        <v>7</v>
      </c>
      <c r="Q8" s="96">
        <v>7</v>
      </c>
      <c r="R8" s="96"/>
      <c r="S8" s="96"/>
      <c r="T8" s="96">
        <v>7</v>
      </c>
      <c r="U8" s="96">
        <v>7</v>
      </c>
      <c r="V8" s="96">
        <v>7</v>
      </c>
      <c r="W8" s="96">
        <v>7</v>
      </c>
      <c r="X8" s="96">
        <v>7</v>
      </c>
      <c r="Y8" s="96"/>
      <c r="Z8" s="96"/>
      <c r="AA8" s="96">
        <v>7</v>
      </c>
      <c r="AB8" s="96">
        <v>7</v>
      </c>
      <c r="AC8" s="96">
        <v>7</v>
      </c>
      <c r="AD8" s="96">
        <v>7</v>
      </c>
      <c r="AE8" s="96">
        <v>7</v>
      </c>
      <c r="AF8" s="96"/>
      <c r="AG8" s="97"/>
    </row>
    <row r="9" spans="2:33">
      <c r="B9" s="99" t="s">
        <v>184</v>
      </c>
      <c r="C9" s="94">
        <v>7</v>
      </c>
      <c r="D9" s="94"/>
      <c r="E9" s="94"/>
      <c r="F9" s="94">
        <v>7</v>
      </c>
      <c r="G9" s="94">
        <v>7</v>
      </c>
      <c r="H9" s="94">
        <v>7</v>
      </c>
      <c r="I9" s="94">
        <v>7</v>
      </c>
      <c r="J9" s="94">
        <v>7</v>
      </c>
      <c r="K9" s="94"/>
      <c r="L9" s="94"/>
      <c r="M9" s="94">
        <v>7</v>
      </c>
      <c r="N9" s="94">
        <v>7</v>
      </c>
      <c r="O9" s="94">
        <v>7</v>
      </c>
      <c r="P9" s="94">
        <v>7</v>
      </c>
      <c r="Q9" s="94">
        <v>7</v>
      </c>
      <c r="R9" s="94"/>
      <c r="S9" s="94"/>
      <c r="T9" s="94">
        <v>7</v>
      </c>
      <c r="U9" s="94">
        <v>7</v>
      </c>
      <c r="V9" s="94">
        <v>7</v>
      </c>
      <c r="W9" s="94">
        <v>7</v>
      </c>
      <c r="X9" s="94">
        <v>7</v>
      </c>
      <c r="Y9" s="94"/>
      <c r="Z9" s="94"/>
      <c r="AA9" s="94">
        <v>7</v>
      </c>
      <c r="AB9" s="94">
        <v>7</v>
      </c>
      <c r="AC9" s="94">
        <v>7</v>
      </c>
      <c r="AD9" s="94">
        <v>7</v>
      </c>
      <c r="AE9" s="94">
        <v>7</v>
      </c>
      <c r="AF9" s="94"/>
      <c r="AG9" s="95"/>
    </row>
    <row r="10" spans="2:33">
      <c r="B10" s="99" t="s">
        <v>185</v>
      </c>
      <c r="C10" s="96">
        <v>7</v>
      </c>
      <c r="D10" s="96"/>
      <c r="E10" s="96"/>
      <c r="F10" s="96">
        <v>7</v>
      </c>
      <c r="G10" s="96">
        <v>7</v>
      </c>
      <c r="H10" s="96">
        <v>7</v>
      </c>
      <c r="I10" s="96">
        <v>7</v>
      </c>
      <c r="J10" s="96">
        <v>7</v>
      </c>
      <c r="K10" s="96"/>
      <c r="L10" s="96"/>
      <c r="M10" s="96">
        <v>7</v>
      </c>
      <c r="N10" s="96">
        <v>7</v>
      </c>
      <c r="O10" s="96">
        <v>7</v>
      </c>
      <c r="P10" s="96">
        <v>7</v>
      </c>
      <c r="Q10" s="96">
        <v>7</v>
      </c>
      <c r="R10" s="96"/>
      <c r="S10" s="96"/>
      <c r="T10" s="96">
        <v>7</v>
      </c>
      <c r="U10" s="96">
        <v>7</v>
      </c>
      <c r="V10" s="96">
        <v>7</v>
      </c>
      <c r="W10" s="96">
        <v>7</v>
      </c>
      <c r="X10" s="96">
        <v>7</v>
      </c>
      <c r="Y10" s="96"/>
      <c r="Z10" s="96"/>
      <c r="AA10" s="96">
        <v>7</v>
      </c>
      <c r="AB10" s="96">
        <v>7</v>
      </c>
      <c r="AC10" s="96">
        <v>7</v>
      </c>
      <c r="AD10" s="96">
        <v>7</v>
      </c>
      <c r="AE10" s="96">
        <v>7</v>
      </c>
      <c r="AF10" s="96"/>
      <c r="AG10" s="97"/>
    </row>
    <row r="11" spans="2:33">
      <c r="B11" s="99" t="s">
        <v>186</v>
      </c>
      <c r="C11" s="94">
        <v>7</v>
      </c>
      <c r="D11" s="94"/>
      <c r="E11" s="94"/>
      <c r="F11" s="94">
        <v>7</v>
      </c>
      <c r="G11" s="94">
        <v>7</v>
      </c>
      <c r="H11" s="94">
        <v>7</v>
      </c>
      <c r="I11" s="94">
        <v>7</v>
      </c>
      <c r="J11" s="94">
        <v>7</v>
      </c>
      <c r="K11" s="94"/>
      <c r="L11" s="94"/>
      <c r="M11" s="94">
        <v>7</v>
      </c>
      <c r="N11" s="94">
        <v>7</v>
      </c>
      <c r="O11" s="94">
        <v>7</v>
      </c>
      <c r="P11" s="94">
        <v>7</v>
      </c>
      <c r="Q11" s="94">
        <v>7</v>
      </c>
      <c r="R11" s="94"/>
      <c r="S11" s="94"/>
      <c r="T11" s="94">
        <v>7</v>
      </c>
      <c r="U11" s="94">
        <v>7</v>
      </c>
      <c r="V11" s="94">
        <v>7</v>
      </c>
      <c r="W11" s="94">
        <v>7</v>
      </c>
      <c r="X11" s="94">
        <v>7</v>
      </c>
      <c r="Y11" s="94"/>
      <c r="Z11" s="94"/>
      <c r="AA11" s="94">
        <v>7</v>
      </c>
      <c r="AB11" s="94">
        <v>7</v>
      </c>
      <c r="AC11" s="94">
        <v>7</v>
      </c>
      <c r="AD11" s="94">
        <v>7</v>
      </c>
      <c r="AE11" s="94">
        <v>7</v>
      </c>
      <c r="AF11" s="94"/>
      <c r="AG11" s="95"/>
    </row>
    <row r="12" spans="2:33">
      <c r="B12" s="99" t="s">
        <v>187</v>
      </c>
      <c r="C12" s="96">
        <v>7</v>
      </c>
      <c r="D12" s="96"/>
      <c r="E12" s="96"/>
      <c r="F12" s="96">
        <v>7</v>
      </c>
      <c r="G12" s="96">
        <v>7</v>
      </c>
      <c r="H12" s="96">
        <v>7</v>
      </c>
      <c r="I12" s="96">
        <v>7</v>
      </c>
      <c r="J12" s="96">
        <v>7</v>
      </c>
      <c r="K12" s="96"/>
      <c r="L12" s="96"/>
      <c r="M12" s="96">
        <v>7</v>
      </c>
      <c r="N12" s="96">
        <v>7</v>
      </c>
      <c r="O12" s="96">
        <v>7</v>
      </c>
      <c r="P12" s="96">
        <v>7</v>
      </c>
      <c r="Q12" s="96">
        <v>7</v>
      </c>
      <c r="R12" s="96"/>
      <c r="S12" s="96"/>
      <c r="T12" s="96">
        <v>7</v>
      </c>
      <c r="U12" s="96">
        <v>7</v>
      </c>
      <c r="V12" s="96">
        <v>7</v>
      </c>
      <c r="W12" s="96">
        <v>7</v>
      </c>
      <c r="X12" s="96">
        <v>7</v>
      </c>
      <c r="Y12" s="96"/>
      <c r="Z12" s="96"/>
      <c r="AA12" s="96">
        <v>7</v>
      </c>
      <c r="AB12" s="96">
        <v>7</v>
      </c>
      <c r="AC12" s="96">
        <v>7</v>
      </c>
      <c r="AD12" s="96">
        <v>7</v>
      </c>
      <c r="AE12" s="96">
        <v>7</v>
      </c>
      <c r="AF12" s="96"/>
      <c r="AG12" s="97"/>
    </row>
    <row r="13" spans="2:33">
      <c r="B13" s="99" t="s">
        <v>188</v>
      </c>
      <c r="C13" s="94">
        <v>7</v>
      </c>
      <c r="D13" s="94"/>
      <c r="E13" s="94"/>
      <c r="F13" s="94">
        <v>7</v>
      </c>
      <c r="G13" s="94">
        <v>7</v>
      </c>
      <c r="H13" s="94">
        <v>7</v>
      </c>
      <c r="I13" s="94">
        <v>7</v>
      </c>
      <c r="J13" s="94">
        <v>7</v>
      </c>
      <c r="K13" s="94"/>
      <c r="L13" s="94"/>
      <c r="M13" s="94">
        <v>7</v>
      </c>
      <c r="N13" s="94">
        <v>7</v>
      </c>
      <c r="O13" s="94">
        <v>7</v>
      </c>
      <c r="P13" s="94">
        <v>7</v>
      </c>
      <c r="Q13" s="94">
        <v>7</v>
      </c>
      <c r="R13" s="94"/>
      <c r="S13" s="94"/>
      <c r="T13" s="94">
        <v>7</v>
      </c>
      <c r="U13" s="94">
        <v>7</v>
      </c>
      <c r="V13" s="94">
        <v>7</v>
      </c>
      <c r="W13" s="94">
        <v>7</v>
      </c>
      <c r="X13" s="94">
        <v>7</v>
      </c>
      <c r="Y13" s="94"/>
      <c r="Z13" s="94"/>
      <c r="AA13" s="94">
        <v>7</v>
      </c>
      <c r="AB13" s="94">
        <v>7</v>
      </c>
      <c r="AC13" s="94">
        <v>7</v>
      </c>
      <c r="AD13" s="94">
        <v>7</v>
      </c>
      <c r="AE13" s="94">
        <v>7</v>
      </c>
      <c r="AF13" s="94"/>
      <c r="AG13" s="95"/>
    </row>
    <row r="14" spans="2:33">
      <c r="B14" s="99" t="s">
        <v>189</v>
      </c>
      <c r="C14" s="96">
        <v>7</v>
      </c>
      <c r="D14" s="96"/>
      <c r="E14" s="96"/>
      <c r="F14" s="96">
        <v>7</v>
      </c>
      <c r="G14" s="96">
        <v>7</v>
      </c>
      <c r="H14" s="96">
        <v>7</v>
      </c>
      <c r="I14" s="96">
        <v>7</v>
      </c>
      <c r="J14" s="96">
        <v>7</v>
      </c>
      <c r="K14" s="96"/>
      <c r="L14" s="96"/>
      <c r="M14" s="96">
        <v>7</v>
      </c>
      <c r="N14" s="96">
        <v>7</v>
      </c>
      <c r="O14" s="96">
        <v>7</v>
      </c>
      <c r="P14" s="96">
        <v>7</v>
      </c>
      <c r="Q14" s="96">
        <v>7</v>
      </c>
      <c r="R14" s="96"/>
      <c r="S14" s="96"/>
      <c r="T14" s="96">
        <v>7</v>
      </c>
      <c r="U14" s="96">
        <v>7</v>
      </c>
      <c r="V14" s="96">
        <v>7</v>
      </c>
      <c r="W14" s="96">
        <v>7</v>
      </c>
      <c r="X14" s="96">
        <v>7</v>
      </c>
      <c r="Y14" s="96"/>
      <c r="Z14" s="96"/>
      <c r="AA14" s="96">
        <v>7</v>
      </c>
      <c r="AB14" s="96">
        <v>7</v>
      </c>
      <c r="AC14" s="96">
        <v>7</v>
      </c>
      <c r="AD14" s="96">
        <v>7</v>
      </c>
      <c r="AE14" s="96">
        <v>7</v>
      </c>
      <c r="AF14" s="96"/>
      <c r="AG14" s="97"/>
    </row>
    <row r="15" spans="2:33">
      <c r="B15" s="99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5"/>
    </row>
    <row r="16" spans="2:33">
      <c r="B16" s="99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7"/>
    </row>
    <row r="17" spans="2:33">
      <c r="B17" s="99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5"/>
    </row>
    <row r="18" spans="2:33">
      <c r="B18" s="99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7"/>
    </row>
    <row r="19" spans="2:33">
      <c r="B19" s="99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5"/>
    </row>
    <row r="20" spans="2:33">
      <c r="B20" s="99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7"/>
    </row>
    <row r="21" spans="2:33">
      <c r="B21" s="99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5"/>
    </row>
    <row r="22" spans="2:33">
      <c r="B22" s="99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7"/>
    </row>
    <row r="23" spans="2:33">
      <c r="B23" s="99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5"/>
    </row>
    <row r="24" spans="2:33">
      <c r="B24" s="99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7"/>
    </row>
    <row r="25" spans="2:33">
      <c r="B25" s="99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5"/>
    </row>
    <row r="26" spans="2:33">
      <c r="B26" s="99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7"/>
    </row>
    <row r="27" spans="2:33">
      <c r="B27" s="99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5"/>
    </row>
    <row r="28" spans="2:33">
      <c r="B28" s="99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7"/>
    </row>
    <row r="29" spans="2:33">
      <c r="B29" s="99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5"/>
    </row>
    <row r="30" spans="2:33">
      <c r="B30" s="99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7"/>
    </row>
    <row r="31" spans="2:33">
      <c r="B31" s="99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5"/>
    </row>
    <row r="32" spans="2:33">
      <c r="B32" s="99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7"/>
    </row>
    <row r="33" spans="2:33">
      <c r="B33" s="99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5"/>
    </row>
    <row r="34" spans="2:33">
      <c r="B34" s="99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7"/>
    </row>
    <row r="35" spans="2:33">
      <c r="B35" s="99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5"/>
    </row>
    <row r="36" spans="2:33">
      <c r="B36" s="99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7"/>
    </row>
    <row r="37" spans="2:33">
      <c r="B37" s="99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5"/>
    </row>
    <row r="38" spans="2:33">
      <c r="B38" s="99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7"/>
    </row>
    <row r="39" spans="2:33">
      <c r="B39" s="99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5"/>
    </row>
    <row r="40" spans="2:33">
      <c r="B40" s="99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7"/>
    </row>
    <row r="41" spans="2:33">
      <c r="B41" s="99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5"/>
    </row>
    <row r="42" spans="2:33">
      <c r="B42" s="99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7"/>
    </row>
    <row r="43" spans="2:33">
      <c r="B43" s="99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5"/>
    </row>
    <row r="44" spans="2:33">
      <c r="B44" s="99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7"/>
    </row>
    <row r="45" spans="2:33">
      <c r="B45" s="99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5"/>
    </row>
    <row r="46" spans="2:33">
      <c r="B46" s="99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7"/>
    </row>
    <row r="47" spans="2:33">
      <c r="B47" s="99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5"/>
    </row>
    <row r="48" spans="2:33">
      <c r="B48" s="99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33">
      <c r="B49" s="99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5"/>
    </row>
    <row r="50" spans="2:33">
      <c r="B50" s="99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7"/>
    </row>
    <row r="51" spans="2:33">
      <c r="B51" s="99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5"/>
    </row>
    <row r="52" spans="2:33">
      <c r="B52" s="99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7"/>
    </row>
    <row r="53" spans="2:33">
      <c r="B53" s="99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5"/>
    </row>
    <row r="54" spans="2:33" ht="14.25" thickBot="1">
      <c r="B54" s="100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2"/>
    </row>
  </sheetData>
  <dataConsolidate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30</xdr:col>
                <xdr:colOff>0</xdr:colOff>
                <xdr:row>1</xdr:row>
                <xdr:rowOff>0</xdr:rowOff>
              </from>
              <to>
                <xdr:col>33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集約</vt:lpstr>
      <vt:lpstr>日別</vt:lpstr>
      <vt:lpstr>担当者別</vt:lpstr>
      <vt:lpstr>小分類</vt:lpstr>
      <vt:lpstr>所定労働時間</vt:lpstr>
    </vt:vector>
  </TitlesOfParts>
  <Company>オリックス・グループ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オリックス・グループ</dc:creator>
  <cp:lastModifiedBy>オリックス・グループ</cp:lastModifiedBy>
  <cp:lastPrinted>2013-06-13T06:36:13Z</cp:lastPrinted>
  <dcterms:created xsi:type="dcterms:W3CDTF">2013-05-21T01:30:27Z</dcterms:created>
  <dcterms:modified xsi:type="dcterms:W3CDTF">2013-12-11T08:11:05Z</dcterms:modified>
</cp:coreProperties>
</file>