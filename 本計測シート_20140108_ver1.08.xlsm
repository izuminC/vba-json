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45" windowWidth="14940" windowHeight="7425" tabRatio="861"/>
  </bookViews>
  <sheets>
    <sheet name="入力" sheetId="114" r:id="rId1"/>
    <sheet name="設定" sheetId="121" state="veryHidden" r:id="rId2"/>
    <sheet name="全データ" sheetId="122" state="veryHidden" r:id="rId3"/>
  </sheets>
  <functionGroups builtInGroupCount="17"/>
  <externalReferences>
    <externalReference r:id="rId4"/>
    <externalReference r:id="rId5"/>
  </externalReferences>
  <definedNames>
    <definedName name="_xlnm._FilterDatabase" localSheetId="0" hidden="1">入力!$L$10:$R$302</definedName>
    <definedName name="Num_Data" localSheetId="2">[1]カテゴリ!$J$4:$J$88</definedName>
    <definedName name="Num_Data">[2]カテゴリ!$J$4:$J$88</definedName>
    <definedName name="Per_Data" localSheetId="2">[1]カテゴリ!$I$4:$I$88</definedName>
    <definedName name="Per_Data">[2]カテゴリ!$I$4:$I$88</definedName>
    <definedName name="_xlnm.Print_Area" localSheetId="0">入力!$B:$N</definedName>
    <definedName name="_xlnm.Print_Titles" localSheetId="0">入力!$10:$10</definedName>
  </definedNames>
  <calcPr calcId="145621"/>
</workbook>
</file>

<file path=xl/calcChain.xml><?xml version="1.0" encoding="utf-8"?>
<calcChain xmlns="http://schemas.openxmlformats.org/spreadsheetml/2006/main">
  <c r="M244" i="114" l="1"/>
  <c r="M243" i="114" s="1"/>
  <c r="M242" i="114" s="1"/>
  <c r="M241" i="114"/>
  <c r="M240" i="114"/>
  <c r="M239" i="114" s="1"/>
  <c r="M238" i="114" s="1"/>
  <c r="M237" i="114"/>
  <c r="M236" i="114"/>
  <c r="M235" i="114"/>
  <c r="M234" i="114"/>
  <c r="M233" i="114"/>
  <c r="M232" i="114"/>
  <c r="M231" i="114"/>
  <c r="M230" i="114"/>
  <c r="M229" i="114"/>
  <c r="M228" i="114"/>
  <c r="M227" i="114" s="1"/>
  <c r="M226" i="114" s="1"/>
  <c r="M225" i="114"/>
  <c r="M224" i="114"/>
  <c r="M223" i="114"/>
  <c r="M222" i="114"/>
  <c r="M221" i="114"/>
  <c r="Q220" i="114"/>
  <c r="N220" i="114"/>
  <c r="M220" i="114"/>
  <c r="Q219" i="114"/>
  <c r="N219" i="114"/>
  <c r="N216" i="114" s="1"/>
  <c r="M219" i="114"/>
  <c r="M218" i="114"/>
  <c r="M217" i="114"/>
  <c r="Q215" i="114"/>
  <c r="N215" i="114"/>
  <c r="N214" i="114" s="1"/>
  <c r="M215" i="114"/>
  <c r="M214" i="114" s="1"/>
  <c r="Q213" i="114"/>
  <c r="N213" i="114"/>
  <c r="N212" i="114" s="1"/>
  <c r="M213" i="114"/>
  <c r="M212" i="114" s="1"/>
  <c r="Q211" i="114"/>
  <c r="N211" i="114"/>
  <c r="M211" i="114"/>
  <c r="M210" i="114"/>
  <c r="M209" i="114"/>
  <c r="M208" i="114"/>
  <c r="M207" i="114"/>
  <c r="M206" i="114"/>
  <c r="Q205" i="114"/>
  <c r="N205" i="114"/>
  <c r="M205" i="114"/>
  <c r="M204" i="114"/>
  <c r="Q203" i="114"/>
  <c r="N203" i="114"/>
  <c r="M203" i="114"/>
  <c r="Q202" i="114"/>
  <c r="N202" i="114"/>
  <c r="M202" i="114"/>
  <c r="M201" i="114"/>
  <c r="Q200" i="114"/>
  <c r="N200" i="114"/>
  <c r="M200" i="114"/>
  <c r="M199" i="114"/>
  <c r="Q198" i="114"/>
  <c r="N198" i="114"/>
  <c r="M198" i="114"/>
  <c r="M197" i="114"/>
  <c r="Q196" i="114"/>
  <c r="N196" i="114"/>
  <c r="M196" i="114"/>
  <c r="M195" i="114"/>
  <c r="Q194" i="114"/>
  <c r="N194" i="114"/>
  <c r="M194" i="114"/>
  <c r="Q193" i="114"/>
  <c r="N193" i="114"/>
  <c r="M193" i="114"/>
  <c r="O193" i="114" s="1"/>
  <c r="M192" i="114"/>
  <c r="M191" i="114"/>
  <c r="M190" i="114"/>
  <c r="M189" i="114"/>
  <c r="M188" i="114" s="1"/>
  <c r="Q187" i="114"/>
  <c r="N187" i="114"/>
  <c r="M187" i="114"/>
  <c r="Q186" i="114"/>
  <c r="N186" i="114"/>
  <c r="M186" i="114"/>
  <c r="O186" i="114" s="1"/>
  <c r="Q185" i="114"/>
  <c r="N185" i="114"/>
  <c r="M185" i="114"/>
  <c r="Q184" i="114"/>
  <c r="N184" i="114"/>
  <c r="M184" i="114"/>
  <c r="M183" i="114" s="1"/>
  <c r="M182" i="114"/>
  <c r="M181" i="114"/>
  <c r="Q180" i="114"/>
  <c r="N180" i="114"/>
  <c r="M180" i="114"/>
  <c r="Q179" i="114"/>
  <c r="N179" i="114"/>
  <c r="M179" i="114"/>
  <c r="Q178" i="114"/>
  <c r="N178" i="114"/>
  <c r="M178" i="114"/>
  <c r="Q177" i="114"/>
  <c r="N177" i="114"/>
  <c r="M177" i="114"/>
  <c r="Q176" i="114"/>
  <c r="N176" i="114"/>
  <c r="M176" i="114"/>
  <c r="Q175" i="114"/>
  <c r="N175" i="114"/>
  <c r="M175" i="114"/>
  <c r="Q174" i="114"/>
  <c r="N174" i="114"/>
  <c r="M174" i="114"/>
  <c r="Q173" i="114"/>
  <c r="N173" i="114"/>
  <c r="M173" i="114"/>
  <c r="Q172" i="114"/>
  <c r="N172" i="114"/>
  <c r="M172" i="114"/>
  <c r="Q171" i="114"/>
  <c r="N171" i="114"/>
  <c r="M171" i="114"/>
  <c r="Q170" i="114"/>
  <c r="N170" i="114"/>
  <c r="M170" i="114"/>
  <c r="Q169" i="114"/>
  <c r="N169" i="114"/>
  <c r="M169" i="114"/>
  <c r="Q168" i="114"/>
  <c r="N168" i="114"/>
  <c r="M168" i="114"/>
  <c r="Q167" i="114"/>
  <c r="N167" i="114"/>
  <c r="M167" i="114"/>
  <c r="Q166" i="114"/>
  <c r="N166" i="114"/>
  <c r="M166" i="114"/>
  <c r="Q165" i="114"/>
  <c r="N165" i="114"/>
  <c r="M165" i="114"/>
  <c r="Q164" i="114"/>
  <c r="N164" i="114"/>
  <c r="M164" i="114"/>
  <c r="Q163" i="114"/>
  <c r="N163" i="114"/>
  <c r="M163" i="114"/>
  <c r="Q162" i="114"/>
  <c r="N162" i="114"/>
  <c r="M162" i="114"/>
  <c r="Q161" i="114"/>
  <c r="N161" i="114"/>
  <c r="M161" i="114"/>
  <c r="Q160" i="114"/>
  <c r="N160" i="114"/>
  <c r="N159" i="114" s="1"/>
  <c r="M160" i="114"/>
  <c r="M158" i="114"/>
  <c r="M157" i="114"/>
  <c r="M156" i="114"/>
  <c r="Q155" i="114"/>
  <c r="N155" i="114"/>
  <c r="M155" i="114"/>
  <c r="Q154" i="114"/>
  <c r="N154" i="114"/>
  <c r="M154" i="114"/>
  <c r="O154" i="114" s="1"/>
  <c r="Q153" i="114"/>
  <c r="N153" i="114"/>
  <c r="M153" i="114"/>
  <c r="Q152" i="114"/>
  <c r="N152" i="114"/>
  <c r="M152" i="114"/>
  <c r="O152" i="114" s="1"/>
  <c r="Q151" i="114"/>
  <c r="N151" i="114"/>
  <c r="M151" i="114"/>
  <c r="Q150" i="114"/>
  <c r="N150" i="114"/>
  <c r="M150" i="114"/>
  <c r="O150" i="114" s="1"/>
  <c r="Q149" i="114"/>
  <c r="N149" i="114"/>
  <c r="M149" i="114"/>
  <c r="Q148" i="114"/>
  <c r="N148" i="114"/>
  <c r="M148" i="114"/>
  <c r="O148" i="114" s="1"/>
  <c r="Q147" i="114"/>
  <c r="N147" i="114"/>
  <c r="M147" i="114"/>
  <c r="Q146" i="114"/>
  <c r="N146" i="114"/>
  <c r="M146" i="114"/>
  <c r="O146" i="114" s="1"/>
  <c r="Q145" i="114"/>
  <c r="N145" i="114"/>
  <c r="M145" i="114"/>
  <c r="Q144" i="114"/>
  <c r="N144" i="114"/>
  <c r="M144" i="114"/>
  <c r="O144" i="114" s="1"/>
  <c r="Q143" i="114"/>
  <c r="N143" i="114"/>
  <c r="M143" i="114"/>
  <c r="Q142" i="114"/>
  <c r="N142" i="114"/>
  <c r="M142" i="114"/>
  <c r="O142" i="114" s="1"/>
  <c r="Q141" i="114"/>
  <c r="N141" i="114"/>
  <c r="M141" i="114"/>
  <c r="Q140" i="114"/>
  <c r="N140" i="114"/>
  <c r="M140" i="114"/>
  <c r="O140" i="114" s="1"/>
  <c r="Q139" i="114"/>
  <c r="N139" i="114"/>
  <c r="M139" i="114"/>
  <c r="Q138" i="114"/>
  <c r="N138" i="114"/>
  <c r="M138" i="114"/>
  <c r="O138" i="114" s="1"/>
  <c r="Q137" i="114"/>
  <c r="N137" i="114"/>
  <c r="M137" i="114"/>
  <c r="Q136" i="114"/>
  <c r="N136" i="114"/>
  <c r="M136" i="114"/>
  <c r="O136" i="114" s="1"/>
  <c r="Q135" i="114"/>
  <c r="N135" i="114"/>
  <c r="N134" i="114" s="1"/>
  <c r="M135" i="114"/>
  <c r="N130" i="114"/>
  <c r="M133" i="114"/>
  <c r="M132" i="114"/>
  <c r="M130" i="114" s="1"/>
  <c r="M131" i="114"/>
  <c r="M129" i="114"/>
  <c r="Q127" i="114"/>
  <c r="N127" i="114"/>
  <c r="M127" i="114"/>
  <c r="Q126" i="114"/>
  <c r="N126" i="114"/>
  <c r="M126" i="114"/>
  <c r="Q125" i="114"/>
  <c r="N125" i="114"/>
  <c r="M125" i="114"/>
  <c r="M123" i="114"/>
  <c r="M122" i="114"/>
  <c r="M120" i="114"/>
  <c r="Q119" i="114"/>
  <c r="N119" i="114"/>
  <c r="M119" i="114"/>
  <c r="Q118" i="114"/>
  <c r="N118" i="114"/>
  <c r="M118" i="114"/>
  <c r="Q117" i="114"/>
  <c r="N117" i="114"/>
  <c r="M117" i="114"/>
  <c r="Q116" i="114"/>
  <c r="N116" i="114"/>
  <c r="M116" i="114"/>
  <c r="Q115" i="114"/>
  <c r="N115" i="114"/>
  <c r="M115" i="114"/>
  <c r="Q114" i="114"/>
  <c r="N114" i="114"/>
  <c r="M114" i="114"/>
  <c r="Q113" i="114"/>
  <c r="N113" i="114"/>
  <c r="M113" i="114"/>
  <c r="Q112" i="114"/>
  <c r="N112" i="114"/>
  <c r="M112" i="114"/>
  <c r="Q111" i="114"/>
  <c r="N111" i="114"/>
  <c r="M111" i="114"/>
  <c r="Q110" i="114"/>
  <c r="N110" i="114"/>
  <c r="M110" i="114"/>
  <c r="Q109" i="114"/>
  <c r="N109" i="114"/>
  <c r="M109" i="114"/>
  <c r="Q108" i="114"/>
  <c r="N108" i="114"/>
  <c r="M108" i="114"/>
  <c r="Q107" i="114"/>
  <c r="N107" i="114"/>
  <c r="M107" i="114"/>
  <c r="Q106" i="114"/>
  <c r="N106" i="114"/>
  <c r="M106" i="114"/>
  <c r="Q105" i="114"/>
  <c r="N105" i="114"/>
  <c r="M105" i="114"/>
  <c r="Q103" i="114"/>
  <c r="N103" i="114"/>
  <c r="M103" i="114"/>
  <c r="Q102" i="114"/>
  <c r="N102" i="114"/>
  <c r="M102" i="114"/>
  <c r="Q101" i="114"/>
  <c r="N101" i="114"/>
  <c r="M101" i="114"/>
  <c r="Q100" i="114"/>
  <c r="N100" i="114"/>
  <c r="M100" i="114"/>
  <c r="Q96" i="114"/>
  <c r="N96" i="114"/>
  <c r="M96" i="114"/>
  <c r="Q95" i="114"/>
  <c r="N95" i="114"/>
  <c r="M95" i="114"/>
  <c r="Q94" i="114"/>
  <c r="N94" i="114"/>
  <c r="M94" i="114"/>
  <c r="Q93" i="114"/>
  <c r="N93" i="114"/>
  <c r="M93" i="114"/>
  <c r="M92" i="114"/>
  <c r="Q91" i="114"/>
  <c r="N91" i="114"/>
  <c r="M91" i="114"/>
  <c r="Q90" i="114"/>
  <c r="N90" i="114"/>
  <c r="M90" i="114"/>
  <c r="Q89" i="114"/>
  <c r="N89" i="114"/>
  <c r="M89" i="114"/>
  <c r="M88" i="114"/>
  <c r="Q87" i="114"/>
  <c r="N87" i="114"/>
  <c r="M87" i="114"/>
  <c r="Q85" i="114"/>
  <c r="N85" i="114"/>
  <c r="M85" i="114"/>
  <c r="Q84" i="114"/>
  <c r="N84" i="114"/>
  <c r="M84" i="114"/>
  <c r="Q81" i="114"/>
  <c r="N81" i="114"/>
  <c r="M81" i="114"/>
  <c r="O81" i="114" s="1"/>
  <c r="Q80" i="114"/>
  <c r="N80" i="114"/>
  <c r="N79" i="114" s="1"/>
  <c r="M80" i="114"/>
  <c r="M78" i="114"/>
  <c r="M77" i="114"/>
  <c r="Q76" i="114"/>
  <c r="N76" i="114"/>
  <c r="Q75" i="114"/>
  <c r="N75" i="114"/>
  <c r="M75" i="114"/>
  <c r="Q74" i="114"/>
  <c r="N74" i="114"/>
  <c r="Q73" i="114"/>
  <c r="N73" i="114"/>
  <c r="M73" i="114"/>
  <c r="Q72" i="114"/>
  <c r="N72" i="114"/>
  <c r="M72" i="114"/>
  <c r="Q71" i="114"/>
  <c r="N71" i="114"/>
  <c r="M71" i="114"/>
  <c r="Q70" i="114"/>
  <c r="N70" i="114"/>
  <c r="M70" i="114"/>
  <c r="Q69" i="114"/>
  <c r="N69" i="114"/>
  <c r="M69" i="114"/>
  <c r="M68" i="114"/>
  <c r="Q67" i="114"/>
  <c r="N67" i="114"/>
  <c r="M67" i="114"/>
  <c r="Q66" i="114"/>
  <c r="N66" i="114"/>
  <c r="M66" i="114"/>
  <c r="Q65" i="114"/>
  <c r="N65" i="114"/>
  <c r="M65" i="114"/>
  <c r="Q64" i="114"/>
  <c r="N64" i="114"/>
  <c r="M64" i="114"/>
  <c r="Q63" i="114"/>
  <c r="N63" i="114"/>
  <c r="M63" i="114"/>
  <c r="Q62" i="114"/>
  <c r="N62" i="114"/>
  <c r="M62" i="114"/>
  <c r="M60" i="114"/>
  <c r="Q59" i="114"/>
  <c r="N59" i="114"/>
  <c r="M59" i="114"/>
  <c r="Q58" i="114"/>
  <c r="N58" i="114"/>
  <c r="M58" i="114"/>
  <c r="Q57" i="114"/>
  <c r="N57" i="114"/>
  <c r="M57" i="114"/>
  <c r="Q56" i="114"/>
  <c r="N56" i="114"/>
  <c r="M56" i="114"/>
  <c r="Q55" i="114"/>
  <c r="N55" i="114"/>
  <c r="M55" i="114"/>
  <c r="M53" i="114"/>
  <c r="M52" i="114"/>
  <c r="Q51" i="114"/>
  <c r="N51" i="114"/>
  <c r="M51" i="114"/>
  <c r="Q50" i="114"/>
  <c r="N50" i="114"/>
  <c r="M50" i="114"/>
  <c r="Q49" i="114"/>
  <c r="N49" i="114"/>
  <c r="M49" i="114"/>
  <c r="Q48" i="114"/>
  <c r="N48" i="114"/>
  <c r="M48" i="114"/>
  <c r="Q47" i="114"/>
  <c r="N47" i="114"/>
  <c r="M47" i="114"/>
  <c r="Q46" i="114"/>
  <c r="N46" i="114"/>
  <c r="M46" i="114"/>
  <c r="Q45" i="114"/>
  <c r="N45" i="114"/>
  <c r="M45" i="114"/>
  <c r="Q44" i="114"/>
  <c r="N44" i="114"/>
  <c r="M44" i="114"/>
  <c r="Q43" i="114"/>
  <c r="N43" i="114"/>
  <c r="M43" i="114"/>
  <c r="Q42" i="114"/>
  <c r="N42" i="114"/>
  <c r="M42" i="114"/>
  <c r="Q41" i="114"/>
  <c r="N41" i="114"/>
  <c r="M41" i="114"/>
  <c r="Q40" i="114"/>
  <c r="N40" i="114"/>
  <c r="M40" i="114"/>
  <c r="M39" i="114"/>
  <c r="Q38" i="114"/>
  <c r="N38" i="114"/>
  <c r="M38" i="114"/>
  <c r="M36" i="114"/>
  <c r="M35" i="114"/>
  <c r="Q34" i="114"/>
  <c r="N34" i="114"/>
  <c r="M34" i="114"/>
  <c r="Q33" i="114"/>
  <c r="N33" i="114"/>
  <c r="M33" i="114"/>
  <c r="Q32" i="114"/>
  <c r="N32" i="114"/>
  <c r="M32" i="114"/>
  <c r="Q31" i="114"/>
  <c r="N31" i="114"/>
  <c r="M31" i="114"/>
  <c r="Q30" i="114"/>
  <c r="N30" i="114"/>
  <c r="M30" i="114"/>
  <c r="Q29" i="114"/>
  <c r="N29" i="114"/>
  <c r="M29" i="114"/>
  <c r="Q28" i="114"/>
  <c r="N28" i="114"/>
  <c r="M28" i="114"/>
  <c r="M26" i="114"/>
  <c r="M25" i="114"/>
  <c r="Q24" i="114"/>
  <c r="N24" i="114"/>
  <c r="M24" i="114"/>
  <c r="Q23" i="114"/>
  <c r="N23" i="114"/>
  <c r="M23" i="114"/>
  <c r="Q22" i="114"/>
  <c r="N22" i="114"/>
  <c r="M22" i="114"/>
  <c r="Q21" i="114"/>
  <c r="N21" i="114"/>
  <c r="M21" i="114"/>
  <c r="Q20" i="114"/>
  <c r="N20" i="114"/>
  <c r="M20" i="114"/>
  <c r="M19" i="114"/>
  <c r="M16" i="114"/>
  <c r="M15" i="114"/>
  <c r="Q14" i="114"/>
  <c r="N14" i="114"/>
  <c r="M14" i="114"/>
  <c r="Q13" i="114"/>
  <c r="N13" i="114"/>
  <c r="M13" i="114"/>
  <c r="M83" i="114" l="1"/>
  <c r="M86" i="114"/>
  <c r="O89" i="114"/>
  <c r="O91" i="114"/>
  <c r="O93" i="114"/>
  <c r="O95" i="114"/>
  <c r="O100" i="114"/>
  <c r="O102" i="114"/>
  <c r="O105" i="114"/>
  <c r="O107" i="114"/>
  <c r="O109" i="114"/>
  <c r="O111" i="114"/>
  <c r="O113" i="114"/>
  <c r="O115" i="114"/>
  <c r="O117" i="114"/>
  <c r="O119" i="114"/>
  <c r="O127" i="114"/>
  <c r="N12" i="114"/>
  <c r="O14" i="114"/>
  <c r="O20" i="114"/>
  <c r="O22" i="114"/>
  <c r="O24" i="114"/>
  <c r="N27" i="114"/>
  <c r="O29" i="114"/>
  <c r="O31" i="114"/>
  <c r="O33" i="114"/>
  <c r="O40" i="114"/>
  <c r="O42" i="114"/>
  <c r="O44" i="114"/>
  <c r="O46" i="114"/>
  <c r="O48" i="114"/>
  <c r="O50" i="114"/>
  <c r="O57" i="114"/>
  <c r="O59" i="114"/>
  <c r="O62" i="114"/>
  <c r="O64" i="114"/>
  <c r="O66" i="114"/>
  <c r="O70" i="114"/>
  <c r="O72" i="114"/>
  <c r="M54" i="114"/>
  <c r="N183" i="114"/>
  <c r="O200" i="114"/>
  <c r="O202" i="114"/>
  <c r="O219" i="114"/>
  <c r="O13" i="114"/>
  <c r="N17" i="114"/>
  <c r="O21" i="114"/>
  <c r="O23" i="114"/>
  <c r="O30" i="114"/>
  <c r="O32" i="114"/>
  <c r="O34" i="114"/>
  <c r="N37" i="114"/>
  <c r="O41" i="114"/>
  <c r="O45" i="114"/>
  <c r="O47" i="114"/>
  <c r="O49" i="114"/>
  <c r="O51" i="114"/>
  <c r="N54" i="114"/>
  <c r="O56" i="114"/>
  <c r="O58" i="114"/>
  <c r="N61" i="114"/>
  <c r="O63" i="114"/>
  <c r="O65" i="114"/>
  <c r="O67" i="114"/>
  <c r="O69" i="114"/>
  <c r="O71" i="114"/>
  <c r="O73" i="114"/>
  <c r="O75" i="114"/>
  <c r="N83" i="114"/>
  <c r="O85" i="114"/>
  <c r="N86" i="114"/>
  <c r="O90" i="114"/>
  <c r="O94" i="114"/>
  <c r="O96" i="114"/>
  <c r="N97" i="114"/>
  <c r="O101" i="114"/>
  <c r="O103" i="114"/>
  <c r="O106" i="114"/>
  <c r="O108" i="114"/>
  <c r="O110" i="114"/>
  <c r="O112" i="114"/>
  <c r="O114" i="114"/>
  <c r="O116" i="114"/>
  <c r="O118" i="114"/>
  <c r="N124" i="114"/>
  <c r="O126" i="114"/>
  <c r="O135" i="114"/>
  <c r="O137" i="114"/>
  <c r="O139" i="114"/>
  <c r="O141" i="114"/>
  <c r="O143" i="114"/>
  <c r="O145" i="114"/>
  <c r="O147" i="114"/>
  <c r="O149" i="114"/>
  <c r="O151" i="114"/>
  <c r="O153" i="114"/>
  <c r="O155" i="114"/>
  <c r="O162" i="114"/>
  <c r="O164" i="114"/>
  <c r="O166" i="114"/>
  <c r="O168" i="114"/>
  <c r="O170" i="114"/>
  <c r="O172" i="114"/>
  <c r="O174" i="114"/>
  <c r="O176" i="114"/>
  <c r="O178" i="114"/>
  <c r="O180" i="114"/>
  <c r="O185" i="114"/>
  <c r="O187" i="114"/>
  <c r="N188" i="114"/>
  <c r="O194" i="114"/>
  <c r="O196" i="114"/>
  <c r="O198" i="114"/>
  <c r="O161" i="114"/>
  <c r="O163" i="114"/>
  <c r="O165" i="114"/>
  <c r="O167" i="114"/>
  <c r="O169" i="114"/>
  <c r="O171" i="114"/>
  <c r="O173" i="114"/>
  <c r="O175" i="114"/>
  <c r="O177" i="114"/>
  <c r="O179" i="114"/>
  <c r="O203" i="114"/>
  <c r="O205" i="114"/>
  <c r="O211" i="114"/>
  <c r="O220" i="114"/>
  <c r="M17" i="114"/>
  <c r="M27" i="114"/>
  <c r="M159" i="114"/>
  <c r="M216" i="114"/>
  <c r="N11" i="114"/>
  <c r="M12" i="114"/>
  <c r="M18" i="114"/>
  <c r="O28" i="114"/>
  <c r="M37" i="114"/>
  <c r="O38" i="114"/>
  <c r="O43" i="114"/>
  <c r="N18" i="114"/>
  <c r="O55" i="114"/>
  <c r="O80" i="114"/>
  <c r="M97" i="114"/>
  <c r="O125" i="114"/>
  <c r="M134" i="114"/>
  <c r="O160" i="114"/>
  <c r="O184" i="114"/>
  <c r="O213" i="114"/>
  <c r="O215" i="114"/>
  <c r="O84" i="114"/>
  <c r="O87" i="114"/>
  <c r="E11" i="114"/>
  <c r="M82" i="114" s="1"/>
  <c r="M79" i="114" s="1"/>
  <c r="C88" i="114" l="1"/>
  <c r="E88" i="114" s="1"/>
  <c r="C89" i="114"/>
  <c r="C90" i="114"/>
  <c r="E90" i="114" s="1"/>
  <c r="C91" i="114"/>
  <c r="E91" i="114" s="1"/>
  <c r="C92" i="114"/>
  <c r="E92" i="114" s="1"/>
  <c r="C93" i="114"/>
  <c r="E93" i="114" s="1"/>
  <c r="C94" i="114"/>
  <c r="E94" i="114" s="1"/>
  <c r="C95" i="114"/>
  <c r="E95" i="114" s="1"/>
  <c r="C96" i="114"/>
  <c r="E96" i="114" s="1"/>
  <c r="C97" i="114"/>
  <c r="E97" i="114" s="1"/>
  <c r="C98" i="114"/>
  <c r="E98" i="114" s="1"/>
  <c r="C99" i="114"/>
  <c r="E99" i="114" s="1"/>
  <c r="C100" i="114"/>
  <c r="E100" i="114" s="1"/>
  <c r="C101" i="114"/>
  <c r="E101" i="114" s="1"/>
  <c r="C102" i="114"/>
  <c r="E102" i="114" s="1"/>
  <c r="C103" i="114"/>
  <c r="E103" i="114" s="1"/>
  <c r="C104" i="114"/>
  <c r="E104" i="114" s="1"/>
  <c r="C105" i="114"/>
  <c r="E105" i="114" s="1"/>
  <c r="C106" i="114"/>
  <c r="E106" i="114" s="1"/>
  <c r="C107" i="114"/>
  <c r="E107" i="114" s="1"/>
  <c r="C108" i="114"/>
  <c r="E108" i="114" s="1"/>
  <c r="C109" i="114"/>
  <c r="E109" i="114" s="1"/>
  <c r="C110" i="114"/>
  <c r="E110" i="114" s="1"/>
  <c r="C111" i="114"/>
  <c r="E111" i="114" s="1"/>
  <c r="C112" i="114"/>
  <c r="E112" i="114" s="1"/>
  <c r="C113" i="114"/>
  <c r="E113" i="114" s="1"/>
  <c r="C114" i="114"/>
  <c r="E114" i="114" s="1"/>
  <c r="C115" i="114"/>
  <c r="E115" i="114" s="1"/>
  <c r="C116" i="114"/>
  <c r="E116" i="114" s="1"/>
  <c r="C117" i="114"/>
  <c r="E117" i="114" s="1"/>
  <c r="C118" i="114"/>
  <c r="E118" i="114" s="1"/>
  <c r="C119" i="114"/>
  <c r="E119" i="114" s="1"/>
  <c r="C120" i="114"/>
  <c r="E120" i="114" s="1"/>
  <c r="E89" i="114"/>
  <c r="C12" i="114" l="1"/>
  <c r="E12" i="114" s="1"/>
  <c r="M76" i="114" s="1"/>
  <c r="O76" i="114" l="1"/>
  <c r="C13" i="114"/>
  <c r="E13" i="114" s="1"/>
  <c r="M128" i="114" s="1"/>
  <c r="M124" i="114" s="1"/>
  <c r="C14" i="114"/>
  <c r="E14" i="114" s="1"/>
  <c r="M74" i="114" s="1"/>
  <c r="O74" i="114" s="1"/>
  <c r="C15" i="114"/>
  <c r="E15" i="114" s="1"/>
  <c r="C16" i="114"/>
  <c r="E16" i="114" s="1"/>
  <c r="C17" i="114"/>
  <c r="E17" i="114" s="1"/>
  <c r="C18" i="114"/>
  <c r="E18" i="114" s="1"/>
  <c r="C19" i="114"/>
  <c r="E19" i="114" s="1"/>
  <c r="C20" i="114"/>
  <c r="E20" i="114" s="1"/>
  <c r="C21" i="114"/>
  <c r="E21" i="114" s="1"/>
  <c r="C22" i="114"/>
  <c r="E22" i="114" s="1"/>
  <c r="C23" i="114"/>
  <c r="E23" i="114" s="1"/>
  <c r="C24" i="114"/>
  <c r="E24" i="114" s="1"/>
  <c r="C25" i="114"/>
  <c r="E25" i="114" s="1"/>
  <c r="C26" i="114"/>
  <c r="E26" i="114" s="1"/>
  <c r="C27" i="114"/>
  <c r="E27" i="114" s="1"/>
  <c r="C28" i="114"/>
  <c r="E28" i="114" s="1"/>
  <c r="C29" i="114"/>
  <c r="E29" i="114" s="1"/>
  <c r="C30" i="114"/>
  <c r="E30" i="114" s="1"/>
  <c r="C31" i="114"/>
  <c r="E31" i="114" s="1"/>
  <c r="C32" i="114"/>
  <c r="E32" i="114" s="1"/>
  <c r="C33" i="114"/>
  <c r="E33" i="114" s="1"/>
  <c r="C34" i="114"/>
  <c r="E34" i="114" s="1"/>
  <c r="C35" i="114"/>
  <c r="E35" i="114" s="1"/>
  <c r="C36" i="114"/>
  <c r="E36" i="114" s="1"/>
  <c r="C37" i="114"/>
  <c r="E37" i="114" s="1"/>
  <c r="C38" i="114"/>
  <c r="E38" i="114" s="1"/>
  <c r="C39" i="114"/>
  <c r="E39" i="114" s="1"/>
  <c r="C40" i="114"/>
  <c r="E40" i="114" s="1"/>
  <c r="C41" i="114"/>
  <c r="E41" i="114" s="1"/>
  <c r="C42" i="114"/>
  <c r="E42" i="114" s="1"/>
  <c r="C43" i="114"/>
  <c r="E43" i="114" s="1"/>
  <c r="C44" i="114"/>
  <c r="E44" i="114" s="1"/>
  <c r="C45" i="114"/>
  <c r="E45" i="114" s="1"/>
  <c r="C46" i="114"/>
  <c r="E46" i="114" s="1"/>
  <c r="C47" i="114"/>
  <c r="E47" i="114" s="1"/>
  <c r="C48" i="114"/>
  <c r="E48" i="114" s="1"/>
  <c r="C49" i="114"/>
  <c r="E49" i="114" s="1"/>
  <c r="C50" i="114"/>
  <c r="E50" i="114" s="1"/>
  <c r="C51" i="114"/>
  <c r="E51" i="114" s="1"/>
  <c r="C52" i="114"/>
  <c r="E52" i="114" s="1"/>
  <c r="C53" i="114"/>
  <c r="E53" i="114" s="1"/>
  <c r="C54" i="114"/>
  <c r="E54" i="114" s="1"/>
  <c r="C55" i="114"/>
  <c r="E55" i="114" s="1"/>
  <c r="C56" i="114"/>
  <c r="E56" i="114" s="1"/>
  <c r="C57" i="114"/>
  <c r="E57" i="114" s="1"/>
  <c r="C58" i="114"/>
  <c r="E58" i="114" s="1"/>
  <c r="C59" i="114"/>
  <c r="E59" i="114" s="1"/>
  <c r="C60" i="114"/>
  <c r="E60" i="114" s="1"/>
  <c r="C61" i="114"/>
  <c r="E61" i="114" s="1"/>
  <c r="C62" i="114"/>
  <c r="E62" i="114" s="1"/>
  <c r="C63" i="114"/>
  <c r="E63" i="114" s="1"/>
  <c r="C64" i="114"/>
  <c r="E64" i="114" s="1"/>
  <c r="C65" i="114"/>
  <c r="E65" i="114" s="1"/>
  <c r="C66" i="114"/>
  <c r="E66" i="114" s="1"/>
  <c r="C67" i="114"/>
  <c r="E67" i="114" s="1"/>
  <c r="C68" i="114"/>
  <c r="E68" i="114" s="1"/>
  <c r="C69" i="114"/>
  <c r="E69" i="114" s="1"/>
  <c r="C70" i="114"/>
  <c r="E70" i="114" s="1"/>
  <c r="C71" i="114"/>
  <c r="E71" i="114" s="1"/>
  <c r="C72" i="114"/>
  <c r="E72" i="114" s="1"/>
  <c r="C73" i="114"/>
  <c r="E73" i="114" s="1"/>
  <c r="C74" i="114"/>
  <c r="E74" i="114" s="1"/>
  <c r="C75" i="114"/>
  <c r="C76" i="114"/>
  <c r="C77" i="114"/>
  <c r="C78" i="114"/>
  <c r="C79" i="114"/>
  <c r="C80" i="114"/>
  <c r="C81" i="114"/>
  <c r="C82" i="114"/>
  <c r="C83" i="114"/>
  <c r="C84" i="114"/>
  <c r="C85" i="114"/>
  <c r="C86" i="114"/>
  <c r="C87" i="114"/>
  <c r="M61" i="114" l="1"/>
  <c r="M11" i="114" s="1"/>
  <c r="M6" i="114" s="1"/>
  <c r="E75" i="114"/>
  <c r="E76" i="114"/>
  <c r="E77" i="114"/>
  <c r="E79" i="114"/>
  <c r="E80" i="114"/>
  <c r="E81" i="114"/>
  <c r="E82" i="114"/>
  <c r="E83" i="114"/>
  <c r="E84" i="114"/>
  <c r="E85" i="114"/>
  <c r="E87" i="114"/>
  <c r="E78" i="114"/>
  <c r="M5" i="114" l="1"/>
  <c r="F5" i="114"/>
  <c r="E86" i="114"/>
  <c r="F6" i="114" l="1"/>
</calcChain>
</file>

<file path=xl/comments1.xml><?xml version="1.0" encoding="utf-8"?>
<comments xmlns="http://schemas.openxmlformats.org/spreadsheetml/2006/main">
  <authors>
    <author>オリックス・グループ</author>
  </authors>
  <commentList>
    <comment ref="C3" authorId="0">
      <text>
        <r>
          <rPr>
            <sz val="12"/>
            <color indexed="81"/>
            <rFont val="ＭＳ Ｐゴシック"/>
            <family val="3"/>
            <charset val="128"/>
          </rPr>
          <t>ダブルクリックまたは[F1]キー押下で本日の日付が入力されます。
※[当日日付」押下でも入力可能です。</t>
        </r>
      </text>
    </commen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勤務時間が
・16時まで
　→6：00を入力
・17時まで
　→7：00を入力
・18時まで
　→8：00を入力</t>
        </r>
      </text>
    </comment>
    <comment ref="D10" authorId="0">
      <text>
        <r>
          <rPr>
            <sz val="12"/>
            <color indexed="81"/>
            <rFont val="ＭＳ Ｐゴシック"/>
            <family val="3"/>
            <charset val="128"/>
          </rPr>
          <t>セルをダブルクリックするか[F1]で現在時刻を入力できます。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10" authorId="0">
      <text>
        <r>
          <rPr>
            <sz val="12"/>
            <color indexed="81"/>
            <rFont val="ＭＳ Ｐゴシック"/>
            <family val="3"/>
            <charset val="128"/>
          </rPr>
          <t>小分類項目の入力値により、自動で入力されます。修正しないでください。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10" authorId="0">
      <text>
        <r>
          <rPr>
            <sz val="12"/>
            <color indexed="81"/>
            <rFont val="ＭＳ Ｐゴシック"/>
            <family val="3"/>
            <charset val="128"/>
          </rPr>
          <t>[F3]またはダブルクリックで小分類メニューを表示できます。
項目選択時にEnterキーで決定。前メニューにはESCキーでもどります。
※[小分類入力]押下でも入力可能です。</t>
        </r>
      </text>
    </comment>
  </commentList>
</comments>
</file>

<file path=xl/sharedStrings.xml><?xml version="1.0" encoding="utf-8"?>
<sst xmlns="http://schemas.openxmlformats.org/spreadsheetml/2006/main" count="705" uniqueCount="619">
  <si>
    <t>所要時間</t>
    <rPh sb="0" eb="2">
      <t>ショヨウ</t>
    </rPh>
    <rPh sb="2" eb="4">
      <t>ジカン</t>
    </rPh>
    <phoneticPr fontId="3"/>
  </si>
  <si>
    <t>小分類</t>
    <rPh sb="0" eb="3">
      <t>ショウブンルイ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</si>
  <si>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</si>
  <si>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</si>
  <si>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PJ計測時間（XYZW）</t>
    <rPh sb="2" eb="4">
      <t>ケイソク</t>
    </rPh>
    <rPh sb="4" eb="5">
      <t>ジ</t>
    </rPh>
    <rPh sb="5" eb="6">
      <t>カン</t>
    </rPh>
    <phoneticPr fontId="3"/>
  </si>
  <si>
    <r>
      <t>実労時間（件数表）</t>
    </r>
    <r>
      <rPr>
        <sz val="8"/>
        <rFont val="ＭＳ Ｐゴシック"/>
        <family val="3"/>
        <charset val="128"/>
      </rPr>
      <t>休憩・昼食を除く</t>
    </r>
    <rPh sb="0" eb="1">
      <t>ジツ</t>
    </rPh>
    <rPh sb="1" eb="2">
      <t>ロウ</t>
    </rPh>
    <rPh sb="2" eb="4">
      <t>ジカン</t>
    </rPh>
    <rPh sb="5" eb="7">
      <t>ケンスウ</t>
    </rPh>
    <rPh sb="7" eb="8">
      <t>ヒョウ</t>
    </rPh>
    <rPh sb="9" eb="11">
      <t>キュウケイ</t>
    </rPh>
    <rPh sb="12" eb="14">
      <t>チュウショク</t>
    </rPh>
    <rPh sb="15" eb="16">
      <t>ノゾ</t>
    </rPh>
    <phoneticPr fontId="3"/>
  </si>
  <si>
    <t>計測済↓</t>
    <rPh sb="0" eb="2">
      <t>ケイソク</t>
    </rPh>
    <rPh sb="2" eb="3">
      <t>ズミ</t>
    </rPh>
    <phoneticPr fontId="3"/>
  </si>
  <si>
    <t>ＸＷ/480分</t>
    <rPh sb="6" eb="7">
      <t>フン</t>
    </rPh>
    <phoneticPr fontId="3"/>
  </si>
  <si>
    <t>ＸＹ/処理件数</t>
    <rPh sb="3" eb="5">
      <t>ショリ</t>
    </rPh>
    <rPh sb="5" eb="7">
      <t>ケンスウ</t>
    </rPh>
    <phoneticPr fontId="3"/>
  </si>
  <si>
    <t>件数</t>
    <rPh sb="0" eb="2">
      <t>ケンスウ</t>
    </rPh>
    <phoneticPr fontId="3"/>
  </si>
  <si>
    <t>件数</t>
  </si>
  <si>
    <t>担当者名 :</t>
    <rPh sb="0" eb="2">
      <t>タントウ</t>
    </rPh>
    <rPh sb="2" eb="3">
      <t>シャ</t>
    </rPh>
    <rPh sb="3" eb="4">
      <t>メイ</t>
    </rPh>
    <phoneticPr fontId="3"/>
  </si>
  <si>
    <t>計測日 :</t>
    <rPh sb="0" eb="2">
      <t>ケイソク</t>
    </rPh>
    <rPh sb="2" eb="3">
      <t>ビ</t>
    </rPh>
    <phoneticPr fontId="3"/>
  </si>
  <si>
    <t>氏名</t>
  </si>
  <si>
    <t>備考</t>
    <rPh sb="0" eb="2">
      <t>ビコウ</t>
    </rPh>
    <phoneticPr fontId="3"/>
  </si>
  <si>
    <t>■【入力】シートの集計表生成</t>
    <rPh sb="2" eb="4">
      <t>ニュウリョク</t>
    </rPh>
    <rPh sb="9" eb="11">
      <t>シュウケイ</t>
    </rPh>
    <rPh sb="11" eb="12">
      <t>ヒョウ</t>
    </rPh>
    <rPh sb="12" eb="14">
      <t>セイセイ</t>
    </rPh>
    <phoneticPr fontId="3"/>
  </si>
  <si>
    <t>■【日付】シートの不正データチェック</t>
    <rPh sb="2" eb="4">
      <t>ヒヅケ</t>
    </rPh>
    <rPh sb="9" eb="11">
      <t>フセイ</t>
    </rPh>
    <phoneticPr fontId="3"/>
  </si>
  <si>
    <t>■【日付】シートの全コピー</t>
    <rPh sb="2" eb="4">
      <t>ヒヅケ</t>
    </rPh>
    <rPh sb="9" eb="10">
      <t>ゼン</t>
    </rPh>
    <phoneticPr fontId="3"/>
  </si>
  <si>
    <t>■【全データ】シートのデータ削除</t>
    <rPh sb="2" eb="3">
      <t>ゼン</t>
    </rPh>
    <rPh sb="14" eb="16">
      <t>サクジョ</t>
    </rPh>
    <phoneticPr fontId="3"/>
  </si>
  <si>
    <t>■【全データ】シートのCSV出力</t>
    <rPh sb="2" eb="3">
      <t>ゼン</t>
    </rPh>
    <rPh sb="14" eb="16">
      <t>シュツリョク</t>
    </rPh>
    <phoneticPr fontId="3"/>
  </si>
  <si>
    <t>■設定値リスト</t>
    <rPh sb="1" eb="4">
      <t>セッテイチ</t>
    </rPh>
    <phoneticPr fontId="3"/>
  </si>
  <si>
    <r>
      <t xml:space="preserve">設定値説明 </t>
    </r>
    <r>
      <rPr>
        <sz val="14"/>
        <color rgb="FFFF0000"/>
        <rFont val="ＭＳ Ｐゴシック"/>
        <family val="3"/>
        <charset val="128"/>
      </rPr>
      <t>※以下の項目は変更不可！</t>
    </r>
    <rPh sb="0" eb="3">
      <t>セッテイチ</t>
    </rPh>
    <rPh sb="3" eb="5">
      <t>セツメイ</t>
    </rPh>
    <rPh sb="7" eb="9">
      <t>イカ</t>
    </rPh>
    <rPh sb="10" eb="12">
      <t>コウモク</t>
    </rPh>
    <rPh sb="13" eb="15">
      <t>ヘンコウ</t>
    </rPh>
    <rPh sb="15" eb="17">
      <t>フカ</t>
    </rPh>
    <phoneticPr fontId="3"/>
  </si>
  <si>
    <t>設定値</t>
    <rPh sb="0" eb="3">
      <t>セッテイチ</t>
    </rPh>
    <phoneticPr fontId="3"/>
  </si>
  <si>
    <t>詳細</t>
    <rPh sb="0" eb="2">
      <t>ショウサイ</t>
    </rPh>
    <phoneticPr fontId="3"/>
  </si>
  <si>
    <t>シート設定(設定)</t>
    <rPh sb="6" eb="8">
      <t>セッテイ</t>
    </rPh>
    <phoneticPr fontId="3"/>
  </si>
  <si>
    <t>パスワード　設定</t>
    <rPh sb="6" eb="8">
      <t>セッテイ</t>
    </rPh>
    <phoneticPr fontId="3"/>
  </si>
  <si>
    <t>※デフォルトパスワードは「1234」です。
パスワードを空白のまま設定シートを非表示にした場合、デフォルトのパスワードが使用されます。
パスワードは英数小文字で指定してください。</t>
    <rPh sb="28" eb="30">
      <t>クウハク</t>
    </rPh>
    <rPh sb="33" eb="35">
      <t>セッテイ</t>
    </rPh>
    <rPh sb="39" eb="42">
      <t>ヒヒョウジ</t>
    </rPh>
    <rPh sb="45" eb="47">
      <t>バアイ</t>
    </rPh>
    <rPh sb="60" eb="62">
      <t>シヨウ</t>
    </rPh>
    <rPh sb="74" eb="76">
      <t>エイスウ</t>
    </rPh>
    <rPh sb="76" eb="79">
      <t>コモジ</t>
    </rPh>
    <rPh sb="80" eb="82">
      <t>シテイ</t>
    </rPh>
    <phoneticPr fontId="3"/>
  </si>
  <si>
    <t>シート設定(入力表)</t>
    <rPh sb="3" eb="5">
      <t>セッテイ</t>
    </rPh>
    <rPh sb="6" eb="8">
      <t>ニュウリョク</t>
    </rPh>
    <rPh sb="8" eb="9">
      <t>ヒョウ</t>
    </rPh>
    <phoneticPr fontId="3"/>
  </si>
  <si>
    <t>シート名称</t>
    <rPh sb="3" eb="5">
      <t>メイショウ</t>
    </rPh>
    <phoneticPr fontId="3"/>
  </si>
  <si>
    <t>入力</t>
    <rPh sb="0" eb="2">
      <t>ニュウリョク</t>
    </rPh>
    <phoneticPr fontId="3"/>
  </si>
  <si>
    <t>項目【終了】 位置指定</t>
    <rPh sb="0" eb="2">
      <t>コウモク</t>
    </rPh>
    <rPh sb="3" eb="5">
      <t>シュウリョウ</t>
    </rPh>
    <rPh sb="7" eb="9">
      <t>イチ</t>
    </rPh>
    <rPh sb="9" eb="11">
      <t>シテイ</t>
    </rPh>
    <phoneticPr fontId="3"/>
  </si>
  <si>
    <t>項目【小分類】 位置指定</t>
    <rPh sb="0" eb="2">
      <t>コウモク</t>
    </rPh>
    <rPh sb="3" eb="6">
      <t>ショウブンルイ</t>
    </rPh>
    <rPh sb="8" eb="10">
      <t>イチ</t>
    </rPh>
    <rPh sb="10" eb="12">
      <t>シテイ</t>
    </rPh>
    <phoneticPr fontId="3"/>
  </si>
  <si>
    <t>項目【所要時間】 位置指定</t>
    <rPh sb="0" eb="2">
      <t>コウモク</t>
    </rPh>
    <rPh sb="3" eb="5">
      <t>ショヨウ</t>
    </rPh>
    <rPh sb="5" eb="7">
      <t>ジカン</t>
    </rPh>
    <rPh sb="9" eb="11">
      <t>イチ</t>
    </rPh>
    <rPh sb="11" eb="13">
      <t>シテイ</t>
    </rPh>
    <phoneticPr fontId="3"/>
  </si>
  <si>
    <t>項目【件数】 位置指定</t>
    <rPh sb="0" eb="2">
      <t>コウモク</t>
    </rPh>
    <rPh sb="3" eb="5">
      <t>ケンスウ</t>
    </rPh>
    <rPh sb="7" eb="9">
      <t>イチ</t>
    </rPh>
    <rPh sb="9" eb="11">
      <t>シテイ</t>
    </rPh>
    <phoneticPr fontId="3"/>
  </si>
  <si>
    <t>項目【備考】 位置指定</t>
    <rPh sb="0" eb="2">
      <t>コウモク</t>
    </rPh>
    <rPh sb="3" eb="5">
      <t>ビコウ</t>
    </rPh>
    <rPh sb="7" eb="9">
      <t>イチ</t>
    </rPh>
    <rPh sb="9" eb="11">
      <t>シテイ</t>
    </rPh>
    <phoneticPr fontId="3"/>
  </si>
  <si>
    <t>データスタート行　位置指定</t>
    <rPh sb="7" eb="8">
      <t>ギョウ</t>
    </rPh>
    <rPh sb="9" eb="11">
      <t>イチ</t>
    </rPh>
    <rPh sb="11" eb="13">
      <t>シテイ</t>
    </rPh>
    <phoneticPr fontId="3"/>
  </si>
  <si>
    <t>データ最終行　位置指定</t>
    <rPh sb="3" eb="5">
      <t>サイシュウ</t>
    </rPh>
    <rPh sb="5" eb="6">
      <t>ギョウ</t>
    </rPh>
    <rPh sb="7" eb="9">
      <t>イチ</t>
    </rPh>
    <rPh sb="9" eb="11">
      <t>シテイ</t>
    </rPh>
    <phoneticPr fontId="3"/>
  </si>
  <si>
    <t>シート設定(集計表)</t>
    <rPh sb="3" eb="5">
      <t>セッテイ</t>
    </rPh>
    <rPh sb="6" eb="8">
      <t>シュウケイ</t>
    </rPh>
    <rPh sb="8" eb="9">
      <t>ヒョウ</t>
    </rPh>
    <phoneticPr fontId="3"/>
  </si>
  <si>
    <t>表スタートセル(左上位置セル）　位置指定</t>
    <rPh sb="0" eb="1">
      <t>ヒョウ</t>
    </rPh>
    <rPh sb="8" eb="9">
      <t>ヒダリ</t>
    </rPh>
    <rPh sb="9" eb="10">
      <t>ウエ</t>
    </rPh>
    <rPh sb="10" eb="12">
      <t>イチ</t>
    </rPh>
    <rPh sb="16" eb="18">
      <t>イチ</t>
    </rPh>
    <rPh sb="18" eb="20">
      <t>シテイ</t>
    </rPh>
    <phoneticPr fontId="3"/>
  </si>
  <si>
    <t>表タイトル項目</t>
    <rPh sb="0" eb="1">
      <t>ヒョウ</t>
    </rPh>
    <rPh sb="5" eb="7">
      <t>コウモク</t>
    </rPh>
    <phoneticPr fontId="3"/>
  </si>
  <si>
    <t>※項目を「カンマ」で区切ること。
空白行は何も書かずに「カンマ」で区切ること。
「小分類」「件数」「時間」「生産性」「目標値」「達成率」項目は必須です。</t>
    <rPh sb="1" eb="3">
      <t>コウモク</t>
    </rPh>
    <rPh sb="10" eb="12">
      <t>クギ</t>
    </rPh>
    <rPh sb="17" eb="19">
      <t>クウハク</t>
    </rPh>
    <rPh sb="19" eb="20">
      <t>ギョウ</t>
    </rPh>
    <rPh sb="21" eb="22">
      <t>ナニ</t>
    </rPh>
    <rPh sb="23" eb="24">
      <t>カ</t>
    </rPh>
    <rPh sb="33" eb="35">
      <t>クギ</t>
    </rPh>
    <rPh sb="41" eb="44">
      <t>ショウブンルイ</t>
    </rPh>
    <rPh sb="46" eb="48">
      <t>ケンスウ</t>
    </rPh>
    <rPh sb="50" eb="52">
      <t>ジカン</t>
    </rPh>
    <rPh sb="54" eb="57">
      <t>セイサンセイ</t>
    </rPh>
    <rPh sb="59" eb="62">
      <t>モクヒョウチ</t>
    </rPh>
    <rPh sb="64" eb="67">
      <t>タッセイリツ</t>
    </rPh>
    <rPh sb="68" eb="70">
      <t>コウモク</t>
    </rPh>
    <rPh sb="71" eb="73">
      <t>ヒッス</t>
    </rPh>
    <phoneticPr fontId="3"/>
  </si>
  <si>
    <t>削除対象項目カラー　指定</t>
    <rPh sb="0" eb="2">
      <t>サクジョ</t>
    </rPh>
    <rPh sb="2" eb="4">
      <t>タイショウ</t>
    </rPh>
    <rPh sb="4" eb="6">
      <t>コウモク</t>
    </rPh>
    <rPh sb="10" eb="12">
      <t>シテイ</t>
    </rPh>
    <phoneticPr fontId="3"/>
  </si>
  <si>
    <t>X項目カラー　指定</t>
    <rPh sb="1" eb="3">
      <t>コウモク</t>
    </rPh>
    <rPh sb="7" eb="9">
      <t>シテイ</t>
    </rPh>
    <phoneticPr fontId="3"/>
  </si>
  <si>
    <t>Y項目カラー　指定</t>
    <rPh sb="1" eb="3">
      <t>コウモク</t>
    </rPh>
    <rPh sb="7" eb="9">
      <t>シテイ</t>
    </rPh>
    <phoneticPr fontId="3"/>
  </si>
  <si>
    <t>Z項目カラー　指定</t>
    <rPh sb="1" eb="3">
      <t>コウモク</t>
    </rPh>
    <rPh sb="7" eb="9">
      <t>シテイ</t>
    </rPh>
    <phoneticPr fontId="3"/>
  </si>
  <si>
    <t>W項目カラー　指定</t>
    <rPh sb="1" eb="3">
      <t>コウモク</t>
    </rPh>
    <rPh sb="7" eb="9">
      <t>シテイ</t>
    </rPh>
    <phoneticPr fontId="3"/>
  </si>
  <si>
    <t>他項目カラー　指定</t>
    <rPh sb="0" eb="1">
      <t>ホカ</t>
    </rPh>
    <rPh sb="1" eb="3">
      <t>コウモク</t>
    </rPh>
    <rPh sb="7" eb="9">
      <t>シテイ</t>
    </rPh>
    <phoneticPr fontId="3"/>
  </si>
  <si>
    <t>【】項目カラー　指定</t>
    <rPh sb="2" eb="4">
      <t>コウモク</t>
    </rPh>
    <rPh sb="8" eb="10">
      <t>シテイ</t>
    </rPh>
    <phoneticPr fontId="3"/>
  </si>
  <si>
    <t>時間項目　表示形式</t>
    <rPh sb="0" eb="2">
      <t>ジカン</t>
    </rPh>
    <rPh sb="2" eb="4">
      <t>コウモク</t>
    </rPh>
    <rPh sb="5" eb="7">
      <t>ヒョウジ</t>
    </rPh>
    <rPh sb="7" eb="9">
      <t>ケイシキ</t>
    </rPh>
    <phoneticPr fontId="3"/>
  </si>
  <si>
    <t>[m] 分</t>
    <rPh sb="4" eb="5">
      <t>フン</t>
    </rPh>
    <phoneticPr fontId="3"/>
  </si>
  <si>
    <t>件数項目　表示形式</t>
    <rPh sb="0" eb="2">
      <t>ケンスウ</t>
    </rPh>
    <rPh sb="2" eb="4">
      <t>コウモク</t>
    </rPh>
    <rPh sb="5" eb="7">
      <t>ヒョウジ</t>
    </rPh>
    <rPh sb="7" eb="9">
      <t>ケイシキ</t>
    </rPh>
    <phoneticPr fontId="3"/>
  </si>
  <si>
    <t>G/標準 件</t>
    <rPh sb="2" eb="4">
      <t>ヒョウジュン</t>
    </rPh>
    <rPh sb="5" eb="6">
      <t>ケン</t>
    </rPh>
    <phoneticPr fontId="3"/>
  </si>
  <si>
    <t>生産性項目　表示形式</t>
    <rPh sb="0" eb="3">
      <t>セイサンセイ</t>
    </rPh>
    <rPh sb="3" eb="5">
      <t>コウモク</t>
    </rPh>
    <rPh sb="6" eb="8">
      <t>ヒョウジ</t>
    </rPh>
    <rPh sb="8" eb="10">
      <t>ケイシキ</t>
    </rPh>
    <phoneticPr fontId="3"/>
  </si>
  <si>
    <t>達成率項目　表示形式</t>
    <rPh sb="0" eb="3">
      <t>タッセイリツ</t>
    </rPh>
    <rPh sb="3" eb="5">
      <t>コウモク</t>
    </rPh>
    <rPh sb="6" eb="8">
      <t>ヒョウジ</t>
    </rPh>
    <rPh sb="8" eb="10">
      <t>ケイシキ</t>
    </rPh>
    <phoneticPr fontId="3"/>
  </si>
  <si>
    <t>※エクセルの表示形式の仕様上、先頭に「'」をつけないと自動で表示形式が変換されてしまいます。パーセント指定をする場合は先頭に「'」をつけてください。</t>
    <rPh sb="6" eb="8">
      <t>ヒョウジ</t>
    </rPh>
    <rPh sb="8" eb="10">
      <t>ケイシキ</t>
    </rPh>
    <rPh sb="11" eb="13">
      <t>シヨウ</t>
    </rPh>
    <rPh sb="13" eb="14">
      <t>ジョウ</t>
    </rPh>
    <rPh sb="15" eb="17">
      <t>セントウ</t>
    </rPh>
    <rPh sb="27" eb="29">
      <t>ジドウ</t>
    </rPh>
    <rPh sb="30" eb="32">
      <t>ヒョウジ</t>
    </rPh>
    <rPh sb="32" eb="34">
      <t>ケイシキ</t>
    </rPh>
    <rPh sb="35" eb="37">
      <t>ヘンカン</t>
    </rPh>
    <rPh sb="51" eb="53">
      <t>シテイ</t>
    </rPh>
    <rPh sb="56" eb="58">
      <t>バアイ</t>
    </rPh>
    <rPh sb="59" eb="61">
      <t>セントウ</t>
    </rPh>
    <phoneticPr fontId="3"/>
  </si>
  <si>
    <t>※【】にてくくられている項目は件数、時間はカウントされない項目となります。</t>
    <rPh sb="12" eb="14">
      <t>コウモク</t>
    </rPh>
    <rPh sb="15" eb="17">
      <t>ケンスウ</t>
    </rPh>
    <rPh sb="18" eb="20">
      <t>ジカン</t>
    </rPh>
    <rPh sb="29" eb="31">
      <t>コウモク</t>
    </rPh>
    <phoneticPr fontId="3"/>
  </si>
  <si>
    <t>※それ以外の項目は小項目となり、表ではインデントされ表示されます。</t>
    <rPh sb="3" eb="5">
      <t>イガイ</t>
    </rPh>
    <rPh sb="6" eb="8">
      <t>コウモク</t>
    </rPh>
    <rPh sb="9" eb="12">
      <t>ショウコウモク</t>
    </rPh>
    <rPh sb="16" eb="17">
      <t>ヒョウ</t>
    </rPh>
    <rPh sb="26" eb="28">
      <t>ヒョウジ</t>
    </rPh>
    <phoneticPr fontId="3"/>
  </si>
  <si>
    <t>※「件数取得不要項目カラー　指定」にて指定されたカラーで塗りつぶされた項目は、件数不要項目となり、件数が取得されません。</t>
    <rPh sb="19" eb="21">
      <t>シテイ</t>
    </rPh>
    <rPh sb="28" eb="29">
      <t>ヌ</t>
    </rPh>
    <rPh sb="35" eb="37">
      <t>コウモク</t>
    </rPh>
    <rPh sb="39" eb="41">
      <t>ケンスウ</t>
    </rPh>
    <rPh sb="41" eb="43">
      <t>フヨウ</t>
    </rPh>
    <rPh sb="43" eb="45">
      <t>コウモク</t>
    </rPh>
    <rPh sb="49" eb="51">
      <t>ケンスウ</t>
    </rPh>
    <rPh sb="52" eb="54">
      <t>シュトク</t>
    </rPh>
    <phoneticPr fontId="3"/>
  </si>
  <si>
    <t>※「削除対象項目カラー　指定」にて指定されたカラーで塗りつぶされた項目は、削除対象項目となり、全ての値が取得されません。
また、左表の「小分類」選択時のメニューにも項目は表示されません。</t>
    <rPh sb="17" eb="19">
      <t>シテイ</t>
    </rPh>
    <rPh sb="26" eb="27">
      <t>ヌ</t>
    </rPh>
    <rPh sb="33" eb="35">
      <t>コウモク</t>
    </rPh>
    <rPh sb="37" eb="39">
      <t>サクジョ</t>
    </rPh>
    <rPh sb="39" eb="41">
      <t>タイショウ</t>
    </rPh>
    <rPh sb="41" eb="43">
      <t>コウモク</t>
    </rPh>
    <rPh sb="47" eb="48">
      <t>スベ</t>
    </rPh>
    <rPh sb="50" eb="51">
      <t>アタイ</t>
    </rPh>
    <rPh sb="52" eb="54">
      <t>シュトク</t>
    </rPh>
    <rPh sb="64" eb="65">
      <t>ヒダリ</t>
    </rPh>
    <rPh sb="65" eb="66">
      <t>ヒョウ</t>
    </rPh>
    <rPh sb="68" eb="71">
      <t>ショウブンルイ</t>
    </rPh>
    <rPh sb="72" eb="74">
      <t>センタク</t>
    </rPh>
    <rPh sb="74" eb="75">
      <t>ジ</t>
    </rPh>
    <rPh sb="82" eb="84">
      <t>コウモク</t>
    </rPh>
    <rPh sb="85" eb="87">
      <t>ヒョウジ</t>
    </rPh>
    <phoneticPr fontId="3"/>
  </si>
  <si>
    <t>■項目リスト</t>
    <rPh sb="1" eb="3">
      <t>コウモク</t>
    </rPh>
    <phoneticPr fontId="3"/>
  </si>
  <si>
    <t>小項目</t>
    <rPh sb="0" eb="3">
      <t>ショウコウモク</t>
    </rPh>
    <phoneticPr fontId="3"/>
  </si>
  <si>
    <t>ターゲット</t>
    <phoneticPr fontId="3"/>
  </si>
  <si>
    <t>call</t>
    <phoneticPr fontId="3"/>
  </si>
  <si>
    <t>D10</t>
    <phoneticPr fontId="3"/>
  </si>
  <si>
    <t>E10</t>
    <phoneticPr fontId="3"/>
  </si>
  <si>
    <t>G10</t>
    <phoneticPr fontId="3"/>
  </si>
  <si>
    <t>H10</t>
    <phoneticPr fontId="3"/>
  </si>
  <si>
    <t>0.0 %</t>
    <phoneticPr fontId="3"/>
  </si>
  <si>
    <t>小分類</t>
    <phoneticPr fontId="3"/>
  </si>
  <si>
    <t>所要時間</t>
    <phoneticPr fontId="3"/>
  </si>
  <si>
    <t>項目【計測日】 位置指定</t>
    <rPh sb="0" eb="2">
      <t>コウモク</t>
    </rPh>
    <rPh sb="3" eb="5">
      <t>ケイソク</t>
    </rPh>
    <rPh sb="5" eb="6">
      <t>ビ</t>
    </rPh>
    <rPh sb="8" eb="10">
      <t>イチ</t>
    </rPh>
    <rPh sb="10" eb="12">
      <t>シテイ</t>
    </rPh>
    <phoneticPr fontId="3"/>
  </si>
  <si>
    <t>F3</t>
    <phoneticPr fontId="3"/>
  </si>
  <si>
    <t>大分類</t>
    <rPh sb="0" eb="1">
      <t>ダイ</t>
    </rPh>
    <phoneticPr fontId="3"/>
  </si>
  <si>
    <t>大分類</t>
    <rPh sb="0" eb="3">
      <t>ダイブンルイ</t>
    </rPh>
    <phoneticPr fontId="3"/>
  </si>
  <si>
    <t>I10</t>
    <phoneticPr fontId="3"/>
  </si>
  <si>
    <t>K10</t>
    <phoneticPr fontId="3"/>
  </si>
  <si>
    <t>項目【大分類】 位置指定</t>
    <rPh sb="0" eb="2">
      <t>コウモク</t>
    </rPh>
    <rPh sb="3" eb="4">
      <t>ダイ</t>
    </rPh>
    <rPh sb="4" eb="6">
      <t>ブンルイ</t>
    </rPh>
    <rPh sb="8" eb="10">
      <t>イチ</t>
    </rPh>
    <rPh sb="10" eb="12">
      <t>シテイ</t>
    </rPh>
    <phoneticPr fontId="3"/>
  </si>
  <si>
    <t>F10</t>
    <phoneticPr fontId="3"/>
  </si>
  <si>
    <t>メニュー</t>
    <phoneticPr fontId="3"/>
  </si>
  <si>
    <t>かぎ括弧やコロンは必ず半角で入力</t>
    <rPh sb="2" eb="4">
      <t>カッコ</t>
    </rPh>
    <rPh sb="9" eb="10">
      <t>カナラ</t>
    </rPh>
    <rPh sb="11" eb="13">
      <t>ハンカク</t>
    </rPh>
    <rPh sb="14" eb="16">
      <t>ニュウリョク</t>
    </rPh>
    <phoneticPr fontId="3"/>
  </si>
  <si>
    <t>※Xカテゴリの判定は、「★」　+ 「[ (かぎ括弧)」 + 「A～Zまでのアルファベット」 + 「: (コロン)」 + 何らかの文字列(なくてもよし) + 「] (かぎ括弧)」にて判定しています。
例：
★[A2:レンタカー], ★[A:レンタカー],★[B1:車両情報業務]</t>
    <rPh sb="7" eb="9">
      <t>ハンテイ</t>
    </rPh>
    <rPh sb="23" eb="25">
      <t>カッコ</t>
    </rPh>
    <rPh sb="60" eb="61">
      <t>ナン</t>
    </rPh>
    <rPh sb="64" eb="67">
      <t>モジレツ</t>
    </rPh>
    <rPh sb="84" eb="86">
      <t>カッコ</t>
    </rPh>
    <rPh sb="90" eb="92">
      <t>ハンテイ</t>
    </rPh>
    <rPh sb="99" eb="100">
      <t>レイ</t>
    </rPh>
    <rPh sb="131" eb="133">
      <t>シャリョウ</t>
    </rPh>
    <rPh sb="133" eb="135">
      <t>ジョウホウ</t>
    </rPh>
    <rPh sb="135" eb="137">
      <t>ギョウム</t>
    </rPh>
    <phoneticPr fontId="3"/>
  </si>
  <si>
    <t>※Y、Z,他、項目は、 「 [ (かぎ括弧)」 + 項目アルファベット + 「: (コロン)」 + 何らかの文字列(なくてもよし) + 「 ] (かぎ括弧)」
例：
[Y1:業務整理],[Y:業務整理],[Y:]
[Z3:研修],[Z:研修],[Z:]
[他2:昼休み], [他:昼休み], [他:]</t>
    <rPh sb="5" eb="6">
      <t>ホカ</t>
    </rPh>
    <rPh sb="7" eb="9">
      <t>コウモク</t>
    </rPh>
    <rPh sb="19" eb="21">
      <t>カッコ</t>
    </rPh>
    <rPh sb="26" eb="28">
      <t>コウモク</t>
    </rPh>
    <rPh sb="50" eb="51">
      <t>ナン</t>
    </rPh>
    <rPh sb="54" eb="57">
      <t>モジレツ</t>
    </rPh>
    <rPh sb="75" eb="77">
      <t>カッコ</t>
    </rPh>
    <rPh sb="80" eb="81">
      <t>レイ</t>
    </rPh>
    <rPh sb="87" eb="89">
      <t>ギョウム</t>
    </rPh>
    <rPh sb="89" eb="91">
      <t>セイリ</t>
    </rPh>
    <rPh sb="96" eb="98">
      <t>ギョウム</t>
    </rPh>
    <rPh sb="98" eb="100">
      <t>セイリ</t>
    </rPh>
    <rPh sb="111" eb="113">
      <t>ケンシュウ</t>
    </rPh>
    <rPh sb="118" eb="120">
      <t>ケンシュウ</t>
    </rPh>
    <rPh sb="128" eb="129">
      <t>ホカ</t>
    </rPh>
    <rPh sb="131" eb="133">
      <t>ヒルヤス</t>
    </rPh>
    <rPh sb="138" eb="139">
      <t>ホカ</t>
    </rPh>
    <rPh sb="140" eb="142">
      <t>ヒルヤス</t>
    </rPh>
    <rPh sb="147" eb="148">
      <t>ホカ</t>
    </rPh>
    <phoneticPr fontId="3"/>
  </si>
  <si>
    <t>■【設定】シートの項目データ出力</t>
    <rPh sb="2" eb="4">
      <t>セッテイ</t>
    </rPh>
    <rPh sb="9" eb="11">
      <t>コウモク</t>
    </rPh>
    <rPh sb="14" eb="16">
      <t>シュツリョク</t>
    </rPh>
    <phoneticPr fontId="3"/>
  </si>
  <si>
    <t>X合計</t>
  </si>
  <si>
    <t>件数取得不要項目カラー　指定</t>
  </si>
  <si>
    <t>表タイトル項目カラー　指定</t>
    <phoneticPr fontId="3"/>
  </si>
  <si>
    <t>種別</t>
  </si>
  <si>
    <t>小分類（=計測項目）</t>
  </si>
  <si>
    <t>時間</t>
  </si>
  <si>
    <t>生産性</t>
  </si>
  <si>
    <t>目標値</t>
  </si>
  <si>
    <t>達成率</t>
  </si>
  <si>
    <t>X</t>
  </si>
  <si>
    <t>Y合計</t>
  </si>
  <si>
    <t>Y</t>
  </si>
  <si>
    <t>休憩</t>
  </si>
  <si>
    <t>Z合計</t>
  </si>
  <si>
    <t>Z</t>
  </si>
  <si>
    <t>昼休み</t>
  </si>
  <si>
    <t>他合計</t>
  </si>
  <si>
    <t>他</t>
  </si>
  <si>
    <t>日付</t>
    <rPh sb="0" eb="2">
      <t>ヒヅケ</t>
    </rPh>
    <phoneticPr fontId="3"/>
  </si>
  <si>
    <t>★[A:IVR業務]</t>
  </si>
  <si>
    <t>★[B:住所変更業務]</t>
  </si>
  <si>
    <t>★[C:口座不備業務]</t>
  </si>
  <si>
    <t>★[D:更新中止業務]</t>
  </si>
  <si>
    <t>★[E:解約業務]</t>
  </si>
  <si>
    <t>★[F:SRｸﾛｰｽﾞ業務]</t>
  </si>
  <si>
    <t>★[G:問合せ業務]</t>
  </si>
  <si>
    <t>★[H:ﾓﾆﾀﾘﾝｸﾞ業務]</t>
  </si>
  <si>
    <t>★[I:口座変更業務]</t>
  </si>
  <si>
    <t>★[J:発送指示業務]</t>
  </si>
  <si>
    <t>★[K:料金収納業務]</t>
  </si>
  <si>
    <t>★[L:名変業務(LN･指代･再発行含む)]</t>
  </si>
  <si>
    <t>[Y:]</t>
  </si>
  <si>
    <t>[Z:]</t>
  </si>
  <si>
    <t>[他:]</t>
  </si>
  <si>
    <t>A:ﾃﾞｰﾀ取込･抽出･一覧作成</t>
  </si>
  <si>
    <t>A:SR作成</t>
  </si>
  <si>
    <t>A:点検(ｽﾃｰﾀｽﾁｪｯｸ)</t>
  </si>
  <si>
    <t>【●B1住所変更業務(ｸｴﾘｰ分)】</t>
  </si>
  <si>
    <t>B1:事前準備(ｴｸｽﾎﾟｰﾄ)</t>
  </si>
  <si>
    <t>B1:処理(ｸｴﾘｰ分)</t>
  </si>
  <si>
    <t>B1:保留確認(ｸｴﾘｰ､支社確認)</t>
  </si>
  <si>
    <t>B1:取消し</t>
  </si>
  <si>
    <t>B1:点検(ｸｴﾘｰ分)</t>
  </si>
  <si>
    <t>B1:発送(社内便)</t>
  </si>
  <si>
    <t>B1:点検(ｽﾃｰﾀｽﾁｪｯｸ)</t>
  </si>
  <si>
    <t>【●B2住所変更業務(連絡ｼｰﾄ分)】</t>
  </si>
  <si>
    <t>B2:開封</t>
  </si>
  <si>
    <t>B2:PDF(戻し分)</t>
  </si>
  <si>
    <t>B2:処理(連絡ｼｰﾄ分)</t>
  </si>
  <si>
    <t>B2:PDF(依頼分)</t>
  </si>
  <si>
    <t>B2:取消し</t>
  </si>
  <si>
    <t>B2:点検(連絡ｼｰﾄ分)</t>
  </si>
  <si>
    <t>B2:発送(社内便)</t>
  </si>
  <si>
    <t>B2:点検(ｽﾃｰﾀｽﾁｪｯｸ)</t>
  </si>
  <si>
    <t>C:開封(ｶｳﾝﾄ･付箋貼り)</t>
  </si>
  <si>
    <t>C:一覧表作成(証番設定､ｴｸｽﾎﾟｰﾄ､ﾃﾞｰﾀ整理)</t>
  </si>
  <si>
    <t>C:抜取作業</t>
  </si>
  <si>
    <t>C:抜取後SRｸﾛｰｽﾞ</t>
  </si>
  <si>
    <t>C:最終収入確認</t>
  </si>
  <si>
    <t>C:ﾃﾞｰﾀ転送作業</t>
  </si>
  <si>
    <t>C:口振依頼書並び替え</t>
  </si>
  <si>
    <t>C:不備ﾚﾀｰ作成</t>
  </si>
  <si>
    <t>C:口振ﾏｽｷﾝｸﾞｺﾋﾟｰ</t>
  </si>
  <si>
    <t>C:ﾚﾀｰｾｯﾄ</t>
  </si>
  <si>
    <t>C:点検</t>
  </si>
  <si>
    <t>C:発送(お客様発送)</t>
  </si>
  <si>
    <t>C:発送(社内便)</t>
  </si>
  <si>
    <t>C:点検(ｽﾃｰﾀｽﾁｪｯｸ)</t>
  </si>
  <si>
    <t>C:不備添付資料事前準備</t>
  </si>
  <si>
    <t>D:不備照会票作成</t>
  </si>
  <si>
    <t>D:処理</t>
  </si>
  <si>
    <t>D:点検</t>
  </si>
  <si>
    <t>D:発送(お客様発送)</t>
  </si>
  <si>
    <t>D:発送(社内便)</t>
  </si>
  <si>
    <t>E:開封</t>
  </si>
  <si>
    <t>E:到着受付</t>
  </si>
  <si>
    <t>E.立川戻し</t>
  </si>
  <si>
    <t>E.不備依頼</t>
  </si>
  <si>
    <t>E.不備戻りｱｸｾｽ入力</t>
  </si>
  <si>
    <t>E:処理受付</t>
  </si>
  <si>
    <t>E:仕分け</t>
  </si>
  <si>
    <t>E:処理入力</t>
  </si>
  <si>
    <t>E:取消し</t>
  </si>
  <si>
    <t>E:処理点検</t>
  </si>
  <si>
    <t>E:発送(お客様発送)</t>
  </si>
  <si>
    <t>E:発送(社内便)</t>
  </si>
  <si>
    <t>E:不備作成</t>
  </si>
  <si>
    <t>E:不備点検</t>
  </si>
  <si>
    <t>E:PDF</t>
  </si>
  <si>
    <t>E:不備添付資料事前準備</t>
  </si>
  <si>
    <t>F:件数ｶｳﾝﾄ</t>
  </si>
  <si>
    <t>F:処理</t>
  </si>
  <si>
    <t>G:問合せ受電</t>
  </si>
  <si>
    <t>G:問合せ架電</t>
  </si>
  <si>
    <t>H:IVR業務</t>
  </si>
  <si>
    <t>H:住所変更業務(ｸｴﾘｰ分)</t>
  </si>
  <si>
    <t>H:住所変更業務(連絡ｼｰﾄ分)</t>
  </si>
  <si>
    <t>H:口座不備業務</t>
  </si>
  <si>
    <t>H:更新中止業務</t>
  </si>
  <si>
    <t>H:発送指示業務(解約･料金･保全)</t>
  </si>
  <si>
    <t>H:解約業務(処理)</t>
  </si>
  <si>
    <t>H:SRｸﾛｰｽﾞ処理業務(封筒件数照合)</t>
  </si>
  <si>
    <t>H:SRｸﾛｰｽﾞ処理業務</t>
  </si>
  <si>
    <t>H:口座変更業務</t>
  </si>
  <si>
    <t>I:開封</t>
  </si>
  <si>
    <t>I:到着受付(金融機関CD記入･ｽﾀﾝﾌﾟ押印･ｽﾃｰﾀｽ変更)</t>
  </si>
  <si>
    <t>I:事前作業(ｺﾋﾟｰ･B/Kごとの仕分･ｶｳﾝﾄ)</t>
  </si>
  <si>
    <t>I:ｱﾀｯﾁ作業</t>
  </si>
  <si>
    <t>I:不備照会票作成(定型)</t>
  </si>
  <si>
    <t>I:不備照会票作成(自由)</t>
  </si>
  <si>
    <t>I:不備照会票点検</t>
  </si>
  <si>
    <t>I.返却･振込案内(依頼ｼｰﾄ作成･架電依頼)</t>
  </si>
  <si>
    <t>I:処理入力</t>
  </si>
  <si>
    <t>I:取消</t>
  </si>
  <si>
    <t>I:処理点検</t>
  </si>
  <si>
    <t>I.Wﾁｪｯｸ</t>
  </si>
  <si>
    <t>I.不備ﾚﾀｰ作成</t>
  </si>
  <si>
    <t>I:ﾚﾀｰ点検</t>
  </si>
  <si>
    <t>I:ﾚﾀｰｾｯﾄ</t>
  </si>
  <si>
    <t>I:発送(お客様発送)</t>
  </si>
  <si>
    <t>I:発送(社内便)</t>
  </si>
  <si>
    <t>I:ｵﾝﾗｲﾝ集計表入力(ｴｸｾﾙ)</t>
  </si>
  <si>
    <t>I:点検(ｽﾃｰﾀｽﾁｪｯｸ)</t>
  </si>
  <si>
    <t>I:PDF</t>
  </si>
  <si>
    <t>I:不備添付資料事前準備</t>
  </si>
  <si>
    <t>J:解約</t>
  </si>
  <si>
    <t>J:料金</t>
  </si>
  <si>
    <t>J:保全</t>
  </si>
  <si>
    <t>J:点検(ｽﾃｰﾀｽﾁｪｯｸ)</t>
  </si>
  <si>
    <t>K:1P収納(ﾂｰﾙ系)</t>
  </si>
  <si>
    <t>K:2P収納(ﾂｰﾙ系)</t>
  </si>
  <si>
    <t>L.開封</t>
  </si>
  <si>
    <t>L.到着受付</t>
  </si>
  <si>
    <t>L.処理受付</t>
  </si>
  <si>
    <t>L.改姓同時解約の処理受付</t>
  </si>
  <si>
    <t>L.立川戻し</t>
  </si>
  <si>
    <t>L.分室回付</t>
  </si>
  <si>
    <t>L.LPJ出力</t>
  </si>
  <si>
    <t>L.架電依頼</t>
  </si>
  <si>
    <t>L.架電結果確認</t>
  </si>
  <si>
    <t>L.不備依頼</t>
  </si>
  <si>
    <t>L.不備戻りｱｸｾｽ入力</t>
  </si>
  <si>
    <t>L.処理入力</t>
  </si>
  <si>
    <t>L.取消し</t>
  </si>
  <si>
    <t>L.処理点検</t>
  </si>
  <si>
    <t>L.割印</t>
  </si>
  <si>
    <t>L.発送(お客様発送)</t>
  </si>
  <si>
    <t>L.発送(社内便)</t>
  </si>
  <si>
    <t>L.格納準備</t>
  </si>
  <si>
    <t>L.不備作成</t>
  </si>
  <si>
    <t>L.不備点検</t>
  </si>
  <si>
    <t>L.PDF</t>
  </si>
  <si>
    <t>L.発送準備(折込･封入･封緘)</t>
  </si>
  <si>
    <t>L.添付資料準備</t>
  </si>
  <si>
    <t>日直</t>
  </si>
  <si>
    <t>対応票</t>
  </si>
  <si>
    <t>確認(ﾒﾝﾊﾞｰ･上長)</t>
  </si>
  <si>
    <t>ﾓﾆﾀﾘﾝｸﾞ</t>
  </si>
  <si>
    <t>業務整理</t>
  </si>
  <si>
    <t>研修</t>
  </si>
  <si>
    <t>会議</t>
  </si>
  <si>
    <t>ｺｰﾙｾﾝﾀｰ会議</t>
  </si>
  <si>
    <t>件数表入力･管理簿作成</t>
  </si>
  <si>
    <t>Y:その他</t>
  </si>
  <si>
    <t>Z:その他</t>
  </si>
  <si>
    <t>項目なし</t>
  </si>
  <si>
    <t>★[M:ｸﾚｶ]</t>
  </si>
  <si>
    <t>★[N:料収共通]</t>
  </si>
  <si>
    <t>★[O:入金･計上業務]</t>
  </si>
  <si>
    <t>★[P:返金業務]</t>
  </si>
  <si>
    <t>★[Q:不備登録･解消業務]</t>
  </si>
  <si>
    <t>★[R:その他]</t>
  </si>
  <si>
    <t>A:その他</t>
  </si>
  <si>
    <t>B1:その他</t>
  </si>
  <si>
    <t>B2:その他</t>
  </si>
  <si>
    <t>C:その他</t>
  </si>
  <si>
    <t>D:その他</t>
  </si>
  <si>
    <t>E:その他</t>
  </si>
  <si>
    <t>F:その他</t>
  </si>
  <si>
    <t>I:不備確認(保全T依頼分)</t>
  </si>
  <si>
    <t>I:受付</t>
  </si>
  <si>
    <t>I:受付Wﾁｪｯｸ(ﾄﾚｰﾅｰ)</t>
  </si>
  <si>
    <t>I:点検Wﾁｪｯｸ(ﾄﾚｰﾅｰ)</t>
  </si>
  <si>
    <t>I:その他</t>
  </si>
  <si>
    <t>J:その他</t>
  </si>
  <si>
    <t>K:その他</t>
  </si>
  <si>
    <t>L:その他</t>
  </si>
  <si>
    <t>M:不備確認(保全T依頼分)</t>
  </si>
  <si>
    <t>M:受付</t>
  </si>
  <si>
    <t>M:入金案内依頼(ﾚﾀｰ･架電)</t>
  </si>
  <si>
    <t>M:受付Wﾁｪｯｸ(1日~入金処理日)</t>
  </si>
  <si>
    <t>M:受付(待ち分LPJ確認 ※入金処理日翌日)</t>
  </si>
  <si>
    <t>M:受付Wﾁｪｯｸ(ﾄﾚｰﾅｰ)</t>
  </si>
  <si>
    <t>M:入力処理</t>
  </si>
  <si>
    <t>M:入力処理(自己点検有)</t>
  </si>
  <si>
    <t>M:取消</t>
  </si>
  <si>
    <t>M:点検</t>
  </si>
  <si>
    <t>M:点検(入力待ち分処理後の点検)</t>
  </si>
  <si>
    <t>M:点検Wﾁｪｯｸ(ﾄﾚｰﾅｰ)</t>
  </si>
  <si>
    <t>M:ｵﾝﾗｲﾝ集計表入力(ｴｸｾﾙ)</t>
  </si>
  <si>
    <t>M:社内便目隠しｼｰﾙ貼付</t>
  </si>
  <si>
    <t>M:社内便発送</t>
  </si>
  <si>
    <t>M:不備照会票作成依頼ｼｰﾄ作成</t>
  </si>
  <si>
    <t>M:不備照会票作成依頼ｼｰﾄ点検(ﾄﾚｰﾅｰ)</t>
  </si>
  <si>
    <t>M:不備照会票作成</t>
  </si>
  <si>
    <t>M:不備照会票点検</t>
  </si>
  <si>
    <t>M:不備ﾚﾀｰ作成依頼ｼｰﾄ作成</t>
  </si>
  <si>
    <t>M:不備ﾚﾀｰ作成依頼ｼｰﾄ点検</t>
  </si>
  <si>
    <t>M:その他</t>
  </si>
  <si>
    <t>M:不備添付資料事前準備</t>
  </si>
  <si>
    <t>N:開封(封筒開封､分類(口振･ｸﾚｶ･他))</t>
  </si>
  <si>
    <t>N:到着受付(ｼｰﾍﾞﾙ入力)</t>
  </si>
  <si>
    <t>N:到着受付(不備戻り分のｱﾀｯﾁ)</t>
  </si>
  <si>
    <t>N:到着受付(ﾒﾓPDF添付)</t>
  </si>
  <si>
    <t>朝_入金ﾃﾞｰﾀB/Kﾀﾞｳﾝﾛｰﾄﾞ(振込入金)</t>
  </si>
  <si>
    <t>朝_入金ﾃﾞｰﾀ加工ﾂｰﾙ(Access)</t>
  </si>
  <si>
    <t>朝_入金ﾃﾞｰﾀ/集金担当入出金明細一式業務(支社便へ)</t>
  </si>
  <si>
    <t>ﾏｯﾁﾝｸﾞﾂｰﾙ･補助ﾂｰﾙ･ﾊﾞｯﾁ計上UL</t>
  </si>
  <si>
    <t>ｵﾝﾗｲﾝ計上処理業務</t>
  </si>
  <si>
    <t>WING名寄せ業務</t>
  </si>
  <si>
    <t>振込入金自動計上結果ﾘｽﾄ(Access)</t>
  </si>
  <si>
    <t>振込入金自動計上結果ﾘｽﾄﾁｪｯｸ業務</t>
  </si>
  <si>
    <t>不明仮受金自動計上結果ﾘｽﾄ(Access)</t>
  </si>
  <si>
    <t>不明仮受金自動計上結果ﾘｽﾄﾁｪｯｸ業務</t>
  </si>
  <si>
    <t>不明仮受金自動計上ｴﾗｰﾘｽﾄ(Access)</t>
  </si>
  <si>
    <t>不明仮受金自動計上ｴﾗｰﾘｽﾄﾁｪｯｸ業務</t>
  </si>
  <si>
    <t>入金ﾃﾞｰﾀB/Kﾀﾞｳﾝﾛｰﾄﾞ(集金)業務(DB流込含む)</t>
  </si>
  <si>
    <t>領収証計上DB消し込み､EYE-X計上処理</t>
  </si>
  <si>
    <t>領収証計上済分点検</t>
  </si>
  <si>
    <t>支保仮明細Access業務</t>
  </si>
  <si>
    <t>支保仮明細ﾘｽﾄﾁｪｯｸ業務</t>
  </si>
  <si>
    <t>15時_入金ﾃﾞｰﾀB/Kﾀﾞｳﾝﾛｰﾄﾞ(振込入金)</t>
  </si>
  <si>
    <t>15時_入金ﾃﾞｰﾀB/Kﾀﾞｳﾝﾛｰﾄﾞ(Access)</t>
  </si>
  <si>
    <t>ｵﾘﾅﾋﾞ着金一覧&amp;直受ﾅﾋﾞ(当日着金)</t>
  </si>
  <si>
    <t>ｵﾘﾅﾋﾞ未計上一覧&amp;直受ﾅﾋﾞ</t>
  </si>
  <si>
    <t>PDF回付作業</t>
  </si>
  <si>
    <t>計上系Wﾁｪｯｸ作業(TR用)</t>
  </si>
  <si>
    <t>申番のみ連絡発信業務</t>
  </si>
  <si>
    <t>2256ﾃﾞｰﾀDL､加工</t>
  </si>
  <si>
    <t>仮想口座割当(Access)</t>
  </si>
  <si>
    <t>仮想口座割当ﾁｪｯｸﾘｽﾄ</t>
  </si>
  <si>
    <t>仮想口座割当Wﾁｪｯｸ(TR用)</t>
  </si>
  <si>
    <t>領収証不備Access</t>
  </si>
  <si>
    <t>成立保留Access</t>
  </si>
  <si>
    <t>2Pしらゆき</t>
  </si>
  <si>
    <t>充当系不備未解消防止(Access)</t>
  </si>
  <si>
    <t>その他</t>
  </si>
  <si>
    <t>Ｅｘｃｅｌ行数</t>
    <rPh sb="5" eb="7">
      <t>ギョウスウ</t>
    </rPh>
    <phoneticPr fontId="23"/>
  </si>
  <si>
    <t>処理件数</t>
    <rPh sb="0" eb="2">
      <t>ショリ</t>
    </rPh>
    <rPh sb="2" eb="4">
      <t>ケンスウ</t>
    </rPh>
    <phoneticPr fontId="23"/>
  </si>
  <si>
    <t>件数不要</t>
    <rPh sb="0" eb="2">
      <t>ケンスウ</t>
    </rPh>
    <rPh sb="2" eb="4">
      <t>フヨウ</t>
    </rPh>
    <phoneticPr fontId="23"/>
  </si>
  <si>
    <t>クエリー数</t>
    <rPh sb="4" eb="5">
      <t>スウ</t>
    </rPh>
    <phoneticPr fontId="23"/>
  </si>
  <si>
    <t>証番単位</t>
    <rPh sb="0" eb="1">
      <t>アカシ</t>
    </rPh>
    <rPh sb="1" eb="2">
      <t>バン</t>
    </rPh>
    <rPh sb="2" eb="4">
      <t>タンイ</t>
    </rPh>
    <phoneticPr fontId="23"/>
  </si>
  <si>
    <t>クリアファイル数</t>
    <rPh sb="7" eb="8">
      <t>スウ</t>
    </rPh>
    <phoneticPr fontId="23"/>
  </si>
  <si>
    <t>封筒数</t>
    <rPh sb="0" eb="2">
      <t>フウトウ</t>
    </rPh>
    <rPh sb="2" eb="3">
      <t>スウ</t>
    </rPh>
    <phoneticPr fontId="23"/>
  </si>
  <si>
    <t>PDF数</t>
    <rPh sb="3" eb="4">
      <t>スウ</t>
    </rPh>
    <phoneticPr fontId="23"/>
  </si>
  <si>
    <t>シート数</t>
    <rPh sb="3" eb="4">
      <t>スウ</t>
    </rPh>
    <phoneticPr fontId="23"/>
  </si>
  <si>
    <t>口振依頼書数</t>
    <rPh sb="0" eb="2">
      <t>コウフリ</t>
    </rPh>
    <rPh sb="2" eb="4">
      <t>イライ</t>
    </rPh>
    <rPh sb="4" eb="5">
      <t>ショ</t>
    </rPh>
    <rPh sb="5" eb="6">
      <t>カズ</t>
    </rPh>
    <phoneticPr fontId="23"/>
  </si>
  <si>
    <t>抜取件数</t>
    <rPh sb="0" eb="2">
      <t>ヌキトリ</t>
    </rPh>
    <rPh sb="2" eb="4">
      <t>ケンスウ</t>
    </rPh>
    <phoneticPr fontId="23"/>
  </si>
  <si>
    <t>証番単位</t>
    <rPh sb="0" eb="2">
      <t>ショウバン</t>
    </rPh>
    <rPh sb="2" eb="4">
      <t>タンイ</t>
    </rPh>
    <phoneticPr fontId="23"/>
  </si>
  <si>
    <t>レコード数</t>
    <rPh sb="4" eb="5">
      <t>スウ</t>
    </rPh>
    <phoneticPr fontId="23"/>
  </si>
  <si>
    <t>口振依頼書数</t>
    <rPh sb="0" eb="2">
      <t>クチブリ</t>
    </rPh>
    <rPh sb="2" eb="5">
      <t>イライショ</t>
    </rPh>
    <rPh sb="5" eb="6">
      <t>スウ</t>
    </rPh>
    <phoneticPr fontId="23"/>
  </si>
  <si>
    <t>レター数</t>
    <rPh sb="3" eb="4">
      <t>スウ</t>
    </rPh>
    <phoneticPr fontId="23"/>
  </si>
  <si>
    <t>取得単位(クリアファイル数)</t>
    <rPh sb="0" eb="2">
      <t>シュトク</t>
    </rPh>
    <rPh sb="2" eb="4">
      <t>タンイ</t>
    </rPh>
    <rPh sb="12" eb="13">
      <t>カズ</t>
    </rPh>
    <phoneticPr fontId="23"/>
  </si>
  <si>
    <r>
      <t>取得単位(</t>
    </r>
    <r>
      <rPr>
        <sz val="10"/>
        <color rgb="FFFF0000"/>
        <rFont val="ＭＳ 明朝"/>
        <family val="1"/>
        <charset val="128"/>
      </rPr>
      <t>証券番号数</t>
    </r>
    <r>
      <rPr>
        <sz val="10"/>
        <rFont val="ＭＳ 明朝"/>
        <family val="1"/>
        <charset val="128"/>
      </rPr>
      <t>)</t>
    </r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スウ</t>
    </rPh>
    <phoneticPr fontId="23"/>
  </si>
  <si>
    <t>取得単位（証券番号数）</t>
  </si>
  <si>
    <t>取得単位(完了通知書数)</t>
    <rPh sb="0" eb="2">
      <t>シュトク</t>
    </rPh>
    <rPh sb="2" eb="4">
      <t>タンイ</t>
    </rPh>
    <rPh sb="5" eb="7">
      <t>カンリョウ</t>
    </rPh>
    <rPh sb="7" eb="10">
      <t>ツウチショ</t>
    </rPh>
    <rPh sb="10" eb="11">
      <t>カズ</t>
    </rPh>
    <phoneticPr fontId="23"/>
  </si>
  <si>
    <t>取得単位(証券番号数)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カズ</t>
    </rPh>
    <phoneticPr fontId="23"/>
  </si>
  <si>
    <t>取得単位(封筒数)</t>
    <rPh sb="0" eb="2">
      <t>シュトク</t>
    </rPh>
    <rPh sb="2" eb="4">
      <t>タンイ</t>
    </rPh>
    <rPh sb="5" eb="7">
      <t>フウトウ</t>
    </rPh>
    <rPh sb="7" eb="8">
      <t>カズ</t>
    </rPh>
    <phoneticPr fontId="23"/>
  </si>
  <si>
    <t>取得単位（証券番号数）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カズ</t>
    </rPh>
    <phoneticPr fontId="23"/>
  </si>
  <si>
    <t>取得単位（証券番号数）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スウ</t>
    </rPh>
    <phoneticPr fontId="23"/>
  </si>
  <si>
    <t>取得単位（pdf数）</t>
  </si>
  <si>
    <t>受電件数</t>
    <rPh sb="0" eb="2">
      <t>ジュデン</t>
    </rPh>
    <rPh sb="2" eb="4">
      <t>ケンスウ</t>
    </rPh>
    <phoneticPr fontId="23"/>
  </si>
  <si>
    <t>架電件数</t>
    <rPh sb="0" eb="1">
      <t>カ</t>
    </rPh>
    <rPh sb="1" eb="2">
      <t>デン</t>
    </rPh>
    <rPh sb="2" eb="4">
      <t>ケンスウ</t>
    </rPh>
    <phoneticPr fontId="23"/>
  </si>
  <si>
    <t>サンプリング数</t>
    <rPh sb="6" eb="7">
      <t>スウ</t>
    </rPh>
    <phoneticPr fontId="23"/>
  </si>
  <si>
    <t>取得単位(クリアファイル数)</t>
  </si>
  <si>
    <t>取得単位(証券番号数)</t>
    <rPh sb="5" eb="7">
      <t>ショウケン</t>
    </rPh>
    <rPh sb="7" eb="9">
      <t>バンゴウ</t>
    </rPh>
    <rPh sb="9" eb="10">
      <t>スウ</t>
    </rPh>
    <phoneticPr fontId="4"/>
  </si>
  <si>
    <t>取得単位(口振依頼書数)</t>
    <rPh sb="5" eb="7">
      <t>コウフリ</t>
    </rPh>
    <rPh sb="7" eb="10">
      <t>イライショ</t>
    </rPh>
    <rPh sb="10" eb="11">
      <t>スウ</t>
    </rPh>
    <rPh sb="11" eb="12">
      <t>マイスウ</t>
    </rPh>
    <phoneticPr fontId="4"/>
  </si>
  <si>
    <r>
      <t>取得単位(</t>
    </r>
    <r>
      <rPr>
        <sz val="10"/>
        <color rgb="FFFF0000"/>
        <rFont val="ＭＳ 明朝"/>
        <family val="1"/>
        <charset val="128"/>
      </rPr>
      <t>口振依頼書数</t>
    </r>
    <r>
      <rPr>
        <sz val="10"/>
        <rFont val="ＭＳ 明朝"/>
        <family val="1"/>
        <charset val="128"/>
      </rPr>
      <t>)</t>
    </r>
    <rPh sb="5" eb="7">
      <t>コウフリ</t>
    </rPh>
    <rPh sb="7" eb="10">
      <t>イライショ</t>
    </rPh>
    <rPh sb="10" eb="11">
      <t>スウ</t>
    </rPh>
    <phoneticPr fontId="4"/>
  </si>
  <si>
    <t>取得単位（レター数）</t>
    <rPh sb="0" eb="2">
      <t>シュトク</t>
    </rPh>
    <rPh sb="2" eb="4">
      <t>タンイ</t>
    </rPh>
    <rPh sb="8" eb="9">
      <t>スウ</t>
    </rPh>
    <phoneticPr fontId="3"/>
  </si>
  <si>
    <t>取得単位（クリアファイル数）</t>
    <rPh sb="0" eb="2">
      <t>シュトク</t>
    </rPh>
    <rPh sb="2" eb="4">
      <t>タンイ</t>
    </rPh>
    <rPh sb="12" eb="13">
      <t>スウ</t>
    </rPh>
    <phoneticPr fontId="3"/>
  </si>
  <si>
    <t>取得単位（封筒数）</t>
    <rPh sb="0" eb="2">
      <t>シュトク</t>
    </rPh>
    <rPh sb="2" eb="4">
      <t>タンイ</t>
    </rPh>
    <rPh sb="5" eb="7">
      <t>フウトウ</t>
    </rPh>
    <rPh sb="7" eb="8">
      <t>スウ</t>
    </rPh>
    <phoneticPr fontId="3"/>
  </si>
  <si>
    <t>取得単位（ｵﾝﾗｲﾝ処理ﾄｰﾀﾙﾘｽﾄ集計表枚数）</t>
    <rPh sb="0" eb="2">
      <t>シュトク</t>
    </rPh>
    <rPh sb="2" eb="4">
      <t>タンイ</t>
    </rPh>
    <rPh sb="10" eb="12">
      <t>ショリ</t>
    </rPh>
    <rPh sb="19" eb="21">
      <t>シュウケイ</t>
    </rPh>
    <rPh sb="21" eb="22">
      <t>ヒョウ</t>
    </rPh>
    <rPh sb="22" eb="24">
      <t>マイスウ</t>
    </rPh>
    <phoneticPr fontId="4"/>
  </si>
  <si>
    <t>件数不要</t>
    <rPh sb="0" eb="2">
      <t>ケンスウ</t>
    </rPh>
    <rPh sb="2" eb="4">
      <t>フヨウ</t>
    </rPh>
    <phoneticPr fontId="4"/>
  </si>
  <si>
    <t>取得単位（ＰＤＦ数）</t>
    <rPh sb="0" eb="2">
      <t>シュトク</t>
    </rPh>
    <rPh sb="2" eb="4">
      <t>タンイ</t>
    </rPh>
    <rPh sb="8" eb="9">
      <t>スウ</t>
    </rPh>
    <rPh sb="9" eb="10">
      <t>マイスウ</t>
    </rPh>
    <phoneticPr fontId="4"/>
  </si>
  <si>
    <t>レコード数</t>
    <rPh sb="4" eb="5">
      <t>スウ</t>
    </rPh>
    <phoneticPr fontId="4"/>
  </si>
  <si>
    <t>取得単位(クリアファイル数)</t>
    <rPh sb="0" eb="2">
      <t>シュトク</t>
    </rPh>
    <rPh sb="2" eb="4">
      <t>タンイ</t>
    </rPh>
    <rPh sb="12" eb="13">
      <t>カズ</t>
    </rPh>
    <phoneticPr fontId="4"/>
  </si>
  <si>
    <t>取得単位(証券番号数)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スウ</t>
    </rPh>
    <phoneticPr fontId="4"/>
  </si>
  <si>
    <t>取得単位（クリアファイル数）</t>
  </si>
  <si>
    <t>取得単位（契約者数）</t>
    <rPh sb="5" eb="8">
      <t>ケイヤクシャ</t>
    </rPh>
    <phoneticPr fontId="3"/>
  </si>
  <si>
    <t>取得単位（契約者数）</t>
  </si>
  <si>
    <t>取得単位(処理数)</t>
    <rPh sb="0" eb="2">
      <t>シュトク</t>
    </rPh>
    <rPh sb="2" eb="4">
      <t>タンイ</t>
    </rPh>
    <rPh sb="5" eb="7">
      <t>ショリ</t>
    </rPh>
    <rPh sb="7" eb="8">
      <t>カズ</t>
    </rPh>
    <phoneticPr fontId="4"/>
  </si>
  <si>
    <t>取得単位(証券番号数)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カズ</t>
    </rPh>
    <phoneticPr fontId="4"/>
  </si>
  <si>
    <t>取得単位(封筒数)</t>
    <rPh sb="0" eb="2">
      <t>シュトク</t>
    </rPh>
    <rPh sb="2" eb="4">
      <t>タンイ</t>
    </rPh>
    <rPh sb="5" eb="7">
      <t>フウトウ</t>
    </rPh>
    <rPh sb="7" eb="8">
      <t>カズ</t>
    </rPh>
    <phoneticPr fontId="4"/>
  </si>
  <si>
    <t>取得単位（証券番号数）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カズ</t>
    </rPh>
    <phoneticPr fontId="4"/>
  </si>
  <si>
    <t>取得単位（証券番号数）</t>
    <rPh sb="0" eb="2">
      <t>シュトク</t>
    </rPh>
    <rPh sb="2" eb="4">
      <t>タンイ</t>
    </rPh>
    <rPh sb="5" eb="7">
      <t>ショウケン</t>
    </rPh>
    <rPh sb="7" eb="9">
      <t>バンゴウ</t>
    </rPh>
    <rPh sb="9" eb="10">
      <t>スウ</t>
    </rPh>
    <phoneticPr fontId="4"/>
  </si>
  <si>
    <t>取得単位(申込番号)</t>
    <rPh sb="5" eb="7">
      <t>モウシコミ</t>
    </rPh>
    <rPh sb="7" eb="9">
      <t>バンゴウ</t>
    </rPh>
    <phoneticPr fontId="3"/>
  </si>
  <si>
    <t>取得単位(リスト枚数)</t>
    <rPh sb="8" eb="10">
      <t>マイスウ</t>
    </rPh>
    <phoneticPr fontId="3"/>
  </si>
  <si>
    <t>取得単位(領収書枚数)</t>
    <rPh sb="5" eb="8">
      <t>リョウシュウショ</t>
    </rPh>
    <rPh sb="8" eb="10">
      <t>マイスウ</t>
    </rPh>
    <phoneticPr fontId="3"/>
  </si>
  <si>
    <t>取得単位(ID件数)</t>
    <rPh sb="7" eb="9">
      <t>ケンスウ</t>
    </rPh>
    <phoneticPr fontId="3"/>
  </si>
  <si>
    <t>G/標準 "分/件"</t>
    <phoneticPr fontId="3"/>
  </si>
  <si>
    <t>大項目</t>
    <phoneticPr fontId="3"/>
  </si>
  <si>
    <t>取得単位(証券番号数)</t>
    <phoneticPr fontId="3"/>
  </si>
  <si>
    <t>日報</t>
    <phoneticPr fontId="3"/>
  </si>
  <si>
    <t>件数単位</t>
    <phoneticPr fontId="3"/>
  </si>
  <si>
    <t>生命業務体系該当ヶ所</t>
    <phoneticPr fontId="3"/>
  </si>
  <si>
    <t>種別,小分類（=計測項目）,時間,件数,生産性,目標値,達成率,日報,件数単位,生命業務体系該当ヶ所</t>
    <rPh sb="0" eb="2">
      <t>シュベツ</t>
    </rPh>
    <rPh sb="14" eb="16">
      <t>ジカン</t>
    </rPh>
    <rPh sb="17" eb="19">
      <t>ケンスウ</t>
    </rPh>
    <rPh sb="24" eb="27">
      <t>モクヒョウチ</t>
    </rPh>
    <rPh sb="28" eb="31">
      <t>タッセイリツ</t>
    </rPh>
    <phoneticPr fontId="3"/>
  </si>
  <si>
    <t>★[A:IVR業務]</t>
    <phoneticPr fontId="37"/>
  </si>
  <si>
    <t>★[B:住所変更業務]</t>
    <phoneticPr fontId="37"/>
  </si>
  <si>
    <t>★[C:口座不備業務]</t>
    <phoneticPr fontId="37"/>
  </si>
  <si>
    <t>★[D:更新中止業務]</t>
    <phoneticPr fontId="37"/>
  </si>
  <si>
    <t>★[E:解約業務]</t>
    <phoneticPr fontId="37"/>
  </si>
  <si>
    <t>★[F:SRｸﾛｰｽﾞ業務]</t>
    <phoneticPr fontId="37"/>
  </si>
  <si>
    <t>★[G:問合せ業務]</t>
    <phoneticPr fontId="37"/>
  </si>
  <si>
    <t>★[H:ﾓﾆﾀﾘﾝｸﾞ業務]</t>
    <phoneticPr fontId="37"/>
  </si>
  <si>
    <t>★[I:口座変更業務]</t>
    <phoneticPr fontId="37"/>
  </si>
  <si>
    <t>★[J:発送指示業務]</t>
    <phoneticPr fontId="37"/>
  </si>
  <si>
    <t>★[K:料金収納業務]</t>
    <phoneticPr fontId="37"/>
  </si>
  <si>
    <t>★[L:名変業務(LN･指代･再発行含む)]</t>
    <phoneticPr fontId="38"/>
  </si>
  <si>
    <t>★[M:ｸﾚｶ]</t>
    <phoneticPr fontId="3"/>
  </si>
  <si>
    <t>★[N:料収共通]</t>
    <phoneticPr fontId="3"/>
  </si>
  <si>
    <t>★[O:入金･計上業務]</t>
    <phoneticPr fontId="3"/>
  </si>
  <si>
    <t>★[P:返金業務]</t>
    <phoneticPr fontId="3"/>
  </si>
  <si>
    <t>★[Q:不備登録･解消業務]</t>
    <phoneticPr fontId="3"/>
  </si>
  <si>
    <t>★[R:その他]</t>
    <phoneticPr fontId="3"/>
  </si>
  <si>
    <t>[Y:]</t>
    <phoneticPr fontId="38"/>
  </si>
  <si>
    <t>[Z:]</t>
    <phoneticPr fontId="38"/>
  </si>
  <si>
    <t>[他:]</t>
    <phoneticPr fontId="38"/>
  </si>
  <si>
    <t>A:ﾃﾞｰﾀ取込･抽出･一覧作成</t>
    <phoneticPr fontId="37"/>
  </si>
  <si>
    <t>【●B1住所変更業務(ｸｴﾘｰ分)】</t>
    <phoneticPr fontId="3"/>
  </si>
  <si>
    <t>C:開封(ｶｳﾝﾄ･付箋貼り)</t>
    <phoneticPr fontId="37"/>
  </si>
  <si>
    <t>D:不備照会票作成</t>
    <phoneticPr fontId="37"/>
  </si>
  <si>
    <t>G:問合せ受電</t>
    <phoneticPr fontId="37"/>
  </si>
  <si>
    <t>H:IVR業務</t>
    <phoneticPr fontId="37"/>
  </si>
  <si>
    <t>I:開封</t>
    <phoneticPr fontId="37"/>
  </si>
  <si>
    <t>K:1P収納(ﾂｰﾙ系)</t>
    <phoneticPr fontId="37"/>
  </si>
  <si>
    <t>L.開封</t>
    <phoneticPr fontId="39"/>
  </si>
  <si>
    <t>M:不備確認(保全T依頼分)</t>
    <phoneticPr fontId="3"/>
  </si>
  <si>
    <t>N:開封(封筒開封､分類(口振･ｸﾚｶ･他))</t>
    <phoneticPr fontId="3"/>
  </si>
  <si>
    <t>朝_入金ﾃﾞｰﾀB/Kﾀﾞｳﾝﾛｰﾄﾞ(振込入金)</t>
    <phoneticPr fontId="3"/>
  </si>
  <si>
    <t>項目なし</t>
    <rPh sb="0" eb="2">
      <t>コウモク</t>
    </rPh>
    <phoneticPr fontId="3"/>
  </si>
  <si>
    <t>申番のみ連絡発信業務</t>
    <phoneticPr fontId="3"/>
  </si>
  <si>
    <t>2256ﾃﾞｰﾀDL､加工</t>
    <phoneticPr fontId="3"/>
  </si>
  <si>
    <t>日直</t>
    <phoneticPr fontId="37"/>
  </si>
  <si>
    <t>休憩</t>
    <phoneticPr fontId="3"/>
  </si>
  <si>
    <t>昼休み</t>
    <phoneticPr fontId="37"/>
  </si>
  <si>
    <t>A:SR作成</t>
    <phoneticPr fontId="37"/>
  </si>
  <si>
    <t>B1:事前準備(ｴｸｽﾎﾟｰﾄ)</t>
    <phoneticPr fontId="37"/>
  </si>
  <si>
    <t>C:一覧表作成(証番設定､ｴｸｽﾎﾟｰﾄ､ﾃﾞｰﾀ整理)</t>
    <phoneticPr fontId="37"/>
  </si>
  <si>
    <t>D:処理</t>
    <phoneticPr fontId="37"/>
  </si>
  <si>
    <t>G:問合せ架電</t>
    <phoneticPr fontId="37"/>
  </si>
  <si>
    <t>H:住所変更業務(ｸｴﾘｰ分)</t>
    <phoneticPr fontId="37"/>
  </si>
  <si>
    <t>I:到着受付(金融機関CD記入･ｽﾀﾝﾌﾟ押印･ｽﾃｰﾀｽ変更)</t>
    <phoneticPr fontId="3"/>
  </si>
  <si>
    <t>K:2P収納(ﾂｰﾙ系)</t>
    <phoneticPr fontId="37"/>
  </si>
  <si>
    <t>L.到着受付</t>
    <phoneticPr fontId="39"/>
  </si>
  <si>
    <t>M:受付</t>
    <phoneticPr fontId="3"/>
  </si>
  <si>
    <t>N:到着受付(ｼｰﾍﾞﾙ入力)</t>
    <phoneticPr fontId="3"/>
  </si>
  <si>
    <t>朝_入金ﾃﾞｰﾀ加工ﾂｰﾙ(Access)</t>
    <phoneticPr fontId="3"/>
  </si>
  <si>
    <t>仮想口座割当(Access)</t>
    <phoneticPr fontId="3"/>
  </si>
  <si>
    <t>対応票</t>
    <phoneticPr fontId="37"/>
  </si>
  <si>
    <t>Z:その他</t>
    <phoneticPr fontId="38"/>
  </si>
  <si>
    <t>A:点検(ｽﾃｰﾀｽﾁｪｯｸ)</t>
    <phoneticPr fontId="37"/>
  </si>
  <si>
    <t>B1:処理(ｸｴﾘｰ分)</t>
    <phoneticPr fontId="3"/>
  </si>
  <si>
    <t>C:抜取作業</t>
    <phoneticPr fontId="3"/>
  </si>
  <si>
    <t>D:点検</t>
    <phoneticPr fontId="37"/>
  </si>
  <si>
    <t>H:住所変更業務(連絡ｼｰﾄ分)</t>
    <phoneticPr fontId="37"/>
  </si>
  <si>
    <t>I:事前作業(ｺﾋﾟｰ･B/Kごとの仕分･ｶｳﾝﾄ)</t>
    <phoneticPr fontId="3"/>
  </si>
  <si>
    <t>K:その他</t>
    <phoneticPr fontId="3"/>
  </si>
  <si>
    <t>L.処理受付</t>
    <phoneticPr fontId="39"/>
  </si>
  <si>
    <t>M:入金案内依頼(ﾚﾀｰ･架電)</t>
    <phoneticPr fontId="3"/>
  </si>
  <si>
    <t>N:到着受付(不備戻り分のｱﾀｯﾁ)</t>
    <phoneticPr fontId="3"/>
  </si>
  <si>
    <t>朝_入金ﾃﾞｰﾀ/集金担当入出金明細一式業務(支社便へ)</t>
    <phoneticPr fontId="3"/>
  </si>
  <si>
    <t>仮想口座割当ﾁｪｯｸﾘｽﾄ</t>
    <phoneticPr fontId="3"/>
  </si>
  <si>
    <t>確認(ﾒﾝﾊﾞｰ･上長)</t>
    <phoneticPr fontId="37"/>
  </si>
  <si>
    <t>A:その他</t>
    <phoneticPr fontId="3"/>
  </si>
  <si>
    <t>B1:保留確認(ｸｴﾘｰ､支社確認)</t>
    <phoneticPr fontId="3"/>
  </si>
  <si>
    <t>C:抜取後SRｸﾛｰｽﾞ</t>
    <phoneticPr fontId="37"/>
  </si>
  <si>
    <t>D:発送(お客様発送)</t>
    <phoneticPr fontId="37"/>
  </si>
  <si>
    <t>E.不備依頼</t>
    <phoneticPr fontId="39"/>
  </si>
  <si>
    <t>H:口座不備業務</t>
    <phoneticPr fontId="37"/>
  </si>
  <si>
    <t>I:不備確認(保全T依頼分)</t>
    <phoneticPr fontId="3"/>
  </si>
  <si>
    <t>L.改姓同時解約の処理受付</t>
    <phoneticPr fontId="39"/>
  </si>
  <si>
    <t>M:受付Wﾁｪｯｸ(1日~入金処理日)</t>
    <phoneticPr fontId="3"/>
  </si>
  <si>
    <t>N:到着受付(ﾒﾓPDF添付)</t>
    <phoneticPr fontId="3"/>
  </si>
  <si>
    <t>ﾏｯﾁﾝｸﾞﾂｰﾙ･補助ﾂｰﾙ･ﾊﾞｯﾁ計上UL</t>
    <phoneticPr fontId="3"/>
  </si>
  <si>
    <t>仮想口座割当Wﾁｪｯｸ(TR用)</t>
    <phoneticPr fontId="3"/>
  </si>
  <si>
    <t>ﾓﾆﾀﾘﾝｸﾞ</t>
    <phoneticPr fontId="3"/>
  </si>
  <si>
    <t>B1:取消し</t>
    <phoneticPr fontId="3"/>
  </si>
  <si>
    <t>C:最終収入確認</t>
    <phoneticPr fontId="3"/>
  </si>
  <si>
    <t>D:発送(社内便)</t>
    <phoneticPr fontId="37"/>
  </si>
  <si>
    <t>H:更新中止業務</t>
    <phoneticPr fontId="37"/>
  </si>
  <si>
    <t>I:受付</t>
    <phoneticPr fontId="3"/>
  </si>
  <si>
    <t>L.立川戻し</t>
    <phoneticPr fontId="39"/>
  </si>
  <si>
    <t>M:受付(待ち分LPJ確認 ※入金処理日翌日)</t>
    <phoneticPr fontId="3"/>
  </si>
  <si>
    <t>ｵﾝﾗｲﾝ計上処理業務</t>
    <phoneticPr fontId="3"/>
  </si>
  <si>
    <t>領収証不備Access</t>
    <phoneticPr fontId="3"/>
  </si>
  <si>
    <t>業務整理</t>
    <phoneticPr fontId="37"/>
  </si>
  <si>
    <t>B1:点検(ｸｴﾘｰ分)</t>
    <phoneticPr fontId="3"/>
  </si>
  <si>
    <t>C:ﾃﾞｰﾀ転送作業</t>
    <phoneticPr fontId="3"/>
  </si>
  <si>
    <t>D:その他</t>
    <phoneticPr fontId="3"/>
  </si>
  <si>
    <t>H:発送指示業務(解約･料金･保全)</t>
    <phoneticPr fontId="37"/>
  </si>
  <si>
    <t>I:受付Wﾁｪｯｸ(ﾄﾚｰﾅｰ)</t>
    <phoneticPr fontId="3"/>
  </si>
  <si>
    <t>L.分室回付</t>
    <phoneticPr fontId="39"/>
  </si>
  <si>
    <t>M:受付Wﾁｪｯｸ(ﾄﾚｰﾅｰ)</t>
    <phoneticPr fontId="3"/>
  </si>
  <si>
    <t>WING名寄せ業務</t>
    <phoneticPr fontId="3"/>
  </si>
  <si>
    <t>成立保留Access</t>
    <phoneticPr fontId="3"/>
  </si>
  <si>
    <t>研修</t>
    <phoneticPr fontId="37"/>
  </si>
  <si>
    <t>B1:発送(社内便)</t>
    <phoneticPr fontId="3"/>
  </si>
  <si>
    <t>C:口振依頼書並び替え</t>
    <phoneticPr fontId="3"/>
  </si>
  <si>
    <t>H:解約業務(処理)</t>
    <phoneticPr fontId="37"/>
  </si>
  <si>
    <t>I:ｱﾀｯﾁ作業</t>
    <phoneticPr fontId="37"/>
  </si>
  <si>
    <t>L.LPJ出力</t>
    <phoneticPr fontId="39"/>
  </si>
  <si>
    <t>M:入力処理</t>
    <phoneticPr fontId="3"/>
  </si>
  <si>
    <t>振込入金自動計上結果ﾘｽﾄ(Access)</t>
    <phoneticPr fontId="3"/>
  </si>
  <si>
    <t>2Pしらゆき</t>
    <phoneticPr fontId="3"/>
  </si>
  <si>
    <t>会議</t>
    <phoneticPr fontId="37"/>
  </si>
  <si>
    <t>B1:点検(ｽﾃｰﾀｽﾁｪｯｸ)</t>
    <phoneticPr fontId="37"/>
  </si>
  <si>
    <t>C:不備ﾚﾀｰ作成</t>
    <phoneticPr fontId="3"/>
  </si>
  <si>
    <t>H:SRｸﾛｰｽﾞ処理業務(封筒件数照合)</t>
    <phoneticPr fontId="37"/>
  </si>
  <si>
    <t>I:不備照会票作成(定型)</t>
    <phoneticPr fontId="3"/>
  </si>
  <si>
    <t>L.架電依頼</t>
    <phoneticPr fontId="39"/>
  </si>
  <si>
    <t>M:入力処理(自己点検有)</t>
    <phoneticPr fontId="3"/>
  </si>
  <si>
    <t>振込入金自動計上結果ﾘｽﾄﾁｪｯｸ業務</t>
    <phoneticPr fontId="3"/>
  </si>
  <si>
    <t>充当系不備未解消防止(Access)</t>
    <phoneticPr fontId="3"/>
  </si>
  <si>
    <t>ｺｰﾙｾﾝﾀｰ会議</t>
    <phoneticPr fontId="37"/>
  </si>
  <si>
    <t>B1:その他</t>
    <phoneticPr fontId="3"/>
  </si>
  <si>
    <t>C:口振ﾏｽｷﾝｸﾞｺﾋﾟｰ</t>
    <phoneticPr fontId="3"/>
  </si>
  <si>
    <t>H:SRｸﾛｰｽﾞ処理業務</t>
    <phoneticPr fontId="3"/>
  </si>
  <si>
    <t>I:不備照会票作成(自由)</t>
    <phoneticPr fontId="3"/>
  </si>
  <si>
    <t>L.架電結果確認</t>
    <phoneticPr fontId="39"/>
  </si>
  <si>
    <t>M:取消</t>
    <phoneticPr fontId="3"/>
  </si>
  <si>
    <t>不明仮受金自動計上結果ﾘｽﾄ(Access)</t>
    <phoneticPr fontId="3"/>
  </si>
  <si>
    <t>その他</t>
    <phoneticPr fontId="3"/>
  </si>
  <si>
    <t>件数表入力･管理簿作成</t>
    <phoneticPr fontId="37"/>
  </si>
  <si>
    <t>【●B2住所変更業務(連絡ｼｰﾄ分)】</t>
    <phoneticPr fontId="3"/>
  </si>
  <si>
    <t>C:ﾚﾀｰｾｯﾄ</t>
    <phoneticPr fontId="3"/>
  </si>
  <si>
    <t>H:口座変更業務</t>
    <phoneticPr fontId="37"/>
  </si>
  <si>
    <t>I:不備照会票点検</t>
    <phoneticPr fontId="3"/>
  </si>
  <si>
    <t>L.不備依頼</t>
    <phoneticPr fontId="39"/>
  </si>
  <si>
    <t>M:点検</t>
    <phoneticPr fontId="3"/>
  </si>
  <si>
    <t>不明仮受金自動計上結果ﾘｽﾄﾁｪｯｸ業務</t>
    <phoneticPr fontId="3"/>
  </si>
  <si>
    <t>Y:その他</t>
    <phoneticPr fontId="37"/>
  </si>
  <si>
    <t>B2:開封</t>
    <phoneticPr fontId="3"/>
  </si>
  <si>
    <t>C:点検</t>
    <phoneticPr fontId="3"/>
  </si>
  <si>
    <t>I.返却･振込案内(依頼ｼｰﾄ作成･架電依頼)</t>
    <phoneticPr fontId="3"/>
  </si>
  <si>
    <t>L.不備戻りｱｸｾｽ入力</t>
    <phoneticPr fontId="39"/>
  </si>
  <si>
    <t>M:点検(入力待ち分処理後の点検)</t>
    <phoneticPr fontId="3"/>
  </si>
  <si>
    <t>不明仮受金自動計上ｴﾗｰﾘｽﾄ(Access)</t>
    <phoneticPr fontId="3"/>
  </si>
  <si>
    <t>B2:PDF(戻し分)</t>
    <phoneticPr fontId="3"/>
  </si>
  <si>
    <t>C:発送(お客様発送)</t>
    <phoneticPr fontId="3"/>
  </si>
  <si>
    <t>I:処理入力</t>
    <phoneticPr fontId="3"/>
  </si>
  <si>
    <t>L.処理入力</t>
    <phoneticPr fontId="39"/>
  </si>
  <si>
    <t>M:点検Wﾁｪｯｸ(ﾄﾚｰﾅｰ)</t>
    <phoneticPr fontId="3"/>
  </si>
  <si>
    <t>不明仮受金自動計上ｴﾗｰﾘｽﾄﾁｪｯｸ業務</t>
    <phoneticPr fontId="3"/>
  </si>
  <si>
    <t>B2:処理(連絡ｼｰﾄ分)</t>
    <phoneticPr fontId="3"/>
  </si>
  <si>
    <t>C:発送(社内便)</t>
    <phoneticPr fontId="3"/>
  </si>
  <si>
    <t>I:取消</t>
    <phoneticPr fontId="3"/>
  </si>
  <si>
    <t>L.取消し</t>
    <phoneticPr fontId="37"/>
  </si>
  <si>
    <t>M:ｵﾝﾗｲﾝ集計表入力(ｴｸｾﾙ)</t>
    <phoneticPr fontId="3"/>
  </si>
  <si>
    <t>入金ﾃﾞｰﾀB/Kﾀﾞｳﾝﾛｰﾄﾞ(集金)業務(DB流込含む)</t>
    <phoneticPr fontId="3"/>
  </si>
  <si>
    <t>B2:PDF(依頼分)</t>
    <phoneticPr fontId="3"/>
  </si>
  <si>
    <t>C:点検(ｽﾃｰﾀｽﾁｪｯｸ)</t>
    <phoneticPr fontId="3"/>
  </si>
  <si>
    <t>I:処理点検</t>
    <phoneticPr fontId="3"/>
  </si>
  <si>
    <t>L.処理点検</t>
    <phoneticPr fontId="39"/>
  </si>
  <si>
    <t>M:社内便目隠しｼｰﾙ貼付</t>
    <phoneticPr fontId="3"/>
  </si>
  <si>
    <t>領収証計上DB消し込み､EYE-X計上処理</t>
    <phoneticPr fontId="3"/>
  </si>
  <si>
    <t>B2:取消し</t>
    <phoneticPr fontId="3"/>
  </si>
  <si>
    <t>C:不備添付資料事前準備</t>
    <phoneticPr fontId="37"/>
  </si>
  <si>
    <t>I.Wﾁｪｯｸ</t>
    <phoneticPr fontId="38"/>
  </si>
  <si>
    <t>L.割印</t>
    <phoneticPr fontId="39"/>
  </si>
  <si>
    <t>M:社内便発送</t>
    <phoneticPr fontId="3"/>
  </si>
  <si>
    <t>領収証計上済分点検</t>
    <phoneticPr fontId="3"/>
  </si>
  <si>
    <t>B2:点検(連絡ｼｰﾄ分)</t>
    <phoneticPr fontId="3"/>
  </si>
  <si>
    <t>C:その他</t>
    <phoneticPr fontId="3"/>
  </si>
  <si>
    <t>I:点検Wﾁｪｯｸ(ﾄﾚｰﾅｰ)</t>
    <phoneticPr fontId="3"/>
  </si>
  <si>
    <t>L.発送(お客様発送)</t>
    <phoneticPr fontId="39"/>
  </si>
  <si>
    <t>M:不備照会票作成依頼ｼｰﾄ作成</t>
    <phoneticPr fontId="3"/>
  </si>
  <si>
    <t>支保仮明細Access業務</t>
    <phoneticPr fontId="3"/>
  </si>
  <si>
    <t>B2:発送(社内便)</t>
    <phoneticPr fontId="3"/>
  </si>
  <si>
    <t>I.不備ﾚﾀｰ作成</t>
    <phoneticPr fontId="3"/>
  </si>
  <si>
    <t>L.発送(社内便)</t>
    <phoneticPr fontId="3"/>
  </si>
  <si>
    <t>M:不備照会票作成依頼ｼｰﾄ点検(ﾄﾚｰﾅｰ)</t>
    <phoneticPr fontId="3"/>
  </si>
  <si>
    <t>支保仮明細ﾘｽﾄﾁｪｯｸ業務</t>
    <phoneticPr fontId="3"/>
  </si>
  <si>
    <t>B2:点検(ｽﾃｰﾀｽﾁｪｯｸ)</t>
    <phoneticPr fontId="37"/>
  </si>
  <si>
    <t>I:ﾚﾀｰ点検</t>
    <phoneticPr fontId="37"/>
  </si>
  <si>
    <t>L.格納準備</t>
    <phoneticPr fontId="39"/>
  </si>
  <si>
    <t>M:不備照会票作成</t>
    <phoneticPr fontId="3"/>
  </si>
  <si>
    <t>15時_入金ﾃﾞｰﾀB/Kﾀﾞｳﾝﾛｰﾄﾞ(振込入金)</t>
    <phoneticPr fontId="3"/>
  </si>
  <si>
    <t>B2:その他</t>
    <phoneticPr fontId="3"/>
  </si>
  <si>
    <t>I:ﾚﾀｰｾｯﾄ</t>
    <phoneticPr fontId="3"/>
  </si>
  <si>
    <t>L.不備作成</t>
    <phoneticPr fontId="39"/>
  </si>
  <si>
    <t>M:不備照会票点検</t>
    <phoneticPr fontId="3"/>
  </si>
  <si>
    <t>15時_入金ﾃﾞｰﾀB/Kﾀﾞｳﾝﾛｰﾄﾞ(Access)</t>
    <phoneticPr fontId="3"/>
  </si>
  <si>
    <t>I:発送(お客様発送)</t>
    <phoneticPr fontId="37"/>
  </si>
  <si>
    <t>L.不備点検</t>
    <phoneticPr fontId="39"/>
  </si>
  <si>
    <t>M:不備ﾚﾀｰ作成依頼ｼｰﾄ作成</t>
    <phoneticPr fontId="3"/>
  </si>
  <si>
    <t>ｵﾘﾅﾋﾞ着金一覧&amp;直受ﾅﾋﾞ(当日着金)</t>
    <phoneticPr fontId="3"/>
  </si>
  <si>
    <t>I:発送(社内便)</t>
    <phoneticPr fontId="3"/>
  </si>
  <si>
    <t>L.PDF</t>
    <phoneticPr fontId="3"/>
  </si>
  <si>
    <t>M:不備ﾚﾀｰ作成依頼ｼｰﾄ点検</t>
    <phoneticPr fontId="3"/>
  </si>
  <si>
    <t>ｵﾘﾅﾋﾞ未計上一覧&amp;直受ﾅﾋﾞ</t>
    <phoneticPr fontId="3"/>
  </si>
  <si>
    <t>I:ｵﾝﾗｲﾝ集計表入力(ｴｸｾﾙ)</t>
    <phoneticPr fontId="3"/>
  </si>
  <si>
    <t>L.発送準備(折込･封入･封緘)</t>
    <phoneticPr fontId="37"/>
  </si>
  <si>
    <t>M:その他</t>
    <phoneticPr fontId="3"/>
  </si>
  <si>
    <t>PDF回付作業</t>
    <phoneticPr fontId="3"/>
  </si>
  <si>
    <t>I:点検(ｽﾃｰﾀｽﾁｪｯｸ)</t>
    <phoneticPr fontId="37"/>
  </si>
  <si>
    <t>L.添付資料準備</t>
    <phoneticPr fontId="37"/>
  </si>
  <si>
    <t>M:不備添付資料事前準備</t>
    <phoneticPr fontId="3"/>
  </si>
  <si>
    <t>計上系Wﾁｪｯｸ作業(TR用)</t>
    <phoneticPr fontId="3"/>
  </si>
  <si>
    <t>I:PDF</t>
    <phoneticPr fontId="3"/>
  </si>
  <si>
    <t>L:その他</t>
    <phoneticPr fontId="3"/>
  </si>
  <si>
    <t>I:不備添付資料事前準備</t>
    <phoneticPr fontId="37"/>
  </si>
  <si>
    <t>I:その他</t>
    <phoneticPr fontId="3"/>
  </si>
  <si>
    <t>F:件数ｶｳﾝﾄ</t>
    <phoneticPr fontId="37"/>
  </si>
  <si>
    <t>F:処理</t>
    <phoneticPr fontId="37"/>
  </si>
  <si>
    <t>F:その他</t>
    <phoneticPr fontId="3"/>
  </si>
  <si>
    <t>E:開封</t>
    <phoneticPr fontId="3"/>
  </si>
  <si>
    <t>E:到着受付</t>
    <phoneticPr fontId="3"/>
  </si>
  <si>
    <t>E.不備戻りｱｸｾｽ入力</t>
    <phoneticPr fontId="39"/>
  </si>
  <si>
    <t>E:処理受付</t>
    <phoneticPr fontId="3"/>
  </si>
  <si>
    <t>E:仕分け</t>
    <phoneticPr fontId="37"/>
  </si>
  <si>
    <t>E:処理入力</t>
    <phoneticPr fontId="3"/>
  </si>
  <si>
    <t>E:取消し</t>
    <phoneticPr fontId="37"/>
  </si>
  <si>
    <t>E:発送(社内便)</t>
    <phoneticPr fontId="3"/>
  </si>
  <si>
    <t>J:解約</t>
    <phoneticPr fontId="37"/>
  </si>
  <si>
    <t>J:料金</t>
    <phoneticPr fontId="37"/>
  </si>
  <si>
    <t>J:保全</t>
    <phoneticPr fontId="37"/>
  </si>
  <si>
    <t>J:点検(ｽﾃｰﾀｽﾁｪｯｸ)</t>
    <phoneticPr fontId="37"/>
  </si>
  <si>
    <t>J:その他</t>
    <phoneticPr fontId="3"/>
  </si>
  <si>
    <t>E.立川戻し</t>
    <phoneticPr fontId="39"/>
  </si>
  <si>
    <t>E:処理点検</t>
    <phoneticPr fontId="3"/>
  </si>
  <si>
    <t>E:発送(お客様発送)</t>
    <phoneticPr fontId="3"/>
  </si>
  <si>
    <t>E:不備作成</t>
    <phoneticPr fontId="3"/>
  </si>
  <si>
    <t>E:不備点検</t>
    <phoneticPr fontId="3"/>
  </si>
  <si>
    <t>E:PDF</t>
    <phoneticPr fontId="3"/>
  </si>
  <si>
    <t>E:不備添付資料事前準備</t>
    <phoneticPr fontId="37"/>
  </si>
  <si>
    <t>E:その他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</si>
</sst>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h:mm;@"/>
    <numFmt numFmtId="177" formatCode="[mm]&quot;分&quot;"/>
    <numFmt numFmtId="178" formatCode="&quot;休&quot;&quot;憩&quot;[mm]&quot;分&quot;"/>
    <numFmt numFmtId="179" formatCode="&quot;←&quot;[mm]&quot;分&quot;"/>
    <numFmt numFmtId="180" formatCode="0&quot; 件&quot;"/>
    <numFmt numFmtId="181" formatCode="[m]\ &quot;分&quot;"/>
    <numFmt numFmtId="182" formatCode="0.0%"/>
    <numFmt numFmtId="183" formatCode="General\ &quot;件&quot;"/>
    <numFmt numFmtId="184" formatCode="[mm]"/>
    <numFmt numFmtId="185" formatCode="h:mm:ss;@"/>
    <numFmt numFmtId="186" formatCode="0.0\ %"/>
    <numFmt numFmtId="187" formatCode="General\ &quot;分/件&quot;"/>
  </numFmts>
  <fonts count="4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2"/>
      <color indexed="81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sz val="15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3"/>
      <color theme="3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5"/>
      <color theme="3"/>
      <name val="ＭＳ Ｐゴシック"/>
      <family val="2"/>
      <charset val="128"/>
      <scheme val="minor"/>
    </font>
    <font>
      <sz val="10"/>
      <color rgb="FFFF0000"/>
      <name val="ＭＳ 明朝"/>
      <family val="1"/>
      <charset val="128"/>
    </font>
    <font>
      <sz val="10"/>
      <name val="ＭＳ 明朝"/>
      <family val="1"/>
      <charset val="128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4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2" fillId="0" borderId="0"/>
  </cellStyleXfs>
  <cellXfs count="170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176" fontId="4" fillId="0" borderId="0" xfId="0" applyNumberFormat="1" applyFont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80" fontId="4" fillId="0" borderId="0" xfId="0" applyNumberFormat="1" applyFont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24" borderId="10" xfId="0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176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76" fontId="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24" borderId="12" xfId="0" applyFont="1" applyFill="1" applyBorder="1" applyAlignment="1" applyProtection="1">
      <alignment horizontal="center" vertical="center"/>
      <protection locked="0"/>
    </xf>
    <xf numFmtId="0" fontId="4" fillId="24" borderId="13" xfId="0" applyFont="1" applyFill="1" applyBorder="1" applyAlignment="1" applyProtection="1">
      <alignment horizontal="center" vertical="center"/>
      <protection locked="0"/>
    </xf>
    <xf numFmtId="20" fontId="4" fillId="0" borderId="14" xfId="0" applyNumberFormat="1" applyFont="1" applyBorder="1" applyAlignment="1" applyProtection="1">
      <alignment horizontal="center" vertical="center"/>
      <protection locked="0"/>
    </xf>
    <xf numFmtId="0" fontId="4" fillId="24" borderId="15" xfId="0" applyFont="1" applyFill="1" applyBorder="1" applyAlignment="1" applyProtection="1">
      <alignment horizontal="center" vertical="center"/>
      <protection locked="0"/>
    </xf>
    <xf numFmtId="0" fontId="4" fillId="24" borderId="16" xfId="0" applyFont="1" applyFill="1" applyBorder="1" applyAlignment="1" applyProtection="1">
      <alignment horizontal="center" vertical="center"/>
      <protection locked="0"/>
    </xf>
    <xf numFmtId="0" fontId="4" fillId="24" borderId="17" xfId="0" applyFont="1" applyFill="1" applyBorder="1" applyAlignment="1" applyProtection="1">
      <alignment horizontal="center" vertical="center"/>
      <protection locked="0"/>
    </xf>
    <xf numFmtId="179" fontId="25" fillId="0" borderId="0" xfId="0" applyNumberFormat="1" applyFont="1" applyFill="1" applyAlignment="1" applyProtection="1">
      <alignment horizontal="center" vertical="center"/>
      <protection locked="0"/>
    </xf>
    <xf numFmtId="0" fontId="4" fillId="24" borderId="14" xfId="0" applyFont="1" applyFill="1" applyBorder="1" applyAlignment="1" applyProtection="1">
      <alignment horizontal="center" vertical="center"/>
      <protection locked="0"/>
    </xf>
    <xf numFmtId="0" fontId="4" fillId="24" borderId="20" xfId="0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0" fillId="0" borderId="0" xfId="0" applyFill="1"/>
    <xf numFmtId="0" fontId="4" fillId="24" borderId="23" xfId="0" applyFont="1" applyFill="1" applyBorder="1" applyAlignment="1" applyProtection="1">
      <alignment horizontal="center" vertical="center"/>
      <protection locked="0"/>
    </xf>
    <xf numFmtId="0" fontId="4" fillId="0" borderId="14" xfId="0" applyFont="1" applyFill="1" applyBorder="1" applyAlignment="1" applyProtection="1">
      <alignment vertical="center"/>
      <protection locked="0"/>
    </xf>
    <xf numFmtId="0" fontId="4" fillId="0" borderId="20" xfId="0" applyFont="1" applyFill="1" applyBorder="1" applyAlignment="1" applyProtection="1">
      <alignment vertical="center"/>
      <protection locked="0"/>
    </xf>
    <xf numFmtId="19" fontId="4" fillId="0" borderId="0" xfId="0" applyNumberFormat="1" applyFont="1" applyFill="1" applyAlignment="1" applyProtection="1">
      <alignment vertical="center"/>
      <protection locked="0"/>
    </xf>
    <xf numFmtId="0" fontId="28" fillId="0" borderId="0" xfId="0" applyFont="1" applyFill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184" fontId="5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27" borderId="0" xfId="43" applyNumberFormat="1" applyFont="1" applyFill="1" applyAlignment="1">
      <alignment horizontal="center" vertical="center"/>
    </xf>
    <xf numFmtId="0" fontId="10" fillId="27" borderId="0" xfId="43" applyFont="1" applyFill="1" applyAlignment="1">
      <alignment horizontal="center" vertical="center"/>
    </xf>
    <xf numFmtId="176" fontId="10" fillId="27" borderId="0" xfId="43" applyNumberFormat="1" applyFont="1" applyFill="1" applyAlignment="1">
      <alignment horizontal="center" vertical="center"/>
    </xf>
    <xf numFmtId="14" fontId="0" fillId="0" borderId="0" xfId="0" applyNumberFormat="1"/>
    <xf numFmtId="185" fontId="0" fillId="0" borderId="0" xfId="0" applyNumberFormat="1"/>
    <xf numFmtId="19" fontId="0" fillId="0" borderId="0" xfId="0" applyNumberFormat="1"/>
    <xf numFmtId="14" fontId="4" fillId="0" borderId="0" xfId="0" applyNumberFormat="1" applyFont="1" applyFill="1" applyBorder="1" applyAlignment="1" applyProtection="1">
      <alignment vertical="top"/>
      <protection locked="0"/>
    </xf>
    <xf numFmtId="20" fontId="4" fillId="24" borderId="10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>
      <alignment horizontal="left" vertical="center"/>
    </xf>
    <xf numFmtId="0" fontId="26" fillId="0" borderId="0" xfId="0" applyFont="1" applyFill="1"/>
    <xf numFmtId="0" fontId="26" fillId="0" borderId="0" xfId="45" applyFont="1" applyFill="1" applyBorder="1" applyAlignment="1" applyProtection="1">
      <alignment vertical="center"/>
      <protection locked="0"/>
    </xf>
    <xf numFmtId="0" fontId="27" fillId="0" borderId="10" xfId="0" applyFont="1" applyFill="1" applyBorder="1" applyAlignment="1">
      <alignment horizontal="center" vertical="center"/>
    </xf>
    <xf numFmtId="0" fontId="27" fillId="0" borderId="26" xfId="0" applyFont="1" applyFill="1" applyBorder="1" applyAlignment="1">
      <alignment horizontal="left" vertical="center"/>
    </xf>
    <xf numFmtId="0" fontId="33" fillId="0" borderId="26" xfId="0" applyFont="1" applyFill="1" applyBorder="1" applyAlignment="1">
      <alignment horizontal="left" vertical="center"/>
    </xf>
    <xf numFmtId="0" fontId="34" fillId="0" borderId="10" xfId="0" applyFont="1" applyFill="1" applyBorder="1" applyAlignment="1">
      <alignment horizontal="left" vertical="top" wrapText="1"/>
    </xf>
    <xf numFmtId="0" fontId="0" fillId="0" borderId="10" xfId="0" applyFill="1" applyBorder="1"/>
    <xf numFmtId="0" fontId="0" fillId="0" borderId="0" xfId="0" applyFill="1" applyAlignment="1">
      <alignment vertical="center"/>
    </xf>
    <xf numFmtId="0" fontId="27" fillId="0" borderId="1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7" fillId="0" borderId="24" xfId="0" applyFont="1" applyFill="1" applyBorder="1" applyAlignment="1">
      <alignment horizontal="left" vertical="center"/>
    </xf>
    <xf numFmtId="0" fontId="0" fillId="28" borderId="10" xfId="0" applyFill="1" applyBorder="1" applyAlignment="1">
      <alignment vertical="center" wrapText="1"/>
    </xf>
    <xf numFmtId="0" fontId="27" fillId="30" borderId="10" xfId="0" applyFont="1" applyFill="1" applyBorder="1" applyAlignment="1">
      <alignment horizontal="left" vertical="center"/>
    </xf>
    <xf numFmtId="0" fontId="27" fillId="0" borderId="10" xfId="0" quotePrefix="1" applyFont="1" applyFill="1" applyBorder="1" applyAlignment="1">
      <alignment horizontal="left" vertical="center"/>
    </xf>
    <xf numFmtId="0" fontId="32" fillId="0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32" fillId="0" borderId="0" xfId="0" applyFont="1" applyFill="1"/>
    <xf numFmtId="0" fontId="35" fillId="31" borderId="12" xfId="0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20" xfId="0" applyFill="1" applyBorder="1"/>
    <xf numFmtId="0" fontId="36" fillId="0" borderId="0" xfId="0" applyFont="1" applyBorder="1" applyAlignment="1" applyProtection="1">
      <alignment vertical="center"/>
      <protection locked="0"/>
    </xf>
    <xf numFmtId="0" fontId="26" fillId="0" borderId="10" xfId="0" applyFont="1" applyFill="1" applyBorder="1" applyAlignment="1">
      <alignment horizontal="center" vertical="center"/>
    </xf>
    <xf numFmtId="178" fontId="6" fillId="0" borderId="0" xfId="0" applyNumberFormat="1" applyFont="1" applyFill="1" applyBorder="1" applyAlignment="1" applyProtection="1">
      <alignment horizontal="left" vertical="center"/>
      <protection locked="0"/>
    </xf>
    <xf numFmtId="177" fontId="4" fillId="0" borderId="18" xfId="0" applyNumberFormat="1" applyFont="1" applyFill="1" applyBorder="1" applyAlignment="1" applyProtection="1">
      <alignment horizontal="center" vertical="center" wrapText="1"/>
      <protection locked="0"/>
    </xf>
    <xf numFmtId="176" fontId="4" fillId="0" borderId="10" xfId="0" applyNumberFormat="1" applyFont="1" applyFill="1" applyBorder="1" applyAlignment="1" applyProtection="1">
      <alignment horizontal="center" vertical="center"/>
      <protection locked="0"/>
    </xf>
    <xf numFmtId="176" fontId="4" fillId="0" borderId="0" xfId="0" applyNumberFormat="1" applyFont="1" applyFill="1" applyBorder="1" applyAlignment="1" applyProtection="1">
      <alignment horizontal="center" vertical="center"/>
      <protection locked="0"/>
    </xf>
    <xf numFmtId="181" fontId="4" fillId="0" borderId="19" xfId="0" applyNumberFormat="1" applyFont="1" applyFill="1" applyBorder="1" applyAlignment="1" applyProtection="1">
      <alignment horizontal="center" vertical="center" wrapText="1"/>
      <protection locked="0"/>
    </xf>
    <xf numFmtId="178" fontId="6" fillId="0" borderId="1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Protection="1">
      <protection locked="0"/>
    </xf>
    <xf numFmtId="20" fontId="4" fillId="24" borderId="14" xfId="0" applyNumberFormat="1" applyFont="1" applyFill="1" applyBorder="1" applyAlignment="1" applyProtection="1">
      <alignment horizontal="center" vertical="center"/>
      <protection locked="0"/>
    </xf>
    <xf numFmtId="20" fontId="4" fillId="24" borderId="11" xfId="0" applyNumberFormat="1" applyFont="1" applyFill="1" applyBorder="1" applyAlignment="1" applyProtection="1">
      <alignment horizontal="center" vertical="center"/>
      <protection locked="0"/>
    </xf>
    <xf numFmtId="0" fontId="4" fillId="0" borderId="14" xfId="0" applyNumberFormat="1" applyFont="1" applyFill="1" applyBorder="1" applyAlignment="1" applyProtection="1">
      <alignment horizontal="center" vertical="center"/>
      <protection locked="0"/>
    </xf>
    <xf numFmtId="183" fontId="29" fillId="0" borderId="0" xfId="0" applyNumberFormat="1" applyFont="1" applyFill="1" applyBorder="1" applyProtection="1">
      <protection locked="0"/>
    </xf>
    <xf numFmtId="183" fontId="0" fillId="0" borderId="0" xfId="0" applyNumberFormat="1" applyFill="1" applyBorder="1" applyProtection="1">
      <protection locked="0"/>
    </xf>
    <xf numFmtId="0" fontId="4" fillId="0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19" fontId="0" fillId="0" borderId="0" xfId="0" applyNumberFormat="1" applyFill="1"/>
    <xf numFmtId="0" fontId="34" fillId="0" borderId="0" xfId="0" applyFont="1" applyFill="1" applyAlignment="1">
      <alignment horizontal="left" vertical="top"/>
    </xf>
    <xf numFmtId="0" fontId="4" fillId="0" borderId="17" xfId="0" applyNumberFormat="1" applyFont="1" applyFill="1" applyBorder="1" applyAlignment="1" applyProtection="1">
      <alignment horizontal="center" vertical="center"/>
      <protection locked="0"/>
    </xf>
    <xf numFmtId="182" fontId="4" fillId="0" borderId="10" xfId="0" applyNumberFormat="1" applyFont="1" applyFill="1" applyBorder="1" applyAlignment="1" applyProtection="1">
      <alignment horizontal="center" vertical="center"/>
      <protection locked="0"/>
    </xf>
    <xf numFmtId="0" fontId="27" fillId="35" borderId="10" xfId="0" applyFont="1" applyFill="1" applyBorder="1" applyAlignment="1">
      <alignment horizontal="left" vertical="center"/>
    </xf>
    <xf numFmtId="0" fontId="27" fillId="32" borderId="10" xfId="0" applyFont="1" applyFill="1" applyBorder="1" applyAlignment="1">
      <alignment horizontal="left" vertical="center"/>
    </xf>
    <xf numFmtId="0" fontId="27" fillId="36" borderId="10" xfId="0" applyFont="1" applyFill="1" applyBorder="1" applyAlignment="1">
      <alignment horizontal="left" vertical="center"/>
    </xf>
    <xf numFmtId="0" fontId="27" fillId="37" borderId="10" xfId="0" applyFont="1" applyFill="1" applyBorder="1" applyAlignment="1">
      <alignment horizontal="left" vertical="center"/>
    </xf>
    <xf numFmtId="0" fontId="27" fillId="38" borderId="10" xfId="0" applyFont="1" applyFill="1" applyBorder="1" applyAlignment="1">
      <alignment horizontal="left" vertical="center"/>
    </xf>
    <xf numFmtId="0" fontId="27" fillId="33" borderId="10" xfId="0" applyFont="1" applyFill="1" applyBorder="1" applyAlignment="1">
      <alignment horizontal="left" vertical="center"/>
    </xf>
    <xf numFmtId="0" fontId="0" fillId="39" borderId="10" xfId="0" applyFill="1" applyBorder="1" applyAlignment="1">
      <alignment vertical="center" wrapText="1"/>
    </xf>
    <xf numFmtId="0" fontId="4" fillId="0" borderId="23" xfId="0" applyNumberFormat="1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vertical="center"/>
    </xf>
    <xf numFmtId="0" fontId="0" fillId="40" borderId="10" xfId="0" applyFill="1" applyBorder="1"/>
    <xf numFmtId="0" fontId="29" fillId="35" borderId="10" xfId="0" applyFont="1" applyFill="1" applyBorder="1"/>
    <xf numFmtId="181" fontId="29" fillId="35" borderId="10" xfId="0" applyNumberFormat="1" applyFont="1" applyFill="1" applyBorder="1"/>
    <xf numFmtId="183" fontId="29" fillId="35" borderId="10" xfId="0" applyNumberFormat="1" applyFont="1" applyFill="1" applyBorder="1"/>
    <xf numFmtId="0" fontId="0" fillId="35" borderId="10" xfId="0" applyFill="1" applyBorder="1"/>
    <xf numFmtId="181" fontId="0" fillId="35" borderId="10" xfId="0" applyNumberFormat="1" applyFill="1" applyBorder="1"/>
    <xf numFmtId="183" fontId="0" fillId="35" borderId="10" xfId="0" applyNumberFormat="1" applyFill="1" applyBorder="1"/>
    <xf numFmtId="0" fontId="0" fillId="34" borderId="10" xfId="0" applyFill="1" applyBorder="1"/>
    <xf numFmtId="0" fontId="0" fillId="0" borderId="10" xfId="0" applyBorder="1" applyAlignment="1">
      <alignment horizontal="left" indent="1"/>
    </xf>
    <xf numFmtId="181" fontId="0" fillId="0" borderId="10" xfId="0" applyNumberFormat="1" applyBorder="1"/>
    <xf numFmtId="183" fontId="0" fillId="0" borderId="10" xfId="0" applyNumberFormat="1" applyBorder="1"/>
    <xf numFmtId="0" fontId="0" fillId="0" borderId="10" xfId="0" applyBorder="1"/>
    <xf numFmtId="186" fontId="0" fillId="0" borderId="10" xfId="0" applyNumberFormat="1" applyBorder="1"/>
    <xf numFmtId="0" fontId="29" fillId="38" borderId="10" xfId="0" applyFont="1" applyFill="1" applyBorder="1"/>
    <xf numFmtId="181" fontId="29" fillId="38" borderId="10" xfId="0" applyNumberFormat="1" applyFont="1" applyFill="1" applyBorder="1"/>
    <xf numFmtId="0" fontId="0" fillId="38" borderId="10" xfId="0" applyFill="1" applyBorder="1"/>
    <xf numFmtId="181" fontId="0" fillId="38" borderId="10" xfId="0" applyNumberFormat="1" applyFill="1" applyBorder="1"/>
    <xf numFmtId="0" fontId="0" fillId="41" borderId="10" xfId="0" applyFill="1" applyBorder="1"/>
    <xf numFmtId="0" fontId="29" fillId="32" borderId="10" xfId="0" applyFont="1" applyFill="1" applyBorder="1"/>
    <xf numFmtId="181" fontId="29" fillId="32" borderId="10" xfId="0" applyNumberFormat="1" applyFont="1" applyFill="1" applyBorder="1"/>
    <xf numFmtId="0" fontId="0" fillId="32" borderId="10" xfId="0" applyFill="1" applyBorder="1"/>
    <xf numFmtId="181" fontId="0" fillId="32" borderId="10" xfId="0" applyNumberFormat="1" applyFill="1" applyBorder="1"/>
    <xf numFmtId="0" fontId="29" fillId="37" borderId="10" xfId="0" applyFont="1" applyFill="1" applyBorder="1"/>
    <xf numFmtId="181" fontId="29" fillId="37" borderId="10" xfId="0" applyNumberFormat="1" applyFont="1" applyFill="1" applyBorder="1"/>
    <xf numFmtId="0" fontId="0" fillId="37" borderId="10" xfId="0" applyFill="1" applyBorder="1"/>
    <xf numFmtId="181" fontId="0" fillId="37" borderId="10" xfId="0" applyNumberFormat="1" applyFill="1" applyBorder="1"/>
    <xf numFmtId="181" fontId="0" fillId="34" borderId="10" xfId="0" applyNumberFormat="1" applyFill="1" applyBorder="1"/>
    <xf numFmtId="183" fontId="0" fillId="34" borderId="10" xfId="0" applyNumberFormat="1" applyFill="1" applyBorder="1"/>
    <xf numFmtId="0" fontId="0" fillId="42" borderId="30" xfId="0" applyFill="1" applyBorder="1" applyAlignment="1">
      <alignment vertical="center"/>
    </xf>
    <xf numFmtId="0" fontId="0" fillId="38" borderId="30" xfId="0" applyFill="1" applyBorder="1" applyAlignment="1">
      <alignment vertical="center"/>
    </xf>
    <xf numFmtId="0" fontId="0" fillId="43" borderId="30" xfId="0" applyFill="1" applyBorder="1" applyAlignment="1">
      <alignment vertical="center"/>
    </xf>
    <xf numFmtId="0" fontId="0" fillId="44" borderId="30" xfId="0" applyFill="1" applyBorder="1" applyAlignment="1">
      <alignment vertical="center"/>
    </xf>
    <xf numFmtId="0" fontId="36" fillId="42" borderId="31" xfId="45" applyFont="1" applyFill="1" applyBorder="1" applyAlignment="1" applyProtection="1">
      <alignment horizontal="center" vertical="center"/>
      <protection locked="0"/>
    </xf>
    <xf numFmtId="0" fontId="36" fillId="0" borderId="14" xfId="0" applyFont="1" applyFill="1" applyBorder="1" applyAlignment="1">
      <alignment horizontal="left" vertical="top"/>
    </xf>
    <xf numFmtId="0" fontId="36" fillId="0" borderId="30" xfId="0" applyFont="1" applyBorder="1" applyAlignment="1" applyProtection="1">
      <alignment vertical="center"/>
      <protection locked="0"/>
    </xf>
    <xf numFmtId="0" fontId="0" fillId="33" borderId="14" xfId="0" applyFill="1" applyBorder="1" applyAlignment="1">
      <alignment vertical="center" wrapText="1"/>
    </xf>
    <xf numFmtId="0" fontId="36" fillId="0" borderId="11" xfId="0" applyFont="1" applyBorder="1" applyAlignment="1" applyProtection="1">
      <alignment vertical="center"/>
      <protection locked="0"/>
    </xf>
    <xf numFmtId="0" fontId="36" fillId="33" borderId="30" xfId="45" applyFont="1" applyFill="1" applyBorder="1" applyAlignment="1" applyProtection="1">
      <alignment vertical="center"/>
      <protection locked="0"/>
    </xf>
    <xf numFmtId="0" fontId="36" fillId="0" borderId="14" xfId="0" applyFont="1" applyFill="1" applyBorder="1" applyAlignment="1">
      <alignment vertical="center" wrapText="1"/>
    </xf>
    <xf numFmtId="0" fontId="36" fillId="0" borderId="14" xfId="0" applyFont="1" applyFill="1" applyBorder="1" applyAlignment="1" applyProtection="1">
      <alignment vertical="center"/>
      <protection locked="0"/>
    </xf>
    <xf numFmtId="0" fontId="0" fillId="33" borderId="0" xfId="0" applyFill="1"/>
    <xf numFmtId="0" fontId="0" fillId="33" borderId="14" xfId="0" applyFill="1" applyBorder="1"/>
    <xf numFmtId="0" fontId="0" fillId="33" borderId="0" xfId="0" applyFill="1" applyBorder="1"/>
    <xf numFmtId="0" fontId="36" fillId="0" borderId="14" xfId="45" applyFont="1" applyFill="1" applyBorder="1" applyAlignment="1" applyProtection="1">
      <alignment vertical="center"/>
      <protection locked="0"/>
    </xf>
    <xf numFmtId="0" fontId="36" fillId="33" borderId="14" xfId="45" applyFont="1" applyFill="1" applyBorder="1" applyAlignment="1" applyProtection="1">
      <alignment vertical="center"/>
      <protection locked="0"/>
    </xf>
    <xf numFmtId="0" fontId="36" fillId="33" borderId="11" xfId="0" applyFont="1" applyFill="1" applyBorder="1" applyAlignment="1" applyProtection="1">
      <alignment vertical="center"/>
      <protection locked="0"/>
    </xf>
    <xf numFmtId="0" fontId="36" fillId="33" borderId="14" xfId="0" applyFont="1" applyFill="1" applyBorder="1" applyAlignment="1" applyProtection="1">
      <alignment vertical="center"/>
      <protection locked="0"/>
    </xf>
    <xf numFmtId="0" fontId="36" fillId="33" borderId="14" xfId="0" applyFont="1" applyFill="1" applyBorder="1" applyAlignment="1">
      <alignment horizontal="left" vertical="top"/>
    </xf>
    <xf numFmtId="0" fontId="36" fillId="33" borderId="14" xfId="0" applyFont="1" applyFill="1" applyBorder="1"/>
    <xf numFmtId="0" fontId="0" fillId="28" borderId="10" xfId="0" applyFill="1" applyBorder="1" applyAlignment="1">
      <alignment horizontal="left" indent="1"/>
    </xf>
    <xf numFmtId="181" fontId="0" fillId="28" borderId="10" xfId="0" applyNumberFormat="1" applyFill="1" applyBorder="1"/>
    <xf numFmtId="0" fontId="0" fillId="28" borderId="10" xfId="0" applyFill="1" applyBorder="1"/>
    <xf numFmtId="0" fontId="0" fillId="33" borderId="10" xfId="0" applyFill="1" applyBorder="1"/>
    <xf numFmtId="0" fontId="0" fillId="0" borderId="10" xfId="0" applyBorder="1" applyProtection="1">
      <protection locked="0"/>
    </xf>
    <xf numFmtId="0" fontId="0" fillId="45" borderId="10" xfId="0" applyFill="1" applyBorder="1"/>
    <xf numFmtId="187" fontId="0" fillId="0" borderId="10" xfId="0" applyNumberFormat="1" applyBorder="1"/>
    <xf numFmtId="0" fontId="26" fillId="38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2" borderId="10" xfId="0" applyFont="1" applyFill="1" applyBorder="1" applyAlignment="1">
      <alignment horizontal="center" vertical="center"/>
    </xf>
    <xf numFmtId="0" fontId="26" fillId="37" borderId="10" xfId="0" applyFont="1" applyFill="1" applyBorder="1" applyAlignment="1">
      <alignment horizontal="center" vertical="center"/>
    </xf>
    <xf numFmtId="0" fontId="4" fillId="25" borderId="10" xfId="0" applyFont="1" applyFill="1" applyBorder="1" applyAlignment="1" applyProtection="1">
      <alignment horizontal="center" vertical="center"/>
      <protection locked="0"/>
    </xf>
    <xf numFmtId="0" fontId="0" fillId="26" borderId="12" xfId="0" applyFont="1" applyFill="1" applyBorder="1" applyAlignment="1" applyProtection="1">
      <alignment horizontal="center" vertical="center"/>
      <protection locked="0"/>
    </xf>
    <xf numFmtId="0" fontId="0" fillId="26" borderId="25" xfId="0" applyFont="1" applyFill="1" applyBorder="1" applyAlignment="1" applyProtection="1">
      <alignment horizontal="center" vertical="center"/>
      <protection locked="0"/>
    </xf>
    <xf numFmtId="0" fontId="0" fillId="26" borderId="24" xfId="0" applyFont="1" applyFill="1" applyBorder="1" applyAlignment="1" applyProtection="1">
      <alignment horizontal="center" vertical="center"/>
      <protection locked="0"/>
    </xf>
    <xf numFmtId="14" fontId="27" fillId="0" borderId="12" xfId="0" applyNumberFormat="1" applyFont="1" applyFill="1" applyBorder="1" applyAlignment="1" applyProtection="1">
      <alignment horizontal="center" vertical="center"/>
      <protection locked="0"/>
    </xf>
    <xf numFmtId="14" fontId="27" fillId="0" borderId="24" xfId="0" applyNumberFormat="1" applyFont="1" applyFill="1" applyBorder="1" applyAlignment="1" applyProtection="1">
      <alignment horizontal="center" vertical="center"/>
      <protection locked="0"/>
    </xf>
    <xf numFmtId="0" fontId="4" fillId="24" borderId="21" xfId="0" applyFont="1" applyFill="1" applyBorder="1" applyAlignment="1" applyProtection="1">
      <alignment horizontal="center" vertical="center"/>
      <protection locked="0"/>
    </xf>
    <xf numFmtId="0" fontId="4" fillId="24" borderId="18" xfId="0" applyFont="1" applyFill="1" applyBorder="1" applyAlignment="1" applyProtection="1">
      <alignment horizontal="center" vertical="center"/>
      <protection locked="0"/>
    </xf>
    <xf numFmtId="0" fontId="4" fillId="24" borderId="22" xfId="0" applyFont="1" applyFill="1" applyBorder="1" applyAlignment="1" applyProtection="1">
      <alignment horizontal="center" vertical="center"/>
      <protection locked="0"/>
    </xf>
    <xf numFmtId="0" fontId="4" fillId="24" borderId="19" xfId="0" applyFont="1" applyFill="1" applyBorder="1" applyAlignment="1" applyProtection="1">
      <alignment horizontal="center" vertical="center"/>
      <protection locked="0"/>
    </xf>
    <xf numFmtId="0" fontId="26" fillId="35" borderId="10" xfId="0" applyFont="1" applyFill="1" applyBorder="1" applyAlignment="1">
      <alignment horizontal="center" vertical="center"/>
    </xf>
    <xf numFmtId="0" fontId="35" fillId="29" borderId="28" xfId="0" applyFont="1" applyFill="1" applyBorder="1" applyAlignment="1">
      <alignment horizontal="center" vertical="center"/>
    </xf>
    <xf numFmtId="0" fontId="35" fillId="29" borderId="17" xfId="0" applyFont="1" applyFill="1" applyBorder="1" applyAlignment="1">
      <alignment horizontal="center" vertical="center"/>
    </xf>
    <xf numFmtId="0" fontId="35" fillId="29" borderId="29" xfId="0" applyFont="1" applyFill="1" applyBorder="1" applyAlignment="1">
      <alignment horizontal="center" vertical="center"/>
    </xf>
    <xf numFmtId="0" fontId="26" fillId="0" borderId="27" xfId="0" applyFont="1" applyFill="1" applyBorder="1" applyAlignment="1">
      <alignment horizontal="center" vertical="center"/>
    </xf>
    <xf numFmtId="0" fontId="26" fillId="0" borderId="26" xfId="0" applyFont="1" applyFill="1" applyBorder="1" applyAlignment="1">
      <alignment horizontal="center" vertical="center"/>
    </xf>
    <xf numFmtId="0" fontId="26" fillId="0" borderId="10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left" vertical="top" wrapText="1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標準 2" xfId="42"/>
    <cellStyle name="標準 2 2" xfId="43"/>
    <cellStyle name="標準 3" xfId="44"/>
    <cellStyle name="標準_債権管理Ｔ" xfId="45"/>
    <cellStyle name="良い" xfId="41" builtinId="26" customBuiltin="1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9966FF"/>
      <color rgb="FFFF9933"/>
      <color rgb="FFFF7C80"/>
      <color rgb="FFFFFF66"/>
      <color rgb="FF33CC33"/>
      <color rgb="FF009900"/>
      <color rgb="FF99FF99"/>
      <color rgb="FF008000"/>
      <color rgb="FF99FF33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76200</xdr:rowOff>
        </xdr:from>
        <xdr:to>
          <xdr:col>11</xdr:col>
          <xdr:colOff>1181100</xdr:colOff>
          <xdr:row>2</xdr:row>
          <xdr:rowOff>0</xdr:rowOff>
        </xdr:to>
        <xdr:sp macro="" textlink="">
          <xdr:nvSpPr>
            <xdr:cNvPr id="115853" name="CommandButton1" hidden="1">
              <a:extLst>
                <a:ext uri="{63B3BB69-23CF-44E3-9099-C40C66FF867C}">
                  <a14:compatExt spid="_x0000_s11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104775</xdr:rowOff>
        </xdr:from>
        <xdr:to>
          <xdr:col>9</xdr:col>
          <xdr:colOff>0</xdr:colOff>
          <xdr:row>5</xdr:row>
          <xdr:rowOff>114300</xdr:rowOff>
        </xdr:to>
        <xdr:sp macro="" textlink="">
          <xdr:nvSpPr>
            <xdr:cNvPr id="115856" name="CommandButton2" hidden="1">
              <a:extLst>
                <a:ext uri="{63B3BB69-23CF-44E3-9099-C40C66FF867C}">
                  <a14:compatExt spid="_x0000_s11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9525</xdr:colOff>
          <xdr:row>8</xdr:row>
          <xdr:rowOff>38100</xdr:rowOff>
        </xdr:to>
        <xdr:sp macro="" textlink="">
          <xdr:nvSpPr>
            <xdr:cNvPr id="115858" name="CommandButton3" hidden="1">
              <a:extLst>
                <a:ext uri="{63B3BB69-23CF-44E3-9099-C40C66FF867C}">
                  <a14:compatExt spid="_x0000_s11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115981" name="CommandButton4" hidden="1">
              <a:extLst>
                <a:ext uri="{63B3BB69-23CF-44E3-9099-C40C66FF867C}">
                  <a14:compatExt spid="_x0000_s115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2466975</xdr:colOff>
          <xdr:row>3</xdr:row>
          <xdr:rowOff>0</xdr:rowOff>
        </xdr:to>
        <xdr:sp macro="" textlink="">
          <xdr:nvSpPr>
            <xdr:cNvPr id="118785" name="CommandButton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2466975</xdr:colOff>
          <xdr:row>7</xdr:row>
          <xdr:rowOff>0</xdr:rowOff>
        </xdr:to>
        <xdr:sp macro="" textlink="">
          <xdr:nvSpPr>
            <xdr:cNvPr id="118786" name="CommandButton2" hidden="1">
              <a:extLst>
                <a:ext uri="{63B3BB69-23CF-44E3-9099-C40C66FF867C}">
                  <a14:compatExt spid="_x0000_s11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2466975</xdr:colOff>
          <xdr:row>9</xdr:row>
          <xdr:rowOff>0</xdr:rowOff>
        </xdr:to>
        <xdr:sp macro="" textlink="">
          <xdr:nvSpPr>
            <xdr:cNvPr id="118787" name="CommandButton3" hidden="1">
              <a:extLst>
                <a:ext uri="{63B3BB69-23CF-44E3-9099-C40C66FF867C}">
                  <a14:compatExt spid="_x0000_s11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2466975</xdr:colOff>
          <xdr:row>11</xdr:row>
          <xdr:rowOff>0</xdr:rowOff>
        </xdr:to>
        <xdr:sp macro="" textlink="">
          <xdr:nvSpPr>
            <xdr:cNvPr id="118788" name="CommandButton4" hidden="1">
              <a:extLst>
                <a:ext uri="{63B3BB69-23CF-44E3-9099-C40C66FF867C}">
                  <a14:compatExt spid="_x0000_s118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2466975</xdr:colOff>
          <xdr:row>5</xdr:row>
          <xdr:rowOff>0</xdr:rowOff>
        </xdr:to>
        <xdr:sp macro="" textlink="">
          <xdr:nvSpPr>
            <xdr:cNvPr id="118789" name="CommandButton5" hidden="1">
              <a:extLst>
                <a:ext uri="{63B3BB69-23CF-44E3-9099-C40C66FF867C}">
                  <a14:compatExt spid="_x0000_s118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2466975</xdr:colOff>
          <xdr:row>13</xdr:row>
          <xdr:rowOff>0</xdr:rowOff>
        </xdr:to>
        <xdr:sp macro="" textlink="">
          <xdr:nvSpPr>
            <xdr:cNvPr id="118790" name="CommandButton6" hidden="1">
              <a:extLst>
                <a:ext uri="{63B3BB69-23CF-44E3-9099-C40C66FF867C}">
                  <a14:compatExt spid="_x0000_s118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42021528/Documents/&#20316;&#26989;/20131021_&#20462;&#27491;/1.&#35336;&#28204;/&#26368;&#26032;/&#9733;&#9733;&#26412;&#35336;&#28204;&#12471;&#12540;&#12488;&#65288;&#30064;&#35531;G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42020316/AppData/Local/Temp/lza02448/20131024_&#26989;&#21209;&#35336;&#28204;&#34920;/&#9733;&#9733;&#26412;&#35336;&#28204;&#12471;&#12540;&#12488;&#65288;&#30064;&#35531;G&#65289;_&#12501;&#12457;&#12540;&#12512;&#12486;&#12473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計測"/>
      <sheetName val="カテゴリ"/>
      <sheetName val="全データ"/>
      <sheetName val="24"/>
      <sheetName val="22"/>
      <sheetName val="14"/>
    </sheetNames>
    <sheetDataSet>
      <sheetData sheetId="0" refreshError="1"/>
      <sheetData sheetId="1">
        <row r="4">
          <cell r="I4" t="str">
            <v>★［A：口座振替業務]</v>
          </cell>
          <cell r="J4">
            <v>1</v>
          </cell>
        </row>
        <row r="5">
          <cell r="I5" t="str">
            <v>　口振（受付）</v>
          </cell>
          <cell r="J5">
            <v>2</v>
          </cell>
        </row>
        <row r="6">
          <cell r="I6" t="str">
            <v>　口振（処理）</v>
          </cell>
          <cell r="J6">
            <v>3</v>
          </cell>
        </row>
        <row r="7">
          <cell r="I7" t="str">
            <v>　A：払込変更＋口振（処理）</v>
          </cell>
          <cell r="J7">
            <v>4</v>
          </cell>
        </row>
        <row r="8">
          <cell r="I8" t="str">
            <v>　口振（点検）</v>
          </cell>
          <cell r="J8">
            <v>5</v>
          </cell>
        </row>
        <row r="9">
          <cell r="I9" t="str">
            <v>　A：払込変更＋口振（点検）</v>
          </cell>
          <cell r="J9">
            <v>6</v>
          </cell>
        </row>
        <row r="10">
          <cell r="I10" t="str">
            <v>　口座不備対応</v>
          </cell>
          <cell r="J10">
            <v>7</v>
          </cell>
        </row>
        <row r="11">
          <cell r="I11" t="str">
            <v>★［B：クレカ業務］</v>
          </cell>
          <cell r="J11">
            <v>8</v>
          </cell>
        </row>
        <row r="12">
          <cell r="I12" t="str">
            <v>　クレカ（受付）</v>
          </cell>
          <cell r="J12">
            <v>9</v>
          </cell>
        </row>
        <row r="13">
          <cell r="I13" t="str">
            <v>　クレカ(処理)</v>
          </cell>
          <cell r="J13">
            <v>10</v>
          </cell>
        </row>
        <row r="14">
          <cell r="I14" t="str">
            <v>　B：払込変更＋クレカ(処理)</v>
          </cell>
          <cell r="J14">
            <v>11</v>
          </cell>
        </row>
        <row r="15">
          <cell r="I15" t="str">
            <v>　クレカ（点検）</v>
          </cell>
          <cell r="J15">
            <v>12</v>
          </cell>
        </row>
        <row r="16">
          <cell r="I16" t="str">
            <v>　B：払込変更＋クレカ（点検）</v>
          </cell>
          <cell r="J16">
            <v>13</v>
          </cell>
        </row>
        <row r="17">
          <cell r="I17" t="str">
            <v>　カード決裁結果確認業務</v>
          </cell>
          <cell r="J17">
            <v>14</v>
          </cell>
        </row>
        <row r="18">
          <cell r="I18" t="str">
            <v>★［Ｃ：払込変更業務］</v>
          </cell>
          <cell r="J18">
            <v>15</v>
          </cell>
        </row>
        <row r="19">
          <cell r="I19" t="str">
            <v>　払込変更（受付）</v>
          </cell>
          <cell r="J19">
            <v>16</v>
          </cell>
        </row>
        <row r="20">
          <cell r="I20" t="str">
            <v>　払込変更（処理）</v>
          </cell>
          <cell r="J20">
            <v>17</v>
          </cell>
        </row>
        <row r="21">
          <cell r="I21" t="str">
            <v>　払込変更（点検）</v>
          </cell>
          <cell r="J21">
            <v>18</v>
          </cell>
        </row>
        <row r="22">
          <cell r="I22" t="str">
            <v>　払込変更（承認）</v>
          </cell>
          <cell r="J22">
            <v>19</v>
          </cell>
        </row>
        <row r="23">
          <cell r="I23" t="str">
            <v>★［Ｄ：複合（払変+α）業務］</v>
          </cell>
          <cell r="J23">
            <v>20</v>
          </cell>
        </row>
        <row r="24">
          <cell r="I24" t="str">
            <v>　複合（受付）</v>
          </cell>
          <cell r="J24">
            <v>21</v>
          </cell>
        </row>
        <row r="25">
          <cell r="I25" t="str">
            <v>　D：払込変更＋口振（処理）</v>
          </cell>
          <cell r="J25">
            <v>22</v>
          </cell>
        </row>
        <row r="26">
          <cell r="I26" t="str">
            <v>　D：払込変更＋クレカ(処理)</v>
          </cell>
          <cell r="J26">
            <v>23</v>
          </cell>
        </row>
        <row r="27">
          <cell r="I27" t="str">
            <v>　D：払込変更＋口振（点検）</v>
          </cell>
          <cell r="J27">
            <v>24</v>
          </cell>
        </row>
        <row r="28">
          <cell r="I28" t="str">
            <v>　D：払込変更＋クレカ（点検）</v>
          </cell>
          <cell r="J28">
            <v>25</v>
          </cell>
        </row>
        <row r="29">
          <cell r="I29" t="str">
            <v>　D：払込変更＋口振（承認）</v>
          </cell>
          <cell r="J29">
            <v>26</v>
          </cell>
        </row>
        <row r="30">
          <cell r="I30" t="str">
            <v>　D：払込変更＋クレカ（承認）</v>
          </cell>
          <cell r="J30">
            <v>27</v>
          </cell>
        </row>
        <row r="31">
          <cell r="I31" t="str">
            <v>★［Ｅ：共通業務（派遣）］</v>
          </cell>
          <cell r="J31">
            <v>28</v>
          </cell>
        </row>
        <row r="32">
          <cell r="I32" t="str">
            <v>　不備照会作成　（作成依頼シート有）</v>
          </cell>
          <cell r="J32">
            <v>29</v>
          </cell>
        </row>
        <row r="33">
          <cell r="I33" t="str">
            <v>　不備照会作成　（作成依頼シート無）</v>
          </cell>
          <cell r="J33">
            <v>30</v>
          </cell>
        </row>
        <row r="34">
          <cell r="I34" t="str">
            <v>　不備照会承認</v>
          </cell>
          <cell r="J34">
            <v>31</v>
          </cell>
        </row>
        <row r="35">
          <cell r="I35" t="str">
            <v>　不備回答受付・内容確認</v>
          </cell>
          <cell r="J35">
            <v>32</v>
          </cell>
        </row>
        <row r="36">
          <cell r="I36" t="str">
            <v>　戻り郵便対応</v>
          </cell>
          <cell r="J36">
            <v>33</v>
          </cell>
        </row>
        <row r="37">
          <cell r="I37" t="str">
            <v>　長期不備フォロー対応（直送分）</v>
          </cell>
          <cell r="J37">
            <v>34</v>
          </cell>
        </row>
        <row r="38">
          <cell r="I38" t="str">
            <v>　長期不備フォロー対応（拠点分）※ＴｏＤｏ</v>
          </cell>
          <cell r="J38">
            <v>35</v>
          </cell>
        </row>
        <row r="39">
          <cell r="I39" t="str">
            <v>　（直送分）不備戻り対応</v>
          </cell>
          <cell r="J39">
            <v>36</v>
          </cell>
        </row>
        <row r="40">
          <cell r="I40" t="str">
            <v>　2P入金予定報告の公開（ＤＢ入力）</v>
          </cell>
          <cell r="J40">
            <v>37</v>
          </cell>
        </row>
        <row r="41">
          <cell r="I41" t="str">
            <v>　昼便仕分け・件数入力</v>
          </cell>
          <cell r="J41">
            <v>38</v>
          </cell>
        </row>
        <row r="42">
          <cell r="I42" t="str">
            <v>　夕方便仕分け・件数入力</v>
          </cell>
          <cell r="J42">
            <v>39</v>
          </cell>
        </row>
        <row r="43">
          <cell r="I43" t="str">
            <v>　処理件数確認（最終）</v>
          </cell>
          <cell r="J43">
            <v>40</v>
          </cell>
        </row>
        <row r="44">
          <cell r="I44" t="str">
            <v>　保管業務（ファイリング含む）</v>
          </cell>
          <cell r="J44">
            <v>41</v>
          </cell>
        </row>
        <row r="45">
          <cell r="I45" t="str">
            <v>　５クラス配布（部共通/隔週担当）</v>
          </cell>
          <cell r="J45">
            <v>42</v>
          </cell>
        </row>
        <row r="46">
          <cell r="I46" t="str">
            <v>　庶務（書類の処理にかかわるもの)</v>
          </cell>
          <cell r="J46">
            <v>43</v>
          </cell>
        </row>
        <row r="47">
          <cell r="I47" t="str">
            <v>　業務その他</v>
          </cell>
          <cell r="J47">
            <v>44</v>
          </cell>
        </row>
        <row r="48">
          <cell r="I48" t="str">
            <v>★［Ｆ：共通業務（社員）］</v>
          </cell>
          <cell r="J48">
            <v>45</v>
          </cell>
        </row>
        <row r="49">
          <cell r="I49" t="str">
            <v>　朝便仕分け・朝礼</v>
          </cell>
          <cell r="J49">
            <v>46</v>
          </cell>
        </row>
        <row r="50">
          <cell r="I50" t="str">
            <v>　不備レターチェック（通常分）</v>
          </cell>
          <cell r="J50">
            <v>47</v>
          </cell>
        </row>
        <row r="51">
          <cell r="I51" t="str">
            <v>　不備レターチェック（口座不備）</v>
          </cell>
          <cell r="J51">
            <v>48</v>
          </cell>
        </row>
        <row r="52">
          <cell r="I52" t="str">
            <v>　リクスタレター作成依頼分の仕分け（15時頃）</v>
          </cell>
          <cell r="J52">
            <v>49</v>
          </cell>
        </row>
        <row r="53">
          <cell r="I53" t="str">
            <v>　問合せ対応（拠点・AST・顧サなど）※インバウンド</v>
          </cell>
          <cell r="J53">
            <v>50</v>
          </cell>
        </row>
        <row r="54">
          <cell r="I54" t="str">
            <v>　料金収納Tからの照会（随時）※アウトバウンド</v>
          </cell>
          <cell r="J54">
            <v>51</v>
          </cell>
        </row>
        <row r="55">
          <cell r="I55" t="str">
            <v>　架電依頼の結果確認・後処理</v>
          </cell>
          <cell r="J55">
            <v>52</v>
          </cell>
        </row>
        <row r="56">
          <cell r="I56" t="str">
            <v>　外部委託先からのQA対応（随時）※リクスタ・OCC</v>
          </cell>
          <cell r="J56">
            <v>53</v>
          </cell>
        </row>
        <row r="57">
          <cell r="I57" t="str">
            <v>　提出前不備対応</v>
          </cell>
          <cell r="J57">
            <v>54</v>
          </cell>
        </row>
        <row r="58">
          <cell r="I58" t="str">
            <v>　書類の不備チェック（契保より依頼）</v>
          </cell>
          <cell r="J58">
            <v>55</v>
          </cell>
        </row>
        <row r="59">
          <cell r="I59" t="str">
            <v>　事務処理対応（他部署からの依頼）</v>
          </cell>
          <cell r="J59">
            <v>56</v>
          </cell>
        </row>
        <row r="60">
          <cell r="I60" t="str">
            <v>　事務処理対応（自部署作成分）</v>
          </cell>
          <cell r="J60">
            <v>57</v>
          </cell>
        </row>
        <row r="61">
          <cell r="I61" t="str">
            <v>　システムサポート依頼</v>
          </cell>
          <cell r="J61">
            <v>58</v>
          </cell>
        </row>
        <row r="62">
          <cell r="I62" t="str">
            <v>　照会票・処理申請対応</v>
          </cell>
          <cell r="J62">
            <v>59</v>
          </cell>
        </row>
        <row r="63">
          <cell r="I63" t="str">
            <v>　事務ミス対応</v>
          </cell>
          <cell r="J63">
            <v>60</v>
          </cell>
        </row>
        <row r="64">
          <cell r="I64" t="str">
            <v>　他グループ業務ヘルプ</v>
          </cell>
          <cell r="J64">
            <v>45</v>
          </cell>
        </row>
        <row r="65">
          <cell r="I65" t="str">
            <v>　モニタリング作業（外部委託）</v>
          </cell>
          <cell r="J65">
            <v>46</v>
          </cell>
        </row>
        <row r="66">
          <cell r="I66" t="str">
            <v>　マニュアルの作成・修正</v>
          </cell>
          <cell r="J66">
            <v>47</v>
          </cell>
        </row>
        <row r="67">
          <cell r="I67" t="str">
            <v>★［Ｇ：月一業務］</v>
          </cell>
          <cell r="J67">
            <v>48</v>
          </cell>
        </row>
        <row r="68">
          <cell r="I68" t="str">
            <v>　待ち処理の仕分け（口振・払変）</v>
          </cell>
          <cell r="J68">
            <v>49</v>
          </cell>
        </row>
        <row r="69">
          <cell r="I69" t="str">
            <v>　待ち処理の仕分け（クレカ）</v>
          </cell>
          <cell r="J69">
            <v>50</v>
          </cell>
        </row>
        <row r="70">
          <cell r="I70" t="str">
            <v>　保険料お払込の案内抜き取り・発送依頼※リスト出力（システム帳票）</v>
          </cell>
          <cell r="J70">
            <v>51</v>
          </cell>
        </row>
        <row r="71">
          <cell r="I71" t="str">
            <v>　クレカ予約エラーリスト対応※リスト出力（システム帳票）</v>
          </cell>
          <cell r="J71">
            <v>52</v>
          </cell>
        </row>
        <row r="72">
          <cell r="I72" t="str">
            <v>　ＤＦ取引なし表対応※RVから表作成</v>
          </cell>
          <cell r="J72">
            <v>53</v>
          </cell>
        </row>
        <row r="73">
          <cell r="I73" t="str">
            <v>　残存契約リスト対応（ＢＫ合併対応）※リスト出力（システム帳票）</v>
          </cell>
          <cell r="J73">
            <v>54</v>
          </cell>
        </row>
        <row r="74">
          <cell r="I74" t="str">
            <v>　ＤＦ通知表作成※HPから表作成</v>
          </cell>
          <cell r="J74">
            <v>55</v>
          </cell>
        </row>
        <row r="75">
          <cell r="I75" t="str">
            <v>　DF通知表名寄せ1</v>
          </cell>
          <cell r="J75">
            <v>56</v>
          </cell>
        </row>
        <row r="76">
          <cell r="I76" t="str">
            <v>　DF通知表名寄せ2</v>
          </cell>
          <cell r="J76">
            <v>57</v>
          </cell>
        </row>
        <row r="77">
          <cell r="I77" t="str">
            <v>　MUF対応（口座の解約・変更・内容確認）</v>
          </cell>
          <cell r="J77">
            <v>58</v>
          </cell>
        </row>
        <row r="78">
          <cell r="I78" t="str">
            <v>　金融機関統廃合対応※書類到着がｷｯｸ</v>
          </cell>
          <cell r="J78">
            <v>59</v>
          </cell>
        </row>
        <row r="79">
          <cell r="I79" t="str">
            <v>　イメージ、外部倉庫</v>
          </cell>
          <cell r="J79">
            <v>60</v>
          </cell>
        </row>
        <row r="80">
          <cell r="I80" t="str">
            <v>　処理表廃棄</v>
          </cell>
          <cell r="J80">
            <v>61</v>
          </cell>
        </row>
        <row r="81">
          <cell r="I81" t="str">
            <v>［Y1：業務整理］</v>
          </cell>
          <cell r="J81">
            <v>62</v>
          </cell>
        </row>
        <row r="82">
          <cell r="I82" t="str">
            <v>［Y2：研修］</v>
          </cell>
          <cell r="J82">
            <v>63</v>
          </cell>
        </row>
        <row r="83">
          <cell r="I83" t="str">
            <v>［Y3：システム検証］</v>
          </cell>
          <cell r="J83">
            <v>64</v>
          </cell>
        </row>
        <row r="84">
          <cell r="I84" t="str">
            <v>［Y4：会議］</v>
          </cell>
          <cell r="J84">
            <v>65</v>
          </cell>
        </row>
        <row r="85">
          <cell r="I85" t="str">
            <v>［Z1:休憩］</v>
          </cell>
          <cell r="J85">
            <v>66</v>
          </cell>
        </row>
        <row r="86">
          <cell r="I86" t="str">
            <v>［Z2:その他］</v>
          </cell>
          <cell r="J86">
            <v>67</v>
          </cell>
        </row>
        <row r="87">
          <cell r="I87" t="str">
            <v>［他］昼休み</v>
          </cell>
          <cell r="J87">
            <v>68</v>
          </cell>
        </row>
        <row r="88">
          <cell r="I88" t="str">
            <v/>
          </cell>
          <cell r="J88" t="str">
            <v/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カテゴリ"/>
      <sheetName val="計測"/>
      <sheetName val="設定"/>
      <sheetName val="全データ"/>
      <sheetName val="24"/>
      <sheetName val="22"/>
      <sheetName val="14"/>
      <sheetName val="計測 (3)"/>
    </sheetNames>
    <sheetDataSet>
      <sheetData sheetId="0">
        <row r="4">
          <cell r="I4" t="e">
            <v>#REF!</v>
          </cell>
          <cell r="J4" t="e">
            <v>#REF!</v>
          </cell>
        </row>
        <row r="5">
          <cell r="I5" t="e">
            <v>#REF!</v>
          </cell>
          <cell r="J5" t="e">
            <v>#REF!</v>
          </cell>
        </row>
        <row r="6">
          <cell r="I6" t="e">
            <v>#REF!</v>
          </cell>
          <cell r="J6" t="e">
            <v>#REF!</v>
          </cell>
        </row>
        <row r="7">
          <cell r="I7" t="e">
            <v>#REF!</v>
          </cell>
          <cell r="J7" t="e">
            <v>#REF!</v>
          </cell>
        </row>
        <row r="8">
          <cell r="I8" t="e">
            <v>#REF!</v>
          </cell>
          <cell r="J8" t="e">
            <v>#REF!</v>
          </cell>
        </row>
        <row r="9">
          <cell r="I9" t="e">
            <v>#REF!</v>
          </cell>
          <cell r="J9" t="e">
            <v>#REF!</v>
          </cell>
        </row>
        <row r="10">
          <cell r="I10" t="e">
            <v>#REF!</v>
          </cell>
          <cell r="J10" t="e">
            <v>#REF!</v>
          </cell>
        </row>
        <row r="11">
          <cell r="I11" t="e">
            <v>#REF!</v>
          </cell>
          <cell r="J11" t="e">
            <v>#REF!</v>
          </cell>
        </row>
        <row r="12">
          <cell r="I12" t="e">
            <v>#REF!</v>
          </cell>
          <cell r="J12" t="e">
            <v>#REF!</v>
          </cell>
        </row>
        <row r="13">
          <cell r="I13" t="e">
            <v>#REF!</v>
          </cell>
          <cell r="J13" t="e">
            <v>#REF!</v>
          </cell>
        </row>
        <row r="14">
          <cell r="I14" t="e">
            <v>#REF!</v>
          </cell>
          <cell r="J14" t="e">
            <v>#REF!</v>
          </cell>
        </row>
        <row r="15">
          <cell r="I15" t="e">
            <v>#REF!</v>
          </cell>
          <cell r="J15" t="e">
            <v>#REF!</v>
          </cell>
        </row>
        <row r="16">
          <cell r="I16" t="e">
            <v>#REF!</v>
          </cell>
          <cell r="J16" t="e">
            <v>#REF!</v>
          </cell>
        </row>
        <row r="17">
          <cell r="I17" t="e">
            <v>#REF!</v>
          </cell>
          <cell r="J17" t="e">
            <v>#REF!</v>
          </cell>
        </row>
        <row r="18">
          <cell r="I18" t="e">
            <v>#REF!</v>
          </cell>
          <cell r="J18" t="e">
            <v>#REF!</v>
          </cell>
        </row>
        <row r="19">
          <cell r="I19" t="e">
            <v>#REF!</v>
          </cell>
          <cell r="J19" t="e">
            <v>#REF!</v>
          </cell>
        </row>
        <row r="20">
          <cell r="I20" t="e">
            <v>#REF!</v>
          </cell>
          <cell r="J20" t="e">
            <v>#REF!</v>
          </cell>
        </row>
        <row r="21">
          <cell r="I21" t="e">
            <v>#REF!</v>
          </cell>
          <cell r="J21" t="e">
            <v>#REF!</v>
          </cell>
        </row>
        <row r="22">
          <cell r="I22" t="e">
            <v>#REF!</v>
          </cell>
          <cell r="J22" t="e">
            <v>#REF!</v>
          </cell>
        </row>
        <row r="23">
          <cell r="I23" t="e">
            <v>#REF!</v>
          </cell>
          <cell r="J23" t="e">
            <v>#REF!</v>
          </cell>
        </row>
        <row r="24">
          <cell r="I24" t="e">
            <v>#REF!</v>
          </cell>
          <cell r="J24" t="e">
            <v>#REF!</v>
          </cell>
        </row>
        <row r="25">
          <cell r="I25" t="e">
            <v>#REF!</v>
          </cell>
          <cell r="J25" t="e">
            <v>#REF!</v>
          </cell>
        </row>
        <row r="26">
          <cell r="I26" t="e">
            <v>#REF!</v>
          </cell>
          <cell r="J26" t="e">
            <v>#REF!</v>
          </cell>
        </row>
        <row r="27">
          <cell r="I27" t="e">
            <v>#REF!</v>
          </cell>
          <cell r="J27" t="e">
            <v>#REF!</v>
          </cell>
        </row>
        <row r="28">
          <cell r="I28" t="e">
            <v>#REF!</v>
          </cell>
          <cell r="J28" t="e">
            <v>#REF!</v>
          </cell>
        </row>
        <row r="29">
          <cell r="I29" t="e">
            <v>#REF!</v>
          </cell>
          <cell r="J29" t="e">
            <v>#REF!</v>
          </cell>
        </row>
        <row r="30">
          <cell r="I30" t="e">
            <v>#REF!</v>
          </cell>
          <cell r="J30" t="e">
            <v>#REF!</v>
          </cell>
        </row>
        <row r="31">
          <cell r="I31" t="e">
            <v>#REF!</v>
          </cell>
          <cell r="J31" t="e">
            <v>#REF!</v>
          </cell>
        </row>
        <row r="32">
          <cell r="I32" t="e">
            <v>#REF!</v>
          </cell>
          <cell r="J32" t="e">
            <v>#REF!</v>
          </cell>
        </row>
        <row r="33">
          <cell r="I33" t="e">
            <v>#REF!</v>
          </cell>
          <cell r="J33" t="e">
            <v>#REF!</v>
          </cell>
        </row>
        <row r="34">
          <cell r="I34" t="e">
            <v>#REF!</v>
          </cell>
          <cell r="J34" t="e">
            <v>#REF!</v>
          </cell>
        </row>
        <row r="35">
          <cell r="I35" t="e">
            <v>#REF!</v>
          </cell>
          <cell r="J35" t="e">
            <v>#REF!</v>
          </cell>
        </row>
        <row r="36">
          <cell r="I36" t="e">
            <v>#REF!</v>
          </cell>
          <cell r="J36" t="e">
            <v>#REF!</v>
          </cell>
        </row>
        <row r="37">
          <cell r="I37" t="e">
            <v>#REF!</v>
          </cell>
          <cell r="J37" t="e">
            <v>#REF!</v>
          </cell>
        </row>
        <row r="38">
          <cell r="I38" t="e">
            <v>#REF!</v>
          </cell>
          <cell r="J38" t="e">
            <v>#REF!</v>
          </cell>
        </row>
        <row r="39">
          <cell r="I39" t="e">
            <v>#REF!</v>
          </cell>
          <cell r="J39" t="e">
            <v>#REF!</v>
          </cell>
        </row>
        <row r="40">
          <cell r="I40" t="e">
            <v>#REF!</v>
          </cell>
          <cell r="J40" t="e">
            <v>#REF!</v>
          </cell>
        </row>
        <row r="41">
          <cell r="I41" t="e">
            <v>#REF!</v>
          </cell>
          <cell r="J41" t="e">
            <v>#REF!</v>
          </cell>
        </row>
        <row r="42">
          <cell r="I42" t="e">
            <v>#REF!</v>
          </cell>
          <cell r="J42" t="e">
            <v>#REF!</v>
          </cell>
        </row>
        <row r="43">
          <cell r="I43" t="e">
            <v>#REF!</v>
          </cell>
          <cell r="J43" t="e">
            <v>#REF!</v>
          </cell>
        </row>
        <row r="44">
          <cell r="I44" t="e">
            <v>#REF!</v>
          </cell>
          <cell r="J44" t="e">
            <v>#REF!</v>
          </cell>
        </row>
        <row r="45">
          <cell r="I45" t="e">
            <v>#REF!</v>
          </cell>
          <cell r="J45" t="e">
            <v>#REF!</v>
          </cell>
        </row>
        <row r="46">
          <cell r="I46" t="e">
            <v>#REF!</v>
          </cell>
          <cell r="J46" t="e">
            <v>#REF!</v>
          </cell>
        </row>
        <row r="47">
          <cell r="I47" t="e">
            <v>#REF!</v>
          </cell>
          <cell r="J47" t="e">
            <v>#REF!</v>
          </cell>
        </row>
        <row r="48">
          <cell r="I48" t="e">
            <v>#REF!</v>
          </cell>
          <cell r="J48" t="e">
            <v>#REF!</v>
          </cell>
        </row>
        <row r="49">
          <cell r="I49" t="e">
            <v>#REF!</v>
          </cell>
          <cell r="J49" t="e">
            <v>#REF!</v>
          </cell>
        </row>
        <row r="50">
          <cell r="I50" t="e">
            <v>#REF!</v>
          </cell>
          <cell r="J50" t="e">
            <v>#REF!</v>
          </cell>
        </row>
        <row r="51">
          <cell r="I51" t="e">
            <v>#REF!</v>
          </cell>
          <cell r="J51" t="e">
            <v>#REF!</v>
          </cell>
        </row>
        <row r="52">
          <cell r="I52" t="e">
            <v>#REF!</v>
          </cell>
          <cell r="J52" t="e">
            <v>#REF!</v>
          </cell>
        </row>
        <row r="53">
          <cell r="I53" t="e">
            <v>#REF!</v>
          </cell>
          <cell r="J53" t="e">
            <v>#REF!</v>
          </cell>
        </row>
        <row r="54">
          <cell r="I54" t="e">
            <v>#REF!</v>
          </cell>
          <cell r="J54" t="e">
            <v>#REF!</v>
          </cell>
        </row>
        <row r="55">
          <cell r="I55" t="e">
            <v>#REF!</v>
          </cell>
          <cell r="J55" t="e">
            <v>#REF!</v>
          </cell>
        </row>
        <row r="56">
          <cell r="I56" t="e">
            <v>#REF!</v>
          </cell>
          <cell r="J56" t="e">
            <v>#REF!</v>
          </cell>
        </row>
        <row r="57">
          <cell r="I57" t="e">
            <v>#REF!</v>
          </cell>
          <cell r="J57" t="e">
            <v>#REF!</v>
          </cell>
        </row>
        <row r="58">
          <cell r="I58" t="e">
            <v>#REF!</v>
          </cell>
          <cell r="J58" t="e">
            <v>#REF!</v>
          </cell>
        </row>
        <row r="59">
          <cell r="I59" t="e">
            <v>#REF!</v>
          </cell>
          <cell r="J59" t="e">
            <v>#REF!</v>
          </cell>
        </row>
        <row r="60">
          <cell r="I60" t="e">
            <v>#REF!</v>
          </cell>
          <cell r="J60" t="e">
            <v>#REF!</v>
          </cell>
        </row>
        <row r="61">
          <cell r="I61" t="e">
            <v>#REF!</v>
          </cell>
          <cell r="J61" t="e">
            <v>#REF!</v>
          </cell>
        </row>
        <row r="62">
          <cell r="I62" t="e">
            <v>#REF!</v>
          </cell>
          <cell r="J62" t="e">
            <v>#REF!</v>
          </cell>
        </row>
        <row r="63">
          <cell r="I63" t="e">
            <v>#REF!</v>
          </cell>
          <cell r="J63" t="e">
            <v>#REF!</v>
          </cell>
        </row>
        <row r="64">
          <cell r="I64" t="e">
            <v>#REF!</v>
          </cell>
          <cell r="J64" t="e">
            <v>#REF!</v>
          </cell>
        </row>
        <row r="65">
          <cell r="I65" t="e">
            <v>#REF!</v>
          </cell>
          <cell r="J65" t="e">
            <v>#REF!</v>
          </cell>
        </row>
        <row r="66">
          <cell r="I66" t="e">
            <v>#REF!</v>
          </cell>
          <cell r="J66" t="e">
            <v>#REF!</v>
          </cell>
        </row>
        <row r="67">
          <cell r="I67" t="e">
            <v>#REF!</v>
          </cell>
          <cell r="J67" t="e">
            <v>#REF!</v>
          </cell>
        </row>
        <row r="68">
          <cell r="I68" t="e">
            <v>#REF!</v>
          </cell>
          <cell r="J68" t="e">
            <v>#REF!</v>
          </cell>
        </row>
        <row r="69">
          <cell r="I69" t="e">
            <v>#REF!</v>
          </cell>
          <cell r="J69" t="e">
            <v>#REF!</v>
          </cell>
        </row>
        <row r="70">
          <cell r="I70" t="e">
            <v>#REF!</v>
          </cell>
          <cell r="J70" t="e">
            <v>#REF!</v>
          </cell>
        </row>
        <row r="71">
          <cell r="I71" t="e">
            <v>#REF!</v>
          </cell>
          <cell r="J71" t="e">
            <v>#REF!</v>
          </cell>
        </row>
        <row r="72">
          <cell r="I72" t="e">
            <v>#REF!</v>
          </cell>
          <cell r="J72" t="e">
            <v>#REF!</v>
          </cell>
        </row>
        <row r="73">
          <cell r="I73" t="e">
            <v>#REF!</v>
          </cell>
          <cell r="J73" t="e">
            <v>#REF!</v>
          </cell>
        </row>
        <row r="74">
          <cell r="I74" t="e">
            <v>#REF!</v>
          </cell>
          <cell r="J74" t="e">
            <v>#REF!</v>
          </cell>
        </row>
        <row r="75">
          <cell r="I75" t="e">
            <v>#REF!</v>
          </cell>
          <cell r="J75" t="e">
            <v>#REF!</v>
          </cell>
        </row>
        <row r="76">
          <cell r="I76" t="e">
            <v>#REF!</v>
          </cell>
          <cell r="J76" t="e">
            <v>#REF!</v>
          </cell>
        </row>
        <row r="77">
          <cell r="I77" t="e">
            <v>#REF!</v>
          </cell>
          <cell r="J77" t="e">
            <v>#REF!</v>
          </cell>
        </row>
        <row r="78">
          <cell r="I78" t="e">
            <v>#REF!</v>
          </cell>
          <cell r="J78" t="e">
            <v>#REF!</v>
          </cell>
        </row>
        <row r="79">
          <cell r="I79" t="e">
            <v>#REF!</v>
          </cell>
          <cell r="J79" t="e">
            <v>#REF!</v>
          </cell>
        </row>
        <row r="80">
          <cell r="I80" t="e">
            <v>#REF!</v>
          </cell>
          <cell r="J80" t="e">
            <v>#REF!</v>
          </cell>
        </row>
        <row r="81">
          <cell r="I81" t="e">
            <v>#REF!</v>
          </cell>
          <cell r="J81" t="e">
            <v>#REF!</v>
          </cell>
        </row>
        <row r="82">
          <cell r="I82" t="e">
            <v>#REF!</v>
          </cell>
          <cell r="J82" t="e">
            <v>#REF!</v>
          </cell>
        </row>
        <row r="83">
          <cell r="I83" t="e">
            <v>#REF!</v>
          </cell>
          <cell r="J83" t="e">
            <v>#REF!</v>
          </cell>
        </row>
        <row r="84">
          <cell r="I84" t="e">
            <v>#REF!</v>
          </cell>
          <cell r="J84" t="e">
            <v>#REF!</v>
          </cell>
        </row>
        <row r="85">
          <cell r="I85" t="e">
            <v>#REF!</v>
          </cell>
          <cell r="J85" t="e">
            <v>#REF!</v>
          </cell>
        </row>
        <row r="86">
          <cell r="I86" t="e">
            <v>#REF!</v>
          </cell>
          <cell r="J86" t="e">
            <v>#REF!</v>
          </cell>
        </row>
        <row r="87">
          <cell r="I87" t="e">
            <v>#REF!</v>
          </cell>
          <cell r="J87" t="e">
            <v>#REF!</v>
          </cell>
        </row>
        <row r="88">
          <cell r="I88" t="e">
            <v>#REF!</v>
          </cell>
          <cell r="J88" t="e">
            <v>#REF!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B1:AG591"/>
  <sheetViews>
    <sheetView showGridLines="0" tabSelected="1" zoomScale="85" zoomScaleNormal="85" workbookViewId="0">
      <pane ySplit="10" topLeftCell="A11" activePane="bottomLeft" state="frozen"/>
      <selection activeCell="F18" sqref="F18"/>
      <selection pane="bottomLeft" activeCell="B8" sqref="B8"/>
    </sheetView>
  </sheetViews>
  <sheetFormatPr defaultRowHeight="13.5" x14ac:dyDescent="0.15"/>
  <cols>
    <col min="1" max="1" width="2.25" style="1" customWidth="1"/>
    <col min="2" max="2" width="3.125" style="6" customWidth="1"/>
    <col min="3" max="3" width="4.875" style="6" customWidth="1"/>
    <col min="4" max="4" width="5.875" style="6" customWidth="1"/>
    <col min="5" max="5" width="8" style="6" customWidth="1"/>
    <col min="6" max="6" width="20.75" style="6" customWidth="1"/>
    <col min="7" max="7" width="34.625" style="1" customWidth="1"/>
    <col min="8" max="8" width="7.875" style="6" customWidth="1"/>
    <col min="9" max="9" width="20" style="6" customWidth="1"/>
    <col min="10" max="10" width="4.625" style="7" customWidth="1"/>
    <col min="11" max="11" width="4.25" style="2" customWidth="1"/>
    <col min="12" max="12" width="46.625" style="1" customWidth="1"/>
    <col min="13" max="13" width="9.125" style="3" customWidth="1"/>
    <col min="14" max="14" width="7.875" style="8" customWidth="1"/>
    <col min="15" max="15" width="9.25" style="8" customWidth="1"/>
    <col min="16" max="16" width="7.5" style="8" bestFit="1" customWidth="1"/>
    <col min="17" max="17" width="7.125" style="8" customWidth="1"/>
    <col min="18" max="18" width="5.25" style="8" bestFit="1" customWidth="1"/>
    <col min="19" max="19" width="20.375" style="8" customWidth="1"/>
    <col min="20" max="20" width="21" style="8" bestFit="1" customWidth="1"/>
    <col min="21" max="21" width="7.625" style="8" customWidth="1"/>
    <col min="22" max="16384" width="9" style="1"/>
  </cols>
  <sheetData>
    <row r="1" spans="2:33" ht="9.75" customHeight="1" x14ac:dyDescent="0.15">
      <c r="M1" s="1"/>
    </row>
    <row r="2" spans="2:33" s="5" customFormat="1" ht="17.25" customHeight="1" x14ac:dyDescent="0.15">
      <c r="B2" s="9"/>
      <c r="C2" s="153" t="s">
        <v>11</v>
      </c>
      <c r="D2" s="154"/>
      <c r="E2" s="155"/>
      <c r="F2" s="156"/>
      <c r="G2" s="157"/>
      <c r="H2" s="32"/>
      <c r="I2" s="32"/>
      <c r="J2" s="11"/>
      <c r="O2" s="22"/>
      <c r="P2" s="22"/>
      <c r="Q2" s="22"/>
      <c r="R2" s="22"/>
      <c r="S2" s="22"/>
      <c r="T2" s="22"/>
      <c r="U2" s="22"/>
    </row>
    <row r="3" spans="2:33" s="5" customFormat="1" ht="21.75" customHeight="1" x14ac:dyDescent="0.15">
      <c r="B3" s="12"/>
      <c r="C3" s="153" t="s">
        <v>12</v>
      </c>
      <c r="D3" s="154"/>
      <c r="E3" s="155"/>
      <c r="F3" s="156"/>
      <c r="G3" s="157"/>
      <c r="H3" s="40"/>
      <c r="I3" s="40"/>
      <c r="J3" s="11"/>
      <c r="R3" s="65"/>
      <c r="S3" s="65"/>
      <c r="T3" s="65"/>
      <c r="U3" s="65"/>
    </row>
    <row r="4" spans="2:33" s="5" customFormat="1" ht="6" customHeight="1" x14ac:dyDescent="0.15">
      <c r="B4" s="12"/>
      <c r="C4" s="12"/>
      <c r="H4" s="13"/>
      <c r="I4" s="13"/>
      <c r="J4" s="7"/>
      <c r="K4" s="14"/>
      <c r="L4" s="14"/>
      <c r="M4" s="15"/>
      <c r="N4" s="8"/>
      <c r="R4" s="8"/>
      <c r="S4" s="8"/>
      <c r="T4" s="8"/>
      <c r="U4" s="8"/>
      <c r="AF4" s="30"/>
      <c r="AG4" s="30"/>
    </row>
    <row r="5" spans="2:33" s="5" customFormat="1" ht="21" customHeight="1" x14ac:dyDescent="0.15">
      <c r="B5" s="12"/>
      <c r="C5" s="152" t="s">
        <v>8</v>
      </c>
      <c r="D5" s="152"/>
      <c r="E5" s="152"/>
      <c r="F5" s="90" t="e">
        <f>(M11+M226)/N11</f>
        <v>#DIV/0!</v>
      </c>
      <c r="G5" s="10" t="s">
        <v>6</v>
      </c>
      <c r="H5" s="9"/>
      <c r="I5" s="9"/>
      <c r="J5" s="7"/>
      <c r="K5" s="158" t="s">
        <v>4</v>
      </c>
      <c r="L5" s="159"/>
      <c r="M5" s="66">
        <f>M11+M226+M238</f>
        <v>0</v>
      </c>
      <c r="N5" s="22">
        <v>0.33333333333333331</v>
      </c>
      <c r="O5" s="31"/>
      <c r="R5" s="8"/>
      <c r="S5" s="8"/>
      <c r="T5" s="8"/>
      <c r="U5" s="8"/>
      <c r="AF5" s="30"/>
      <c r="AG5" s="30"/>
    </row>
    <row r="6" spans="2:33" s="5" customFormat="1" ht="18.75" customHeight="1" x14ac:dyDescent="0.15">
      <c r="B6" s="12"/>
      <c r="C6" s="152" t="s">
        <v>7</v>
      </c>
      <c r="D6" s="152"/>
      <c r="E6" s="152"/>
      <c r="F6" s="82">
        <f>M11/N5</f>
        <v>0</v>
      </c>
      <c r="G6" s="67"/>
      <c r="H6" s="68"/>
      <c r="I6" s="68"/>
      <c r="J6" s="7"/>
      <c r="K6" s="160" t="s">
        <v>5</v>
      </c>
      <c r="L6" s="161"/>
      <c r="M6" s="69">
        <f>M11+M226</f>
        <v>0</v>
      </c>
      <c r="N6" s="70"/>
      <c r="O6" s="31"/>
      <c r="Q6" s="31"/>
      <c r="R6" s="8"/>
      <c r="S6" s="8"/>
      <c r="T6" s="8"/>
      <c r="U6" s="8"/>
      <c r="AF6" s="30"/>
      <c r="AG6" s="30"/>
    </row>
    <row r="7" spans="2:33" s="5" customFormat="1" ht="7.5" customHeight="1" x14ac:dyDescent="0.15">
      <c r="B7" s="12"/>
      <c r="C7" s="12"/>
      <c r="H7" s="13"/>
      <c r="I7" s="13"/>
      <c r="J7" s="7"/>
      <c r="K7" s="14"/>
      <c r="L7" s="14"/>
      <c r="M7" s="15"/>
      <c r="N7" s="8"/>
      <c r="O7" s="31"/>
      <c r="R7" s="8"/>
      <c r="S7" s="8"/>
      <c r="T7" s="8"/>
      <c r="U7" s="8"/>
      <c r="AF7" s="30"/>
      <c r="AG7" s="30"/>
    </row>
    <row r="8" spans="2:33" s="5" customFormat="1" ht="18.75" customHeight="1" x14ac:dyDescent="0.15">
      <c r="B8" s="12"/>
      <c r="C8" s="12"/>
      <c r="E8" s="13"/>
      <c r="G8" s="13"/>
      <c r="J8" s="7"/>
      <c r="K8" s="14"/>
      <c r="L8" s="33"/>
      <c r="M8" s="15"/>
      <c r="N8" s="8"/>
      <c r="R8" s="8"/>
      <c r="S8" s="8"/>
      <c r="T8" s="8"/>
      <c r="U8" s="8"/>
    </row>
    <row r="9" spans="2:33" s="5" customFormat="1" ht="6" customHeight="1" x14ac:dyDescent="0.15">
      <c r="B9" s="12"/>
      <c r="C9" s="12"/>
      <c r="D9" s="30"/>
      <c r="H9" s="13"/>
      <c r="I9" s="13"/>
      <c r="J9" s="7"/>
      <c r="K9" s="14"/>
      <c r="L9" s="14"/>
      <c r="M9" s="15"/>
      <c r="N9" s="8"/>
      <c r="O9" s="8"/>
      <c r="P9" s="8"/>
      <c r="Q9" s="8"/>
      <c r="R9" s="8"/>
      <c r="S9" s="8"/>
      <c r="T9" s="8"/>
      <c r="U9" s="8"/>
    </row>
    <row r="10" spans="2:33" s="6" customFormat="1" x14ac:dyDescent="0.15">
      <c r="B10" s="16"/>
      <c r="C10" s="10" t="s">
        <v>2</v>
      </c>
      <c r="D10" s="10" t="s">
        <v>3</v>
      </c>
      <c r="E10" s="10" t="s">
        <v>0</v>
      </c>
      <c r="F10" s="10" t="s">
        <v>73</v>
      </c>
      <c r="G10" s="41" t="s">
        <v>1</v>
      </c>
      <c r="H10" s="27" t="s">
        <v>9</v>
      </c>
      <c r="I10" s="27" t="s">
        <v>14</v>
      </c>
      <c r="J10" s="81"/>
      <c r="K10" s="92" t="s">
        <v>86</v>
      </c>
      <c r="L10" s="92" t="s">
        <v>87</v>
      </c>
      <c r="M10" s="92" t="s">
        <v>88</v>
      </c>
      <c r="N10" s="92" t="s">
        <v>10</v>
      </c>
      <c r="O10" s="92" t="s">
        <v>89</v>
      </c>
      <c r="P10" s="92" t="s">
        <v>90</v>
      </c>
      <c r="Q10" s="92" t="s">
        <v>91</v>
      </c>
      <c r="R10" s="92" t="s">
        <v>385</v>
      </c>
      <c r="S10" s="92" t="s">
        <v>386</v>
      </c>
      <c r="T10" s="92" t="s">
        <v>387</v>
      </c>
      <c r="U10" s="71"/>
    </row>
    <row r="11" spans="2:33" ht="15.75" customHeight="1" x14ac:dyDescent="0.15">
      <c r="B11" s="17">
        <v>1</v>
      </c>
      <c r="C11" s="72">
        <v>0.375</v>
      </c>
      <c r="D11" s="18"/>
      <c r="E11" s="73">
        <f t="shared" ref="E11:E74" si="0">IF(ISERROR(D11-C11),"",D11-C11)</f>
        <v>-0.375</v>
      </c>
      <c r="F11" s="28"/>
      <c r="G11" s="74"/>
      <c r="H11" s="74"/>
      <c r="I11" s="74"/>
      <c r="J11" s="81"/>
      <c r="K11" s="162" t="s">
        <v>92</v>
      </c>
      <c r="L11" s="93" t="s">
        <v>83</v>
      </c>
      <c r="M11" s="94">
        <f>SUM(M12,M17,M37,M54,M61,M79,M83,M86,M97,M124,M130,M134,M159,M183,M188,M212,M214,M216)</f>
        <v>0</v>
      </c>
      <c r="N11" s="95">
        <f>SUM(N12,N17,N37,N54,N61,N79,N83,N86,N97,N124,N130,N134,N159,N183,N188,N212,N214,N216)</f>
        <v>0</v>
      </c>
      <c r="O11" s="96"/>
      <c r="P11" s="96"/>
      <c r="Q11" s="96"/>
      <c r="R11" s="103"/>
      <c r="S11" s="96"/>
      <c r="T11" s="103"/>
      <c r="U11" s="75"/>
    </row>
    <row r="12" spans="2:33" ht="15.75" customHeight="1" x14ac:dyDescent="0.15">
      <c r="B12" s="19">
        <v>2</v>
      </c>
      <c r="C12" s="72" t="str">
        <f>IF(D11&lt;&gt;"",D11,"")</f>
        <v/>
      </c>
      <c r="D12" s="18"/>
      <c r="E12" s="73" t="str">
        <f t="shared" si="0"/>
        <v/>
      </c>
      <c r="F12" s="28"/>
      <c r="G12" s="74"/>
      <c r="H12" s="74"/>
      <c r="I12" s="74"/>
      <c r="J12" s="81"/>
      <c r="K12" s="149"/>
      <c r="L12" s="93" t="s">
        <v>102</v>
      </c>
      <c r="M12" s="97">
        <f>SUMIF($L$13:$L$16,"&lt;&gt;【*】",$M$13:$M$16)</f>
        <v>0</v>
      </c>
      <c r="N12" s="98">
        <f>SUMIF($L$13:$L$16,"&lt;&gt;【*】",$N$13:$N$16)</f>
        <v>0</v>
      </c>
      <c r="O12" s="96"/>
      <c r="P12" s="96"/>
      <c r="Q12" s="96"/>
      <c r="R12" s="103"/>
      <c r="S12" s="96"/>
      <c r="T12" s="103"/>
      <c r="U12" s="76"/>
    </row>
    <row r="13" spans="2:33" ht="15.75" customHeight="1" x14ac:dyDescent="0.15">
      <c r="B13" s="19">
        <v>3</v>
      </c>
      <c r="C13" s="72" t="str">
        <f>IF(D12&lt;&gt;"",D12,"")</f>
        <v/>
      </c>
      <c r="D13" s="18"/>
      <c r="E13" s="73" t="str">
        <f t="shared" si="0"/>
        <v/>
      </c>
      <c r="F13" s="28"/>
      <c r="G13" s="74"/>
      <c r="H13" s="74"/>
      <c r="I13" s="74"/>
      <c r="J13" s="81"/>
      <c r="K13" s="149"/>
      <c r="L13" s="100" t="s">
        <v>117</v>
      </c>
      <c r="M13" s="101">
        <f>SUMIF($G$11:$G$120,$L$13,$E$11:$E$120)</f>
        <v>0</v>
      </c>
      <c r="N13" s="102">
        <f>SUMIF($G$11:$G$120,$L$13,$H$11:$H$120)</f>
        <v>0</v>
      </c>
      <c r="O13" s="147" t="str">
        <f>IF(ISERROR((HOUR($M$13)*60+MINUTE($M$13))/$N$13),"",(HOUR($M$13)*60+MINUTE($M$13))/$N$13)</f>
        <v/>
      </c>
      <c r="P13" s="103"/>
      <c r="Q13" s="104" t="str">
        <f>IF($P$13&lt;&gt; "",$N$13/$P$13,"")</f>
        <v/>
      </c>
      <c r="R13" s="103"/>
      <c r="S13" s="103" t="s">
        <v>330</v>
      </c>
      <c r="T13" s="103"/>
      <c r="U13" s="71"/>
    </row>
    <row r="14" spans="2:33" ht="15.75" customHeight="1" x14ac:dyDescent="0.15">
      <c r="B14" s="19">
        <v>4</v>
      </c>
      <c r="C14" s="72" t="str">
        <f t="shared" ref="C14:C76" si="1">IF(D13&lt;&gt;"",D13,"")</f>
        <v/>
      </c>
      <c r="D14" s="18"/>
      <c r="E14" s="73" t="str">
        <f t="shared" si="0"/>
        <v/>
      </c>
      <c r="F14" s="28"/>
      <c r="G14" s="74"/>
      <c r="H14" s="74"/>
      <c r="I14" s="74"/>
      <c r="J14" s="81"/>
      <c r="K14" s="149"/>
      <c r="L14" s="100" t="s">
        <v>118</v>
      </c>
      <c r="M14" s="101">
        <f>SUMIF($G$11:$G$120,$L$14,$E$11:$E$120)</f>
        <v>0</v>
      </c>
      <c r="N14" s="102">
        <f>SUMIF($G$11:$G$120,$L$14,$H$11:$H$120)</f>
        <v>0</v>
      </c>
      <c r="O14" s="147" t="str">
        <f>IF(ISERROR((HOUR($M$14)*60+MINUTE($M$14))/$N$14),"",(HOUR($M$14)*60+MINUTE($M$14))/$N$14)</f>
        <v/>
      </c>
      <c r="P14" s="103"/>
      <c r="Q14" s="104" t="str">
        <f>IF($P$14&lt;&gt; "",$N$14/$P$14,"")</f>
        <v/>
      </c>
      <c r="R14" s="103"/>
      <c r="S14" s="103" t="s">
        <v>331</v>
      </c>
      <c r="T14" s="103"/>
      <c r="U14" s="76"/>
    </row>
    <row r="15" spans="2:33" ht="15.75" customHeight="1" x14ac:dyDescent="0.15">
      <c r="B15" s="19">
        <v>5</v>
      </c>
      <c r="C15" s="72" t="str">
        <f t="shared" si="1"/>
        <v/>
      </c>
      <c r="D15" s="18"/>
      <c r="E15" s="73" t="str">
        <f t="shared" si="0"/>
        <v/>
      </c>
      <c r="F15" s="28"/>
      <c r="G15" s="74"/>
      <c r="H15" s="74"/>
      <c r="I15" s="74"/>
      <c r="J15" s="81"/>
      <c r="K15" s="149"/>
      <c r="L15" s="100" t="s">
        <v>119</v>
      </c>
      <c r="M15" s="101">
        <f>SUMIF($G$11:$G$120,$L$15,$E$11:$E$120)</f>
        <v>0</v>
      </c>
      <c r="N15" s="109"/>
      <c r="O15" s="109"/>
      <c r="P15" s="109"/>
      <c r="Q15" s="109"/>
      <c r="R15" s="103"/>
      <c r="S15" s="109"/>
      <c r="T15" s="103"/>
      <c r="U15" s="76"/>
    </row>
    <row r="16" spans="2:33" ht="15.75" customHeight="1" x14ac:dyDescent="0.15">
      <c r="B16" s="19">
        <v>6</v>
      </c>
      <c r="C16" s="72" t="str">
        <f t="shared" si="1"/>
        <v/>
      </c>
      <c r="D16" s="18"/>
      <c r="E16" s="73" t="str">
        <f t="shared" si="0"/>
        <v/>
      </c>
      <c r="F16" s="28"/>
      <c r="G16" s="74"/>
      <c r="H16" s="74"/>
      <c r="I16" s="74"/>
      <c r="J16" s="81"/>
      <c r="K16" s="149"/>
      <c r="L16" s="100" t="s">
        <v>255</v>
      </c>
      <c r="M16" s="101">
        <f>SUMIF($G$11:$G$120,$L$16,$E$11:$E$120)</f>
        <v>0</v>
      </c>
      <c r="N16" s="109"/>
      <c r="O16" s="109"/>
      <c r="P16" s="109"/>
      <c r="Q16" s="109"/>
      <c r="R16" s="103"/>
      <c r="S16" s="144" t="s">
        <v>331</v>
      </c>
      <c r="T16" s="103"/>
      <c r="U16" s="76"/>
    </row>
    <row r="17" spans="2:21" ht="15.75" customHeight="1" x14ac:dyDescent="0.15">
      <c r="B17" s="19">
        <v>7</v>
      </c>
      <c r="C17" s="72" t="str">
        <f t="shared" si="1"/>
        <v/>
      </c>
      <c r="D17" s="18"/>
      <c r="E17" s="73" t="str">
        <f t="shared" si="0"/>
        <v/>
      </c>
      <c r="F17" s="28"/>
      <c r="G17" s="74"/>
      <c r="H17" s="74"/>
      <c r="I17" s="74"/>
      <c r="J17" s="81"/>
      <c r="K17" s="149"/>
      <c r="L17" s="93" t="s">
        <v>103</v>
      </c>
      <c r="M17" s="97">
        <f>SUMIF($L$18:$L$36,"&lt;&gt;【*】",$M$18:$M$36)</f>
        <v>0</v>
      </c>
      <c r="N17" s="98">
        <f>SUMIF($L$18:$L$36,"&lt;&gt;【*】",$N$18:$N$36)</f>
        <v>0</v>
      </c>
      <c r="O17" s="96"/>
      <c r="P17" s="96"/>
      <c r="Q17" s="96"/>
      <c r="R17" s="103"/>
      <c r="S17" s="96"/>
      <c r="T17" s="103"/>
      <c r="U17" s="76"/>
    </row>
    <row r="18" spans="2:21" ht="15.75" customHeight="1" x14ac:dyDescent="0.15">
      <c r="B18" s="19">
        <v>8</v>
      </c>
      <c r="C18" s="72" t="str">
        <f t="shared" si="1"/>
        <v/>
      </c>
      <c r="D18" s="18"/>
      <c r="E18" s="73" t="str">
        <f t="shared" si="0"/>
        <v/>
      </c>
      <c r="F18" s="28"/>
      <c r="G18" s="74"/>
      <c r="H18" s="74"/>
      <c r="I18" s="74"/>
      <c r="J18" s="81"/>
      <c r="K18" s="149"/>
      <c r="L18" s="99" t="s">
        <v>120</v>
      </c>
      <c r="M18" s="118">
        <f>SUM($M$19:$M$26)</f>
        <v>0</v>
      </c>
      <c r="N18" s="99">
        <f>SUM($N$19:$N$26)</f>
        <v>0</v>
      </c>
      <c r="O18" s="99"/>
      <c r="P18" s="99"/>
      <c r="Q18" s="99"/>
      <c r="R18" s="103"/>
      <c r="S18" s="99"/>
      <c r="T18" s="103"/>
      <c r="U18" s="76"/>
    </row>
    <row r="19" spans="2:21" ht="15.75" customHeight="1" x14ac:dyDescent="0.15">
      <c r="B19" s="19">
        <v>9</v>
      </c>
      <c r="C19" s="72" t="str">
        <f t="shared" si="1"/>
        <v/>
      </c>
      <c r="D19" s="18"/>
      <c r="E19" s="73" t="str">
        <f t="shared" si="0"/>
        <v/>
      </c>
      <c r="F19" s="28"/>
      <c r="G19" s="74"/>
      <c r="H19" s="74"/>
      <c r="I19" s="74"/>
      <c r="J19" s="81"/>
      <c r="K19" s="149"/>
      <c r="L19" s="100" t="s">
        <v>121</v>
      </c>
      <c r="M19" s="101">
        <f>SUMIF($G$11:$G$120,$L$19,$E$11:$E$120)</f>
        <v>0</v>
      </c>
      <c r="N19" s="109"/>
      <c r="O19" s="109"/>
      <c r="P19" s="109"/>
      <c r="Q19" s="109"/>
      <c r="R19" s="103"/>
      <c r="S19" s="144" t="s">
        <v>332</v>
      </c>
      <c r="T19" s="103"/>
      <c r="U19" s="76"/>
    </row>
    <row r="20" spans="2:21" ht="15.75" customHeight="1" x14ac:dyDescent="0.15">
      <c r="B20" s="19">
        <v>10</v>
      </c>
      <c r="C20" s="72" t="str">
        <f t="shared" si="1"/>
        <v/>
      </c>
      <c r="D20" s="18"/>
      <c r="E20" s="73" t="str">
        <f t="shared" si="0"/>
        <v/>
      </c>
      <c r="F20" s="28"/>
      <c r="G20" s="74"/>
      <c r="H20" s="74"/>
      <c r="I20" s="74"/>
      <c r="J20" s="81"/>
      <c r="K20" s="149"/>
      <c r="L20" s="100" t="s">
        <v>122</v>
      </c>
      <c r="M20" s="101">
        <f>SUMIF($G$11:$G$120,$L$20,$E$11:$E$120)</f>
        <v>0</v>
      </c>
      <c r="N20" s="102">
        <f>SUMIF($G$11:$G$120,$L$20,$H$11:$H$120)</f>
        <v>0</v>
      </c>
      <c r="O20" s="147" t="str">
        <f>IF(ISERROR((HOUR($M$20)*60+MINUTE($M$20))/$N$20),"",(HOUR($M$20)*60+MINUTE($M$20))/$N$20)</f>
        <v/>
      </c>
      <c r="P20" s="103"/>
      <c r="Q20" s="104" t="str">
        <f>IF($P$20&lt;&gt; "",$N$20/$P$20,"")</f>
        <v/>
      </c>
      <c r="R20" s="103"/>
      <c r="S20" s="103" t="s">
        <v>333</v>
      </c>
      <c r="T20" s="103"/>
      <c r="U20" s="76"/>
    </row>
    <row r="21" spans="2:21" ht="15.75" customHeight="1" x14ac:dyDescent="0.15">
      <c r="B21" s="19">
        <v>11</v>
      </c>
      <c r="C21" s="72" t="str">
        <f t="shared" si="1"/>
        <v/>
      </c>
      <c r="D21" s="18"/>
      <c r="E21" s="73" t="str">
        <f t="shared" si="0"/>
        <v/>
      </c>
      <c r="F21" s="28"/>
      <c r="G21" s="74"/>
      <c r="H21" s="74"/>
      <c r="I21" s="74"/>
      <c r="J21" s="81"/>
      <c r="K21" s="149"/>
      <c r="L21" s="100" t="s">
        <v>123</v>
      </c>
      <c r="M21" s="101">
        <f>SUMIF($G$11:$G$120,$L$21,$E$11:$E$120)</f>
        <v>0</v>
      </c>
      <c r="N21" s="102">
        <f>SUMIF($G$11:$G$120,$L$21,$H$11:$H$120)</f>
        <v>0</v>
      </c>
      <c r="O21" s="147" t="str">
        <f>IF(ISERROR((HOUR($M$21)*60+MINUTE($M$21))/$N$21),"",(HOUR($M$21)*60+MINUTE($M$21))/$N$21)</f>
        <v/>
      </c>
      <c r="P21" s="103"/>
      <c r="Q21" s="104" t="str">
        <f>IF($P$21&lt;&gt; "",$N$21/$P$21,"")</f>
        <v/>
      </c>
      <c r="R21" s="103"/>
      <c r="S21" s="103" t="s">
        <v>333</v>
      </c>
      <c r="T21" s="103"/>
      <c r="U21" s="76"/>
    </row>
    <row r="22" spans="2:21" ht="15.75" customHeight="1" x14ac:dyDescent="0.15">
      <c r="B22" s="19">
        <v>12</v>
      </c>
      <c r="C22" s="72" t="str">
        <f t="shared" si="1"/>
        <v/>
      </c>
      <c r="D22" s="18"/>
      <c r="E22" s="73" t="str">
        <f t="shared" si="0"/>
        <v/>
      </c>
      <c r="F22" s="28"/>
      <c r="G22" s="74"/>
      <c r="H22" s="74"/>
      <c r="I22" s="74"/>
      <c r="J22" s="81"/>
      <c r="K22" s="149"/>
      <c r="L22" s="100" t="s">
        <v>124</v>
      </c>
      <c r="M22" s="101">
        <f>SUMIF($G$11:$G$120,$L$22,$E$11:$E$120)</f>
        <v>0</v>
      </c>
      <c r="N22" s="102">
        <f>SUMIF($G$11:$G$120,$L$22,$H$11:$H$120)</f>
        <v>0</v>
      </c>
      <c r="O22" s="147" t="str">
        <f>IF(ISERROR((HOUR($M$22)*60+MINUTE($M$22))/$N$22),"",(HOUR($M$22)*60+MINUTE($M$22))/$N$22)</f>
        <v/>
      </c>
      <c r="P22" s="103"/>
      <c r="Q22" s="104" t="str">
        <f>IF($P$22&lt;&gt; "",$N$22/$P$22,"")</f>
        <v/>
      </c>
      <c r="R22" s="103"/>
      <c r="S22" s="103" t="s">
        <v>334</v>
      </c>
      <c r="T22" s="103"/>
      <c r="U22" s="76"/>
    </row>
    <row r="23" spans="2:21" ht="15.75" customHeight="1" x14ac:dyDescent="0.15">
      <c r="B23" s="19">
        <v>13</v>
      </c>
      <c r="C23" s="72" t="str">
        <f t="shared" si="1"/>
        <v/>
      </c>
      <c r="D23" s="18"/>
      <c r="E23" s="73" t="str">
        <f t="shared" si="0"/>
        <v/>
      </c>
      <c r="F23" s="28"/>
      <c r="G23" s="74"/>
      <c r="H23" s="74"/>
      <c r="I23" s="74"/>
      <c r="J23" s="81"/>
      <c r="K23" s="149"/>
      <c r="L23" s="100" t="s">
        <v>125</v>
      </c>
      <c r="M23" s="101">
        <f>SUMIF($G$11:$G$120,$L$23,$E$11:$E$120)</f>
        <v>0</v>
      </c>
      <c r="N23" s="102">
        <f>SUMIF($G$11:$G$120,$L$23,$H$11:$H$120)</f>
        <v>0</v>
      </c>
      <c r="O23" s="147" t="str">
        <f>IF(ISERROR((HOUR($M$23)*60+MINUTE($M$23))/$N$23),"",(HOUR($M$23)*60+MINUTE($M$23))/$N$23)</f>
        <v/>
      </c>
      <c r="P23" s="103"/>
      <c r="Q23" s="104" t="str">
        <f>IF($P$23&lt;&gt; "",$N$23/$P$23,"")</f>
        <v/>
      </c>
      <c r="R23" s="103"/>
      <c r="S23" s="103" t="s">
        <v>333</v>
      </c>
      <c r="T23" s="103"/>
      <c r="U23" s="76"/>
    </row>
    <row r="24" spans="2:21" ht="15.75" customHeight="1" x14ac:dyDescent="0.15">
      <c r="B24" s="19">
        <v>14</v>
      </c>
      <c r="C24" s="72" t="str">
        <f t="shared" si="1"/>
        <v/>
      </c>
      <c r="D24" s="18"/>
      <c r="E24" s="73" t="str">
        <f t="shared" si="0"/>
        <v/>
      </c>
      <c r="F24" s="28"/>
      <c r="G24" s="74"/>
      <c r="H24" s="74"/>
      <c r="I24" s="74"/>
      <c r="J24" s="81"/>
      <c r="K24" s="149"/>
      <c r="L24" s="100" t="s">
        <v>126</v>
      </c>
      <c r="M24" s="101">
        <f>SUMIF($G$11:$G$120,$L$24,$E$11:$E$120)</f>
        <v>0</v>
      </c>
      <c r="N24" s="102">
        <f>SUMIF($G$11:$G$120,$L$24,$H$11:$H$120)</f>
        <v>0</v>
      </c>
      <c r="O24" s="147" t="str">
        <f>IF(ISERROR((HOUR($M$24)*60+MINUTE($M$24))/$N$24),"",(HOUR($M$24)*60+MINUTE($M$24))/$N$24)</f>
        <v/>
      </c>
      <c r="P24" s="103"/>
      <c r="Q24" s="104" t="str">
        <f>IF($P$24&lt;&gt; "",$N$24/$P$24,"")</f>
        <v/>
      </c>
      <c r="R24" s="103"/>
      <c r="S24" s="103" t="s">
        <v>335</v>
      </c>
      <c r="T24" s="103"/>
      <c r="U24" s="76"/>
    </row>
    <row r="25" spans="2:21" ht="15.75" customHeight="1" x14ac:dyDescent="0.15">
      <c r="B25" s="19">
        <v>15</v>
      </c>
      <c r="C25" s="72" t="str">
        <f t="shared" si="1"/>
        <v/>
      </c>
      <c r="D25" s="18"/>
      <c r="E25" s="73" t="str">
        <f t="shared" si="0"/>
        <v/>
      </c>
      <c r="F25" s="28"/>
      <c r="G25" s="74"/>
      <c r="H25" s="74"/>
      <c r="I25" s="74"/>
      <c r="J25" s="81"/>
      <c r="K25" s="149"/>
      <c r="L25" s="100" t="s">
        <v>127</v>
      </c>
      <c r="M25" s="101">
        <f>SUMIF($G$11:$G$120,$L$25,$E$11:$E$120)</f>
        <v>0</v>
      </c>
      <c r="N25" s="109"/>
      <c r="O25" s="109"/>
      <c r="P25" s="109"/>
      <c r="Q25" s="109"/>
      <c r="R25" s="103"/>
      <c r="S25" s="109"/>
      <c r="T25" s="103"/>
      <c r="U25" s="76"/>
    </row>
    <row r="26" spans="2:21" ht="15.75" customHeight="1" x14ac:dyDescent="0.15">
      <c r="B26" s="19">
        <v>16</v>
      </c>
      <c r="C26" s="72" t="str">
        <f t="shared" si="1"/>
        <v/>
      </c>
      <c r="D26" s="18"/>
      <c r="E26" s="73" t="str">
        <f t="shared" si="0"/>
        <v/>
      </c>
      <c r="F26" s="28"/>
      <c r="G26" s="74"/>
      <c r="H26" s="74"/>
      <c r="I26" s="74"/>
      <c r="J26" s="81"/>
      <c r="K26" s="149"/>
      <c r="L26" s="100" t="s">
        <v>256</v>
      </c>
      <c r="M26" s="101">
        <f>SUMIF($G$11:$G$120,$L$26,$E$11:$E$120)</f>
        <v>0</v>
      </c>
      <c r="N26" s="109"/>
      <c r="O26" s="109"/>
      <c r="P26" s="109"/>
      <c r="Q26" s="109"/>
      <c r="R26" s="103"/>
      <c r="S26" s="144" t="s">
        <v>332</v>
      </c>
      <c r="T26" s="103"/>
      <c r="U26" s="76"/>
    </row>
    <row r="27" spans="2:21" ht="15.75" customHeight="1" x14ac:dyDescent="0.15">
      <c r="B27" s="19">
        <v>17</v>
      </c>
      <c r="C27" s="72" t="str">
        <f>IF(D26&lt;&gt;"",D26,"")</f>
        <v/>
      </c>
      <c r="D27" s="18"/>
      <c r="E27" s="73" t="str">
        <f t="shared" si="0"/>
        <v/>
      </c>
      <c r="F27" s="28"/>
      <c r="G27" s="74"/>
      <c r="H27" s="74"/>
      <c r="I27" s="74"/>
      <c r="J27" s="81"/>
      <c r="K27" s="149"/>
      <c r="L27" s="99" t="s">
        <v>128</v>
      </c>
      <c r="M27" s="118">
        <f>SUM($M$28:$M$36)</f>
        <v>0</v>
      </c>
      <c r="N27" s="119">
        <f>SUM($N$28:$N$36)</f>
        <v>0</v>
      </c>
      <c r="O27" s="99"/>
      <c r="P27" s="99"/>
      <c r="Q27" s="99"/>
      <c r="R27" s="103"/>
      <c r="S27" s="99"/>
      <c r="T27" s="103"/>
      <c r="U27" s="76"/>
    </row>
    <row r="28" spans="2:21" ht="15.75" customHeight="1" x14ac:dyDescent="0.15">
      <c r="B28" s="19">
        <v>18</v>
      </c>
      <c r="C28" s="72" t="str">
        <f>IF(D27&lt;&gt;"",D27,"")</f>
        <v/>
      </c>
      <c r="D28" s="18"/>
      <c r="E28" s="73" t="str">
        <f t="shared" si="0"/>
        <v/>
      </c>
      <c r="F28" s="28"/>
      <c r="G28" s="74"/>
      <c r="H28" s="74"/>
      <c r="I28" s="74"/>
      <c r="J28" s="81"/>
      <c r="K28" s="149"/>
      <c r="L28" s="100" t="s">
        <v>129</v>
      </c>
      <c r="M28" s="101">
        <f>SUMIF($G$11:$G$120,$L$28,$E$11:$E$120)</f>
        <v>0</v>
      </c>
      <c r="N28" s="102">
        <f>SUMIF($G$11:$G$120,$L$28,$H$11:$H$120)</f>
        <v>0</v>
      </c>
      <c r="O28" s="147" t="str">
        <f>IF(ISERROR((HOUR($M$28)*60+MINUTE($M$28))/$N$28),"",(HOUR($M$28)*60+MINUTE($M$28))/$N$28)</f>
        <v/>
      </c>
      <c r="P28" s="103"/>
      <c r="Q28" s="104" t="str">
        <f>IF($P$28&lt;&gt; "",$N$28/$P$28,"")</f>
        <v/>
      </c>
      <c r="R28" s="103"/>
      <c r="S28" s="103" t="s">
        <v>336</v>
      </c>
      <c r="T28" s="103"/>
      <c r="U28" s="76"/>
    </row>
    <row r="29" spans="2:21" ht="15.75" customHeight="1" x14ac:dyDescent="0.15">
      <c r="B29" s="19">
        <v>19</v>
      </c>
      <c r="C29" s="72" t="str">
        <f t="shared" si="1"/>
        <v/>
      </c>
      <c r="D29" s="18"/>
      <c r="E29" s="73" t="str">
        <f t="shared" si="0"/>
        <v/>
      </c>
      <c r="F29" s="28"/>
      <c r="G29" s="74"/>
      <c r="H29" s="74"/>
      <c r="I29" s="74"/>
      <c r="J29" s="81"/>
      <c r="K29" s="149"/>
      <c r="L29" s="100" t="s">
        <v>130</v>
      </c>
      <c r="M29" s="101">
        <f>SUMIF($G$11:$G$120,$L$29,$E$11:$E$120)</f>
        <v>0</v>
      </c>
      <c r="N29" s="102">
        <f>SUMIF($G$11:$G$120,$L$29,$H$11:$H$120)</f>
        <v>0</v>
      </c>
      <c r="O29" s="147" t="str">
        <f>IF(ISERROR((HOUR($M$29)*60+MINUTE($M$29))/$N$29),"",(HOUR($M$29)*60+MINUTE($M$29))/$N$29)</f>
        <v/>
      </c>
      <c r="P29" s="103"/>
      <c r="Q29" s="104" t="str">
        <f>IF($P$29&lt;&gt; "",$N$29/$P$29,"")</f>
        <v/>
      </c>
      <c r="R29" s="103"/>
      <c r="S29" s="103" t="s">
        <v>337</v>
      </c>
      <c r="T29" s="103"/>
      <c r="U29" s="76"/>
    </row>
    <row r="30" spans="2:21" ht="15.75" customHeight="1" x14ac:dyDescent="0.15">
      <c r="B30" s="19">
        <v>20</v>
      </c>
      <c r="C30" s="72" t="str">
        <f t="shared" si="1"/>
        <v/>
      </c>
      <c r="D30" s="18"/>
      <c r="E30" s="73" t="str">
        <f t="shared" si="0"/>
        <v/>
      </c>
      <c r="F30" s="28"/>
      <c r="G30" s="74"/>
      <c r="H30" s="74"/>
      <c r="I30" s="74"/>
      <c r="J30" s="81"/>
      <c r="K30" s="149"/>
      <c r="L30" s="100" t="s">
        <v>131</v>
      </c>
      <c r="M30" s="101">
        <f>SUMIF($G$11:$G$120,$L$30,$E$11:$E$120)</f>
        <v>0</v>
      </c>
      <c r="N30" s="102">
        <f>SUMIF($G$11:$G$120,$L$30,$H$11:$H$120)</f>
        <v>0</v>
      </c>
      <c r="O30" s="147" t="str">
        <f>IF(ISERROR((HOUR($M$30)*60+MINUTE($M$30))/$N$30),"",(HOUR($M$30)*60+MINUTE($M$30))/$N$30)</f>
        <v/>
      </c>
      <c r="P30" s="103"/>
      <c r="Q30" s="104" t="str">
        <f>IF($P$30&lt;&gt; "",$N$30/$P$30,"")</f>
        <v/>
      </c>
      <c r="R30" s="103"/>
      <c r="S30" s="103" t="s">
        <v>338</v>
      </c>
      <c r="T30" s="103"/>
      <c r="U30" s="76"/>
    </row>
    <row r="31" spans="2:21" ht="15.75" customHeight="1" x14ac:dyDescent="0.15">
      <c r="B31" s="19">
        <v>21</v>
      </c>
      <c r="C31" s="72" t="str">
        <f t="shared" si="1"/>
        <v/>
      </c>
      <c r="D31" s="18"/>
      <c r="E31" s="73" t="str">
        <f t="shared" si="0"/>
        <v/>
      </c>
      <c r="F31" s="28"/>
      <c r="G31" s="74"/>
      <c r="H31" s="74"/>
      <c r="I31" s="74"/>
      <c r="J31" s="81"/>
      <c r="K31" s="149"/>
      <c r="L31" s="100" t="s">
        <v>132</v>
      </c>
      <c r="M31" s="101">
        <f>SUMIF($G$11:$G$120,$L$31,$E$11:$E$120)</f>
        <v>0</v>
      </c>
      <c r="N31" s="102">
        <f>SUMIF($G$11:$G$120,$L$31,$H$11:$H$120)</f>
        <v>0</v>
      </c>
      <c r="O31" s="147" t="str">
        <f>IF(ISERROR((HOUR($M$31)*60+MINUTE($M$31))/$N$31),"",(HOUR($M$31)*60+MINUTE($M$31))/$N$31)</f>
        <v/>
      </c>
      <c r="P31" s="103"/>
      <c r="Q31" s="104" t="str">
        <f>IF($P$31&lt;&gt; "",$N$31/$P$31,"")</f>
        <v/>
      </c>
      <c r="R31" s="103"/>
      <c r="S31" s="103" t="s">
        <v>337</v>
      </c>
      <c r="T31" s="103"/>
      <c r="U31" s="76"/>
    </row>
    <row r="32" spans="2:21" ht="15.75" customHeight="1" x14ac:dyDescent="0.15">
      <c r="B32" s="19">
        <v>22</v>
      </c>
      <c r="C32" s="72" t="str">
        <f t="shared" si="1"/>
        <v/>
      </c>
      <c r="D32" s="18"/>
      <c r="E32" s="73" t="str">
        <f t="shared" si="0"/>
        <v/>
      </c>
      <c r="F32" s="28"/>
      <c r="G32" s="74"/>
      <c r="H32" s="74"/>
      <c r="I32" s="74"/>
      <c r="J32" s="81"/>
      <c r="K32" s="149"/>
      <c r="L32" s="100" t="s">
        <v>133</v>
      </c>
      <c r="M32" s="101">
        <f>SUMIF($G$11:$G$120,$L$32,$E$11:$E$120)</f>
        <v>0</v>
      </c>
      <c r="N32" s="102">
        <f>SUMIF($G$11:$G$120,$L$32,$H$11:$H$120)</f>
        <v>0</v>
      </c>
      <c r="O32" s="147" t="str">
        <f>IF(ISERROR((HOUR($M$32)*60+MINUTE($M$32))/$N$32),"",(HOUR($M$32)*60+MINUTE($M$32))/$N$32)</f>
        <v/>
      </c>
      <c r="P32" s="103"/>
      <c r="Q32" s="104" t="str">
        <f>IF($P$32&lt;&gt; "",$N$32/$P$32,"")</f>
        <v/>
      </c>
      <c r="R32" s="103"/>
      <c r="S32" s="103" t="s">
        <v>334</v>
      </c>
      <c r="T32" s="103"/>
      <c r="U32" s="76"/>
    </row>
    <row r="33" spans="2:21" ht="15.75" customHeight="1" x14ac:dyDescent="0.15">
      <c r="B33" s="19">
        <v>23</v>
      </c>
      <c r="C33" s="72" t="str">
        <f t="shared" si="1"/>
        <v/>
      </c>
      <c r="D33" s="18"/>
      <c r="E33" s="73" t="str">
        <f t="shared" si="0"/>
        <v/>
      </c>
      <c r="F33" s="28"/>
      <c r="G33" s="74"/>
      <c r="H33" s="74"/>
      <c r="I33" s="74"/>
      <c r="J33" s="81"/>
      <c r="K33" s="149"/>
      <c r="L33" s="100" t="s">
        <v>134</v>
      </c>
      <c r="M33" s="101">
        <f>SUMIF($G$11:$G$120,$L$33,$E$11:$E$120)</f>
        <v>0</v>
      </c>
      <c r="N33" s="102">
        <f>SUMIF($G$11:$G$120,$L$33,$H$11:$H$120)</f>
        <v>0</v>
      </c>
      <c r="O33" s="147" t="str">
        <f>IF(ISERROR((HOUR($M$33)*60+MINUTE($M$33))/$N$33),"",(HOUR($M$33)*60+MINUTE($M$33))/$N$33)</f>
        <v/>
      </c>
      <c r="P33" s="103"/>
      <c r="Q33" s="104" t="str">
        <f>IF($P$33&lt;&gt; "",$N$33/$P$33,"")</f>
        <v/>
      </c>
      <c r="R33" s="103"/>
      <c r="S33" s="103" t="s">
        <v>334</v>
      </c>
      <c r="T33" s="103"/>
      <c r="U33" s="76"/>
    </row>
    <row r="34" spans="2:21" ht="15.75" customHeight="1" x14ac:dyDescent="0.15">
      <c r="B34" s="19">
        <v>24</v>
      </c>
      <c r="C34" s="72" t="str">
        <f t="shared" si="1"/>
        <v/>
      </c>
      <c r="D34" s="18"/>
      <c r="E34" s="73" t="str">
        <f t="shared" si="0"/>
        <v/>
      </c>
      <c r="F34" s="28"/>
      <c r="G34" s="74"/>
      <c r="H34" s="74"/>
      <c r="I34" s="74"/>
      <c r="J34" s="81"/>
      <c r="K34" s="149"/>
      <c r="L34" s="100" t="s">
        <v>135</v>
      </c>
      <c r="M34" s="101">
        <f>SUMIF($G$11:$G$120,$L$34,$E$11:$E$120)</f>
        <v>0</v>
      </c>
      <c r="N34" s="102">
        <f>SUMIF($G$11:$G$120,$L$34,$H$11:$H$120)</f>
        <v>0</v>
      </c>
      <c r="O34" s="147" t="str">
        <f>IF(ISERROR((HOUR($M$34)*60+MINUTE($M$34))/$N$34),"",(HOUR($M$34)*60+MINUTE($M$34))/$N$34)</f>
        <v/>
      </c>
      <c r="P34" s="103"/>
      <c r="Q34" s="104" t="str">
        <f>IF($P$34&lt;&gt; "",$N$34/$P$34,"")</f>
        <v/>
      </c>
      <c r="R34" s="103"/>
      <c r="S34" s="103" t="s">
        <v>335</v>
      </c>
      <c r="T34" s="103"/>
      <c r="U34" s="76"/>
    </row>
    <row r="35" spans="2:21" ht="15.75" customHeight="1" x14ac:dyDescent="0.15">
      <c r="B35" s="19">
        <v>25</v>
      </c>
      <c r="C35" s="72" t="str">
        <f t="shared" si="1"/>
        <v/>
      </c>
      <c r="D35" s="18"/>
      <c r="E35" s="73" t="str">
        <f t="shared" si="0"/>
        <v/>
      </c>
      <c r="F35" s="28"/>
      <c r="G35" s="74"/>
      <c r="H35" s="74"/>
      <c r="I35" s="74"/>
      <c r="J35" s="81"/>
      <c r="K35" s="149"/>
      <c r="L35" s="100" t="s">
        <v>136</v>
      </c>
      <c r="M35" s="101">
        <f>SUMIF($G$11:$G$120,$L$35,$E$11:$E$120)</f>
        <v>0</v>
      </c>
      <c r="N35" s="109"/>
      <c r="O35" s="109"/>
      <c r="P35" s="109"/>
      <c r="Q35" s="109"/>
      <c r="R35" s="103"/>
      <c r="S35" s="109"/>
      <c r="T35" s="103"/>
      <c r="U35" s="76"/>
    </row>
    <row r="36" spans="2:21" ht="15.75" customHeight="1" x14ac:dyDescent="0.15">
      <c r="B36" s="19">
        <v>26</v>
      </c>
      <c r="C36" s="72" t="str">
        <f t="shared" si="1"/>
        <v/>
      </c>
      <c r="D36" s="18"/>
      <c r="E36" s="73" t="str">
        <f t="shared" si="0"/>
        <v/>
      </c>
      <c r="F36" s="28"/>
      <c r="G36" s="74"/>
      <c r="H36" s="74"/>
      <c r="I36" s="74"/>
      <c r="J36" s="81"/>
      <c r="K36" s="149"/>
      <c r="L36" s="100" t="s">
        <v>257</v>
      </c>
      <c r="M36" s="101">
        <f>SUMIF($G$11:$G$120,$L$36,$E$11:$E$120)</f>
        <v>0</v>
      </c>
      <c r="N36" s="109"/>
      <c r="O36" s="109"/>
      <c r="P36" s="109"/>
      <c r="Q36" s="109"/>
      <c r="R36" s="103"/>
      <c r="S36" s="144" t="s">
        <v>332</v>
      </c>
      <c r="T36" s="103"/>
      <c r="U36" s="76"/>
    </row>
    <row r="37" spans="2:21" ht="15.75" customHeight="1" x14ac:dyDescent="0.15">
      <c r="B37" s="19">
        <v>27</v>
      </c>
      <c r="C37" s="72" t="str">
        <f t="shared" si="1"/>
        <v/>
      </c>
      <c r="D37" s="18"/>
      <c r="E37" s="73" t="str">
        <f t="shared" si="0"/>
        <v/>
      </c>
      <c r="F37" s="28"/>
      <c r="G37" s="74"/>
      <c r="H37" s="74"/>
      <c r="I37" s="74"/>
      <c r="J37" s="81"/>
      <c r="K37" s="149"/>
      <c r="L37" s="93" t="s">
        <v>104</v>
      </c>
      <c r="M37" s="97">
        <f>SUMIF($L$38:$L$53,"&lt;&gt;【*】",$M$38:$M$53)</f>
        <v>0</v>
      </c>
      <c r="N37" s="98">
        <f>SUMIF($L$38:$L$53,"&lt;&gt;【*】",$N$38:$N$53)</f>
        <v>0</v>
      </c>
      <c r="O37" s="96"/>
      <c r="P37" s="96"/>
      <c r="Q37" s="96"/>
      <c r="R37" s="103"/>
      <c r="S37" s="96"/>
      <c r="T37" s="103"/>
      <c r="U37" s="76"/>
    </row>
    <row r="38" spans="2:21" ht="15.75" customHeight="1" x14ac:dyDescent="0.15">
      <c r="B38" s="19">
        <v>28</v>
      </c>
      <c r="C38" s="72" t="str">
        <f t="shared" si="1"/>
        <v/>
      </c>
      <c r="D38" s="18"/>
      <c r="E38" s="73" t="str">
        <f t="shared" si="0"/>
        <v/>
      </c>
      <c r="F38" s="28"/>
      <c r="G38" s="74"/>
      <c r="H38" s="74"/>
      <c r="I38" s="74"/>
      <c r="J38" s="81"/>
      <c r="K38" s="149"/>
      <c r="L38" s="100" t="s">
        <v>137</v>
      </c>
      <c r="M38" s="101">
        <f>SUMIF($G$11:$G$120,$L$38,$E$11:$E$120)</f>
        <v>0</v>
      </c>
      <c r="N38" s="102">
        <f>SUMIF($G$11:$G$120,$L$38,$H$11:$H$120)</f>
        <v>0</v>
      </c>
      <c r="O38" s="147" t="str">
        <f>IF(ISERROR((HOUR($M$38)*60+MINUTE($M$38))/$N$38),"",(HOUR($M$38)*60+MINUTE($M$38))/$N$38)</f>
        <v/>
      </c>
      <c r="P38" s="103"/>
      <c r="Q38" s="104" t="str">
        <f>IF($P$38&lt;&gt; "",$N$38/$P$38,"")</f>
        <v/>
      </c>
      <c r="R38" s="103"/>
      <c r="S38" s="103" t="s">
        <v>339</v>
      </c>
      <c r="T38" s="103"/>
      <c r="U38" s="76"/>
    </row>
    <row r="39" spans="2:21" ht="15.75" customHeight="1" x14ac:dyDescent="0.15">
      <c r="B39" s="19">
        <v>29</v>
      </c>
      <c r="C39" s="72" t="str">
        <f t="shared" si="1"/>
        <v/>
      </c>
      <c r="D39" s="18"/>
      <c r="E39" s="73" t="str">
        <f t="shared" si="0"/>
        <v/>
      </c>
      <c r="F39" s="28"/>
      <c r="G39" s="74"/>
      <c r="H39" s="74"/>
      <c r="I39" s="74"/>
      <c r="J39" s="81"/>
      <c r="K39" s="149"/>
      <c r="L39" s="100" t="s">
        <v>138</v>
      </c>
      <c r="M39" s="101">
        <f>SUMIF($G$11:$G$120,$L$39,$E$11:$E$120)</f>
        <v>0</v>
      </c>
      <c r="N39" s="109"/>
      <c r="O39" s="109"/>
      <c r="P39" s="109"/>
      <c r="Q39" s="109"/>
      <c r="R39" s="103"/>
      <c r="S39" s="144" t="s">
        <v>332</v>
      </c>
      <c r="T39" s="103"/>
      <c r="U39" s="76"/>
    </row>
    <row r="40" spans="2:21" ht="15.75" customHeight="1" x14ac:dyDescent="0.15">
      <c r="B40" s="19">
        <v>30</v>
      </c>
      <c r="C40" s="72" t="str">
        <f t="shared" si="1"/>
        <v/>
      </c>
      <c r="D40" s="18"/>
      <c r="E40" s="73" t="str">
        <f t="shared" si="0"/>
        <v/>
      </c>
      <c r="F40" s="28"/>
      <c r="G40" s="74"/>
      <c r="H40" s="74"/>
      <c r="I40" s="74"/>
      <c r="J40" s="81"/>
      <c r="K40" s="149"/>
      <c r="L40" s="100" t="s">
        <v>139</v>
      </c>
      <c r="M40" s="101">
        <f>SUMIF($G$11:$G$120,$L$40,$E$11:$E$120)</f>
        <v>0</v>
      </c>
      <c r="N40" s="102">
        <f>SUMIF($G$11:$G$120,$L$40,$H$11:$H$120)</f>
        <v>0</v>
      </c>
      <c r="O40" s="147" t="str">
        <f>IF(ISERROR((HOUR($M$40)*60+MINUTE($M$40))/$N$40),"",(HOUR($M$40)*60+MINUTE($M$40))/$N$40)</f>
        <v/>
      </c>
      <c r="P40" s="103"/>
      <c r="Q40" s="104" t="str">
        <f>IF($P$40&lt;&gt; "",$N$40/$P$40,"")</f>
        <v/>
      </c>
      <c r="R40" s="103"/>
      <c r="S40" s="103" t="s">
        <v>340</v>
      </c>
      <c r="T40" s="103"/>
      <c r="U40" s="76"/>
    </row>
    <row r="41" spans="2:21" ht="15.75" customHeight="1" x14ac:dyDescent="0.15">
      <c r="B41" s="19">
        <v>31</v>
      </c>
      <c r="C41" s="72" t="str">
        <f t="shared" si="1"/>
        <v/>
      </c>
      <c r="D41" s="18"/>
      <c r="E41" s="73" t="str">
        <f t="shared" si="0"/>
        <v/>
      </c>
      <c r="F41" s="28"/>
      <c r="G41" s="74"/>
      <c r="H41" s="74"/>
      <c r="I41" s="74"/>
      <c r="J41" s="81"/>
      <c r="K41" s="149"/>
      <c r="L41" s="100" t="s">
        <v>140</v>
      </c>
      <c r="M41" s="101">
        <f>SUMIF($G$11:$G$120,$L$41,$E$11:$E$120)</f>
        <v>0</v>
      </c>
      <c r="N41" s="102">
        <f>SUMIF($G$11:$G$120,$L$41,$H$11:$H$120)</f>
        <v>0</v>
      </c>
      <c r="O41" s="147" t="str">
        <f>IF(ISERROR((HOUR($M$41)*60+MINUTE($M$41))/$N$41),"",(HOUR($M$41)*60+MINUTE($M$41))/$N$41)</f>
        <v/>
      </c>
      <c r="P41" s="103"/>
      <c r="Q41" s="104" t="str">
        <f>IF($P$41&lt;&gt; "",$N$41/$P$41,"")</f>
        <v/>
      </c>
      <c r="R41" s="103"/>
      <c r="S41" s="103" t="s">
        <v>340</v>
      </c>
      <c r="T41" s="103"/>
      <c r="U41" s="76"/>
    </row>
    <row r="42" spans="2:21" ht="15.75" customHeight="1" x14ac:dyDescent="0.15">
      <c r="B42" s="19">
        <v>32</v>
      </c>
      <c r="C42" s="72" t="str">
        <f t="shared" si="1"/>
        <v/>
      </c>
      <c r="D42" s="18"/>
      <c r="E42" s="73" t="str">
        <f t="shared" si="0"/>
        <v/>
      </c>
      <c r="F42" s="28"/>
      <c r="G42" s="74"/>
      <c r="H42" s="74"/>
      <c r="I42" s="74"/>
      <c r="J42" s="81"/>
      <c r="K42" s="149"/>
      <c r="L42" s="100" t="s">
        <v>141</v>
      </c>
      <c r="M42" s="101">
        <f>SUMIF($G$11:$G$120,$L$42,$E$11:$E$120)</f>
        <v>0</v>
      </c>
      <c r="N42" s="102">
        <f>SUMIF($G$11:$G$120,$L$42,$H$11:$H$120)</f>
        <v>0</v>
      </c>
      <c r="O42" s="147" t="str">
        <f>IF(ISERROR((HOUR($M$42)*60+MINUTE($M$42))/$N$42),"",(HOUR($M$42)*60+MINUTE($M$42))/$N$42)</f>
        <v/>
      </c>
      <c r="P42" s="103"/>
      <c r="Q42" s="104" t="str">
        <f>IF($P$42&lt;&gt; "",$N$42/$P$42,"")</f>
        <v/>
      </c>
      <c r="R42" s="103"/>
      <c r="S42" s="103" t="s">
        <v>341</v>
      </c>
      <c r="T42" s="103"/>
      <c r="U42" s="76"/>
    </row>
    <row r="43" spans="2:21" ht="15.75" customHeight="1" x14ac:dyDescent="0.15">
      <c r="B43" s="19">
        <v>33</v>
      </c>
      <c r="C43" s="72" t="str">
        <f t="shared" si="1"/>
        <v/>
      </c>
      <c r="D43" s="18"/>
      <c r="E43" s="73" t="str">
        <f t="shared" si="0"/>
        <v/>
      </c>
      <c r="F43" s="28"/>
      <c r="G43" s="74"/>
      <c r="H43" s="74"/>
      <c r="I43" s="74"/>
      <c r="J43" s="81"/>
      <c r="K43" s="149"/>
      <c r="L43" s="100" t="s">
        <v>142</v>
      </c>
      <c r="M43" s="101">
        <f>SUMIF($G$11:$G$120,$L$43,$E$11:$E$120)</f>
        <v>0</v>
      </c>
      <c r="N43" s="102">
        <f>SUMIF($G$11:$G$120,$L$43,$H$11:$H$120)</f>
        <v>0</v>
      </c>
      <c r="O43" s="147" t="str">
        <f>IF(ISERROR((HOUR($M$43)*60+MINUTE($M$43))/$N$43),"",(HOUR($M$43)*60+MINUTE($M$43))/$N$43)</f>
        <v/>
      </c>
      <c r="P43" s="103"/>
      <c r="Q43" s="104" t="str">
        <f>IF($P$43&lt;&gt; "",$N$43/$P$43,"")</f>
        <v/>
      </c>
      <c r="R43" s="103"/>
      <c r="S43" s="103" t="s">
        <v>342</v>
      </c>
      <c r="T43" s="103"/>
      <c r="U43" s="76"/>
    </row>
    <row r="44" spans="2:21" ht="15.75" customHeight="1" x14ac:dyDescent="0.15">
      <c r="B44" s="19">
        <v>34</v>
      </c>
      <c r="C44" s="72" t="str">
        <f t="shared" si="1"/>
        <v/>
      </c>
      <c r="D44" s="18"/>
      <c r="E44" s="73" t="str">
        <f t="shared" si="0"/>
        <v/>
      </c>
      <c r="F44" s="28"/>
      <c r="G44" s="74"/>
      <c r="H44" s="74"/>
      <c r="I44" s="74"/>
      <c r="J44" s="81"/>
      <c r="K44" s="149"/>
      <c r="L44" s="100" t="s">
        <v>143</v>
      </c>
      <c r="M44" s="101">
        <f>SUMIF($G$11:$G$120,$L$44,$E$11:$E$120)</f>
        <v>0</v>
      </c>
      <c r="N44" s="102">
        <f>SUMIF($G$11:$G$120,$L$44,$H$11:$H$120)</f>
        <v>0</v>
      </c>
      <c r="O44" s="147" t="str">
        <f>IF(ISERROR((HOUR($M$44)*60+MINUTE($M$44))/$N$44),"",(HOUR($M$44)*60+MINUTE($M$44))/$N$44)</f>
        <v/>
      </c>
      <c r="P44" s="103"/>
      <c r="Q44" s="104" t="str">
        <f>IF($P$44&lt;&gt; "",$N$44/$P$44,"")</f>
        <v/>
      </c>
      <c r="R44" s="103"/>
      <c r="S44" s="103" t="s">
        <v>343</v>
      </c>
      <c r="T44" s="103"/>
      <c r="U44" s="76"/>
    </row>
    <row r="45" spans="2:21" ht="15.75" customHeight="1" x14ac:dyDescent="0.15">
      <c r="B45" s="19">
        <v>35</v>
      </c>
      <c r="C45" s="72" t="str">
        <f t="shared" si="1"/>
        <v/>
      </c>
      <c r="D45" s="18"/>
      <c r="E45" s="73" t="str">
        <f t="shared" si="0"/>
        <v/>
      </c>
      <c r="F45" s="28"/>
      <c r="G45" s="74"/>
      <c r="H45" s="74"/>
      <c r="I45" s="74"/>
      <c r="J45" s="81"/>
      <c r="K45" s="149"/>
      <c r="L45" s="100" t="s">
        <v>144</v>
      </c>
      <c r="M45" s="101">
        <f>SUMIF($G$11:$G$120,$L$45,$E$11:$E$120)</f>
        <v>0</v>
      </c>
      <c r="N45" s="102">
        <f>SUMIF($G$11:$G$120,$L$45,$H$11:$H$120)</f>
        <v>0</v>
      </c>
      <c r="O45" s="147" t="str">
        <f>IF(ISERROR((HOUR($M$45)*60+MINUTE($M$45))/$N$45),"",(HOUR($M$45)*60+MINUTE($M$45))/$N$45)</f>
        <v/>
      </c>
      <c r="P45" s="103"/>
      <c r="Q45" s="104" t="str">
        <f>IF($P$45&lt;&gt; "",$N$45/$P$45,"")</f>
        <v/>
      </c>
      <c r="R45" s="103"/>
      <c r="S45" s="103" t="s">
        <v>344</v>
      </c>
      <c r="T45" s="103"/>
      <c r="U45" s="76"/>
    </row>
    <row r="46" spans="2:21" ht="15.75" customHeight="1" x14ac:dyDescent="0.15">
      <c r="B46" s="19">
        <v>36</v>
      </c>
      <c r="C46" s="72" t="str">
        <f t="shared" si="1"/>
        <v/>
      </c>
      <c r="D46" s="18"/>
      <c r="E46" s="73" t="str">
        <f t="shared" si="0"/>
        <v/>
      </c>
      <c r="F46" s="28"/>
      <c r="G46" s="74"/>
      <c r="H46" s="74"/>
      <c r="I46" s="74"/>
      <c r="J46" s="81"/>
      <c r="K46" s="149"/>
      <c r="L46" s="100" t="s">
        <v>145</v>
      </c>
      <c r="M46" s="101">
        <f>SUMIF($G$11:$G$120,$L$46,$E$11:$E$120)</f>
        <v>0</v>
      </c>
      <c r="N46" s="102">
        <f>SUMIF($G$11:$G$120,$L$46,$H$11:$H$120)</f>
        <v>0</v>
      </c>
      <c r="O46" s="147" t="str">
        <f>IF(ISERROR((HOUR($M$46)*60+MINUTE($M$46))/$N$46),"",(HOUR($M$46)*60+MINUTE($M$46))/$N$46)</f>
        <v/>
      </c>
      <c r="P46" s="103"/>
      <c r="Q46" s="104" t="str">
        <f>IF($P$46&lt;&gt; "",$N$46/$P$46,"")</f>
        <v/>
      </c>
      <c r="R46" s="103"/>
      <c r="S46" s="103" t="s">
        <v>344</v>
      </c>
      <c r="T46" s="103"/>
      <c r="U46" s="76"/>
    </row>
    <row r="47" spans="2:21" ht="15.75" customHeight="1" x14ac:dyDescent="0.15">
      <c r="B47" s="19">
        <v>37</v>
      </c>
      <c r="C47" s="72" t="str">
        <f t="shared" si="1"/>
        <v/>
      </c>
      <c r="D47" s="18"/>
      <c r="E47" s="73" t="str">
        <f t="shared" si="0"/>
        <v/>
      </c>
      <c r="F47" s="28"/>
      <c r="G47" s="74"/>
      <c r="H47" s="74"/>
      <c r="I47" s="74"/>
      <c r="J47" s="81"/>
      <c r="K47" s="149"/>
      <c r="L47" s="100" t="s">
        <v>146</v>
      </c>
      <c r="M47" s="101">
        <f>SUMIF($G$11:$G$120,$L$47,$E$11:$E$120)</f>
        <v>0</v>
      </c>
      <c r="N47" s="102">
        <f>SUMIF($G$11:$G$120,$L$47,$H$11:$H$120)</f>
        <v>0</v>
      </c>
      <c r="O47" s="147" t="str">
        <f>IF(ISERROR((HOUR($M$47)*60+MINUTE($M$47))/$N$47),"",(HOUR($M$47)*60+MINUTE($M$47))/$N$47)</f>
        <v/>
      </c>
      <c r="P47" s="103"/>
      <c r="Q47" s="104" t="str">
        <f>IF($P$47&lt;&gt; "",$N$47/$P$47,"")</f>
        <v/>
      </c>
      <c r="R47" s="103"/>
      <c r="S47" s="103" t="s">
        <v>335</v>
      </c>
      <c r="T47" s="103"/>
      <c r="U47" s="76"/>
    </row>
    <row r="48" spans="2:21" ht="15.75" customHeight="1" x14ac:dyDescent="0.15">
      <c r="B48" s="19">
        <v>38</v>
      </c>
      <c r="C48" s="72" t="str">
        <f t="shared" si="1"/>
        <v/>
      </c>
      <c r="D48" s="18"/>
      <c r="E48" s="73" t="str">
        <f t="shared" si="0"/>
        <v/>
      </c>
      <c r="F48" s="28"/>
      <c r="G48" s="74"/>
      <c r="H48" s="74"/>
      <c r="I48" s="74"/>
      <c r="J48" s="81"/>
      <c r="K48" s="149"/>
      <c r="L48" s="100" t="s">
        <v>147</v>
      </c>
      <c r="M48" s="101">
        <f>SUMIF($G$11:$G$120,$L$48,$E$11:$E$120)</f>
        <v>0</v>
      </c>
      <c r="N48" s="102">
        <f>SUMIF($G$11:$G$120,$L$48,$H$11:$H$120)</f>
        <v>0</v>
      </c>
      <c r="O48" s="147" t="str">
        <f>IF(ISERROR((HOUR($M$48)*60+MINUTE($M$48))/$N$48),"",(HOUR($M$48)*60+MINUTE($M$48))/$N$48)</f>
        <v/>
      </c>
      <c r="P48" s="103"/>
      <c r="Q48" s="104" t="str">
        <f>IF($P$48&lt;&gt; "",$N$48/$P$48,"")</f>
        <v/>
      </c>
      <c r="R48" s="103"/>
      <c r="S48" s="103" t="s">
        <v>344</v>
      </c>
      <c r="T48" s="103"/>
      <c r="U48" s="76"/>
    </row>
    <row r="49" spans="2:21" ht="15.75" customHeight="1" x14ac:dyDescent="0.15">
      <c r="B49" s="19">
        <v>39</v>
      </c>
      <c r="C49" s="72" t="str">
        <f t="shared" si="1"/>
        <v/>
      </c>
      <c r="D49" s="18"/>
      <c r="E49" s="73" t="str">
        <f t="shared" si="0"/>
        <v/>
      </c>
      <c r="F49" s="28"/>
      <c r="G49" s="74"/>
      <c r="H49" s="74"/>
      <c r="I49" s="74"/>
      <c r="J49" s="81"/>
      <c r="K49" s="149"/>
      <c r="L49" s="100" t="s">
        <v>148</v>
      </c>
      <c r="M49" s="101">
        <f>SUMIF($G$11:$G$120,$L$49,$E$11:$E$120)</f>
        <v>0</v>
      </c>
      <c r="N49" s="102">
        <f>SUMIF($G$11:$G$120,$L$49,$H$11:$H$120)</f>
        <v>0</v>
      </c>
      <c r="O49" s="147" t="str">
        <f>IF(ISERROR((HOUR($M$49)*60+MINUTE($M$49))/$N$49),"",(HOUR($M$49)*60+MINUTE($M$49))/$N$49)</f>
        <v/>
      </c>
      <c r="P49" s="103"/>
      <c r="Q49" s="104" t="str">
        <f>IF($P$49&lt;&gt; "",$N$49/$P$49,"")</f>
        <v/>
      </c>
      <c r="R49" s="103"/>
      <c r="S49" s="103" t="s">
        <v>336</v>
      </c>
      <c r="T49" s="103"/>
      <c r="U49" s="76"/>
    </row>
    <row r="50" spans="2:21" ht="15.75" customHeight="1" x14ac:dyDescent="0.15">
      <c r="B50" s="19">
        <v>40</v>
      </c>
      <c r="C50" s="72" t="str">
        <f t="shared" si="1"/>
        <v/>
      </c>
      <c r="D50" s="18"/>
      <c r="E50" s="73" t="str">
        <f t="shared" si="0"/>
        <v/>
      </c>
      <c r="F50" s="28"/>
      <c r="G50" s="74"/>
      <c r="H50" s="74"/>
      <c r="I50" s="74"/>
      <c r="J50" s="81"/>
      <c r="K50" s="149"/>
      <c r="L50" s="100" t="s">
        <v>149</v>
      </c>
      <c r="M50" s="101">
        <f>SUMIF($G$11:$G$120,$L$50,$E$11:$E$120)</f>
        <v>0</v>
      </c>
      <c r="N50" s="102">
        <f>SUMIF($G$11:$G$120,$L$50,$H$11:$H$120)</f>
        <v>0</v>
      </c>
      <c r="O50" s="147" t="str">
        <f>IF(ISERROR((HOUR($M$50)*60+MINUTE($M$50))/$N$50),"",(HOUR($M$50)*60+MINUTE($M$50))/$N$50)</f>
        <v/>
      </c>
      <c r="P50" s="103"/>
      <c r="Q50" s="104" t="str">
        <f>IF($P$50&lt;&gt; "",$N$50/$P$50,"")</f>
        <v/>
      </c>
      <c r="R50" s="103"/>
      <c r="S50" s="103" t="s">
        <v>335</v>
      </c>
      <c r="T50" s="103"/>
      <c r="U50" s="71"/>
    </row>
    <row r="51" spans="2:21" ht="15.75" customHeight="1" x14ac:dyDescent="0.15">
      <c r="B51" s="19">
        <v>41</v>
      </c>
      <c r="C51" s="72" t="str">
        <f t="shared" si="1"/>
        <v/>
      </c>
      <c r="D51" s="18"/>
      <c r="E51" s="73" t="str">
        <f t="shared" si="0"/>
        <v/>
      </c>
      <c r="F51" s="28"/>
      <c r="G51" s="74"/>
      <c r="H51" s="74"/>
      <c r="I51" s="74"/>
      <c r="J51" s="81"/>
      <c r="K51" s="149"/>
      <c r="L51" s="100" t="s">
        <v>150</v>
      </c>
      <c r="M51" s="101">
        <f>SUMIF($G$11:$G$120,$L$51,$E$11:$E$120)</f>
        <v>0</v>
      </c>
      <c r="N51" s="102">
        <f>SUMIF($G$11:$G$120,$L$51,$H$11:$H$120)</f>
        <v>0</v>
      </c>
      <c r="O51" s="147" t="str">
        <f>IF(ISERROR((HOUR($M$51)*60+MINUTE($M$51))/$N$51),"",(HOUR($M$51)*60+MINUTE($M$51))/$N$51)</f>
        <v/>
      </c>
      <c r="P51" s="103"/>
      <c r="Q51" s="104" t="str">
        <f>IF($P$51&lt;&gt; "",$N$51/$P$51,"")</f>
        <v/>
      </c>
      <c r="R51" s="103"/>
      <c r="S51" s="103" t="s">
        <v>342</v>
      </c>
      <c r="T51" s="103"/>
      <c r="U51" s="76"/>
    </row>
    <row r="52" spans="2:21" ht="15.75" customHeight="1" x14ac:dyDescent="0.15">
      <c r="B52" s="19">
        <v>42</v>
      </c>
      <c r="C52" s="72" t="str">
        <f t="shared" si="1"/>
        <v/>
      </c>
      <c r="D52" s="18"/>
      <c r="E52" s="73" t="str">
        <f t="shared" si="0"/>
        <v/>
      </c>
      <c r="F52" s="28"/>
      <c r="G52" s="74"/>
      <c r="H52" s="74"/>
      <c r="I52" s="74"/>
      <c r="J52" s="81"/>
      <c r="K52" s="149"/>
      <c r="L52" s="100" t="s">
        <v>151</v>
      </c>
      <c r="M52" s="101">
        <f>SUMIF($G$11:$G$120,$L$52,$E$11:$E$120)</f>
        <v>0</v>
      </c>
      <c r="N52" s="109"/>
      <c r="O52" s="109"/>
      <c r="P52" s="109"/>
      <c r="Q52" s="109"/>
      <c r="R52" s="103"/>
      <c r="S52" s="109"/>
      <c r="T52" s="103"/>
      <c r="U52" s="76"/>
    </row>
    <row r="53" spans="2:21" ht="15.75" customHeight="1" x14ac:dyDescent="0.15">
      <c r="B53" s="19">
        <v>43</v>
      </c>
      <c r="C53" s="72" t="str">
        <f t="shared" si="1"/>
        <v/>
      </c>
      <c r="D53" s="18"/>
      <c r="E53" s="73" t="str">
        <f t="shared" si="0"/>
        <v/>
      </c>
      <c r="F53" s="28"/>
      <c r="G53" s="74"/>
      <c r="H53" s="74"/>
      <c r="I53" s="74"/>
      <c r="J53" s="81"/>
      <c r="K53" s="149"/>
      <c r="L53" s="100" t="s">
        <v>258</v>
      </c>
      <c r="M53" s="101">
        <f>SUMIF($G$11:$G$120,$L$53,$E$11:$E$120)</f>
        <v>0</v>
      </c>
      <c r="N53" s="109"/>
      <c r="O53" s="109"/>
      <c r="P53" s="109"/>
      <c r="Q53" s="109"/>
      <c r="R53" s="103"/>
      <c r="S53" s="144" t="s">
        <v>332</v>
      </c>
      <c r="T53" s="103"/>
      <c r="U53" s="76"/>
    </row>
    <row r="54" spans="2:21" ht="15.75" customHeight="1" x14ac:dyDescent="0.15">
      <c r="B54" s="19">
        <v>44</v>
      </c>
      <c r="C54" s="72" t="str">
        <f t="shared" si="1"/>
        <v/>
      </c>
      <c r="D54" s="18"/>
      <c r="E54" s="73" t="str">
        <f t="shared" si="0"/>
        <v/>
      </c>
      <c r="F54" s="28"/>
      <c r="G54" s="74"/>
      <c r="H54" s="74"/>
      <c r="I54" s="74"/>
      <c r="J54" s="81"/>
      <c r="K54" s="149"/>
      <c r="L54" s="93" t="s">
        <v>105</v>
      </c>
      <c r="M54" s="97">
        <f>SUMIF($L$55:$L$60,"&lt;&gt;【*】",$M$55:$M$60)</f>
        <v>0</v>
      </c>
      <c r="N54" s="98">
        <f>SUMIF($L$55:$L$60,"&lt;&gt;【*】",$N$55:$N$60)</f>
        <v>0</v>
      </c>
      <c r="O54" s="96"/>
      <c r="P54" s="96"/>
      <c r="Q54" s="96"/>
      <c r="R54" s="103"/>
      <c r="S54" s="96"/>
      <c r="T54" s="103"/>
      <c r="U54" s="76"/>
    </row>
    <row r="55" spans="2:21" ht="15.75" customHeight="1" x14ac:dyDescent="0.15">
      <c r="B55" s="19">
        <v>45</v>
      </c>
      <c r="C55" s="72" t="str">
        <f t="shared" si="1"/>
        <v/>
      </c>
      <c r="D55" s="18"/>
      <c r="E55" s="73" t="str">
        <f t="shared" si="0"/>
        <v/>
      </c>
      <c r="F55" s="28"/>
      <c r="G55" s="74"/>
      <c r="H55" s="74"/>
      <c r="I55" s="74"/>
      <c r="J55" s="81"/>
      <c r="K55" s="149"/>
      <c r="L55" s="100" t="s">
        <v>152</v>
      </c>
      <c r="M55" s="101">
        <f>SUMIF($G$11:$G$120,$L$55,$E$11:$E$120)</f>
        <v>0</v>
      </c>
      <c r="N55" s="102">
        <f>SUMIF($G$11:$G$120,$L$55,$H$11:$H$120)</f>
        <v>0</v>
      </c>
      <c r="O55" s="147" t="str">
        <f>IF(ISERROR((HOUR($M$55)*60+MINUTE($M$55))/$N$55),"",(HOUR($M$55)*60+MINUTE($M$55))/$N$55)</f>
        <v/>
      </c>
      <c r="P55" s="103"/>
      <c r="Q55" s="104" t="str">
        <f>IF($P$55&lt;&gt; "",$N$55/$P$55,"")</f>
        <v/>
      </c>
      <c r="R55" s="103"/>
      <c r="S55" s="103" t="s">
        <v>335</v>
      </c>
      <c r="T55" s="103"/>
      <c r="U55" s="76"/>
    </row>
    <row r="56" spans="2:21" ht="15.75" customHeight="1" x14ac:dyDescent="0.15">
      <c r="B56" s="19">
        <v>46</v>
      </c>
      <c r="C56" s="72" t="str">
        <f t="shared" si="1"/>
        <v/>
      </c>
      <c r="D56" s="18"/>
      <c r="E56" s="73" t="str">
        <f t="shared" si="0"/>
        <v/>
      </c>
      <c r="F56" s="28"/>
      <c r="G56" s="74"/>
      <c r="H56" s="74"/>
      <c r="I56" s="74"/>
      <c r="J56" s="81"/>
      <c r="K56" s="149"/>
      <c r="L56" s="100" t="s">
        <v>153</v>
      </c>
      <c r="M56" s="101">
        <f>SUMIF($G$11:$G$120,$L$56,$E$11:$E$120)</f>
        <v>0</v>
      </c>
      <c r="N56" s="102">
        <f>SUMIF($G$11:$G$120,$L$56,$H$11:$H$120)</f>
        <v>0</v>
      </c>
      <c r="O56" s="147" t="str">
        <f>IF(ISERROR((HOUR($M$56)*60+MINUTE($M$56))/$N$56),"",(HOUR($M$56)*60+MINUTE($M$56))/$N$56)</f>
        <v/>
      </c>
      <c r="P56" s="103"/>
      <c r="Q56" s="104" t="str">
        <f>IF($P$56&lt;&gt; "",$N$56/$P$56,"")</f>
        <v/>
      </c>
      <c r="R56" s="103"/>
      <c r="S56" s="103" t="s">
        <v>335</v>
      </c>
      <c r="T56" s="103"/>
      <c r="U56" s="76"/>
    </row>
    <row r="57" spans="2:21" ht="15.75" customHeight="1" x14ac:dyDescent="0.15">
      <c r="B57" s="19">
        <v>47</v>
      </c>
      <c r="C57" s="72" t="str">
        <f t="shared" si="1"/>
        <v/>
      </c>
      <c r="D57" s="18"/>
      <c r="E57" s="73" t="str">
        <f t="shared" si="0"/>
        <v/>
      </c>
      <c r="F57" s="28"/>
      <c r="G57" s="74"/>
      <c r="H57" s="74"/>
      <c r="I57" s="74"/>
      <c r="J57" s="81"/>
      <c r="K57" s="149"/>
      <c r="L57" s="100" t="s">
        <v>154</v>
      </c>
      <c r="M57" s="101">
        <f>SUMIF($G$11:$G$120,$L$57,$E$11:$E$120)</f>
        <v>0</v>
      </c>
      <c r="N57" s="102">
        <f>SUMIF($G$11:$G$120,$L$57,$H$11:$H$120)</f>
        <v>0</v>
      </c>
      <c r="O57" s="147" t="str">
        <f>IF(ISERROR((HOUR($M$57)*60+MINUTE($M$57))/$N$57),"",(HOUR($M$57)*60+MINUTE($M$57))/$N$57)</f>
        <v/>
      </c>
      <c r="P57" s="103"/>
      <c r="Q57" s="104" t="str">
        <f>IF($P$57&lt;&gt; "",$N$57/$P$57,"")</f>
        <v/>
      </c>
      <c r="R57" s="103"/>
      <c r="S57" s="103" t="s">
        <v>335</v>
      </c>
      <c r="T57" s="103"/>
      <c r="U57" s="76"/>
    </row>
    <row r="58" spans="2:21" ht="15.75" customHeight="1" x14ac:dyDescent="0.15">
      <c r="B58" s="19">
        <v>48</v>
      </c>
      <c r="C58" s="72" t="str">
        <f t="shared" si="1"/>
        <v/>
      </c>
      <c r="D58" s="18"/>
      <c r="E58" s="73" t="str">
        <f t="shared" si="0"/>
        <v/>
      </c>
      <c r="F58" s="28"/>
      <c r="G58" s="74"/>
      <c r="H58" s="74"/>
      <c r="I58" s="74"/>
      <c r="J58" s="81"/>
      <c r="K58" s="149"/>
      <c r="L58" s="100" t="s">
        <v>155</v>
      </c>
      <c r="M58" s="101">
        <f>SUMIF($G$11:$G$120,$L$58,$E$11:$E$120)</f>
        <v>0</v>
      </c>
      <c r="N58" s="102">
        <f>SUMIF($G$11:$G$120,$L$58,$H$11:$H$120)</f>
        <v>0</v>
      </c>
      <c r="O58" s="147" t="str">
        <f>IF(ISERROR((HOUR($M$58)*60+MINUTE($M$58))/$N$58),"",(HOUR($M$58)*60+MINUTE($M$58))/$N$58)</f>
        <v/>
      </c>
      <c r="P58" s="103"/>
      <c r="Q58" s="104" t="str">
        <f>IF($P$58&lt;&gt; "",$N$58/$P$58,"")</f>
        <v/>
      </c>
      <c r="R58" s="103"/>
      <c r="S58" s="103" t="s">
        <v>336</v>
      </c>
      <c r="T58" s="103"/>
      <c r="U58" s="76"/>
    </row>
    <row r="59" spans="2:21" ht="15.75" customHeight="1" x14ac:dyDescent="0.15">
      <c r="B59" s="19">
        <v>49</v>
      </c>
      <c r="C59" s="72" t="str">
        <f t="shared" si="1"/>
        <v/>
      </c>
      <c r="D59" s="18"/>
      <c r="E59" s="73" t="str">
        <f t="shared" si="0"/>
        <v/>
      </c>
      <c r="F59" s="28"/>
      <c r="G59" s="74"/>
      <c r="H59" s="74"/>
      <c r="I59" s="74"/>
      <c r="J59" s="81"/>
      <c r="K59" s="149"/>
      <c r="L59" s="100" t="s">
        <v>156</v>
      </c>
      <c r="M59" s="101">
        <f>SUMIF($G$11:$G$120,$L$59,$E$11:$E$120)</f>
        <v>0</v>
      </c>
      <c r="N59" s="102">
        <f>SUMIF($G$11:$G$120,$L$59,$H$11:$H$120)</f>
        <v>0</v>
      </c>
      <c r="O59" s="147" t="str">
        <f>IF(ISERROR((HOUR($M$59)*60+MINUTE($M$59))/$N$59),"",(HOUR($M$59)*60+MINUTE($M$59))/$N$59)</f>
        <v/>
      </c>
      <c r="P59" s="103"/>
      <c r="Q59" s="104" t="str">
        <f>IF($P$59&lt;&gt; "",$N$59/$P$59,"")</f>
        <v/>
      </c>
      <c r="R59" s="103"/>
      <c r="S59" s="103" t="s">
        <v>335</v>
      </c>
      <c r="T59" s="103"/>
      <c r="U59" s="76"/>
    </row>
    <row r="60" spans="2:21" ht="15.75" customHeight="1" x14ac:dyDescent="0.15">
      <c r="B60" s="20">
        <v>50</v>
      </c>
      <c r="C60" s="72" t="str">
        <f t="shared" si="1"/>
        <v/>
      </c>
      <c r="D60" s="18"/>
      <c r="E60" s="73" t="str">
        <f t="shared" si="0"/>
        <v/>
      </c>
      <c r="F60" s="28"/>
      <c r="G60" s="74"/>
      <c r="H60" s="74"/>
      <c r="I60" s="74"/>
      <c r="J60" s="81"/>
      <c r="K60" s="149"/>
      <c r="L60" s="100" t="s">
        <v>259</v>
      </c>
      <c r="M60" s="101">
        <f>SUMIF($G$11:$G$120,$L$60,$E$11:$E$120)</f>
        <v>0</v>
      </c>
      <c r="N60" s="109"/>
      <c r="O60" s="109"/>
      <c r="P60" s="109"/>
      <c r="Q60" s="109"/>
      <c r="R60" s="103"/>
      <c r="S60" s="109"/>
      <c r="T60" s="103"/>
      <c r="U60" s="76"/>
    </row>
    <row r="61" spans="2:21" ht="15.75" customHeight="1" x14ac:dyDescent="0.15">
      <c r="B61" s="19">
        <v>51</v>
      </c>
      <c r="C61" s="72" t="str">
        <f t="shared" si="1"/>
        <v/>
      </c>
      <c r="D61" s="18"/>
      <c r="E61" s="73" t="str">
        <f t="shared" si="0"/>
        <v/>
      </c>
      <c r="F61" s="28"/>
      <c r="G61" s="74"/>
      <c r="H61" s="74"/>
      <c r="I61" s="74"/>
      <c r="J61" s="81"/>
      <c r="K61" s="149"/>
      <c r="L61" s="93" t="s">
        <v>106</v>
      </c>
      <c r="M61" s="97">
        <f>SUMIF($L$62:$L$78,"&lt;&gt;【*】",$M$62:$M$78)</f>
        <v>0</v>
      </c>
      <c r="N61" s="98">
        <f>SUMIF($L$62:$L$78,"&lt;&gt;【*】",$N$62:$N$78)</f>
        <v>0</v>
      </c>
      <c r="O61" s="96"/>
      <c r="P61" s="96"/>
      <c r="Q61" s="96"/>
      <c r="R61" s="103"/>
      <c r="S61" s="96"/>
      <c r="T61" s="103"/>
      <c r="U61" s="76"/>
    </row>
    <row r="62" spans="2:21" ht="15.75" customHeight="1" x14ac:dyDescent="0.15">
      <c r="B62" s="19">
        <v>52</v>
      </c>
      <c r="C62" s="72" t="str">
        <f t="shared" si="1"/>
        <v/>
      </c>
      <c r="D62" s="18"/>
      <c r="E62" s="73" t="str">
        <f t="shared" si="0"/>
        <v/>
      </c>
      <c r="F62" s="28"/>
      <c r="G62" s="74"/>
      <c r="H62" s="74"/>
      <c r="I62" s="74"/>
      <c r="J62" s="81"/>
      <c r="K62" s="149"/>
      <c r="L62" s="100" t="s">
        <v>157</v>
      </c>
      <c r="M62" s="101">
        <f>SUMIF($G$11:$G$120,$L$62,$E$11:$E$120)</f>
        <v>0</v>
      </c>
      <c r="N62" s="102">
        <f>SUMIF($G$11:$G$120,$L$62,$H$11:$H$120)</f>
        <v>0</v>
      </c>
      <c r="O62" s="147" t="str">
        <f>IF(ISERROR((HOUR($M$62)*60+MINUTE($M$62))/$N$62),"",(HOUR($M$62)*60+MINUTE($M$62))/$N$62)</f>
        <v/>
      </c>
      <c r="P62" s="103"/>
      <c r="Q62" s="104" t="str">
        <f>IF($P$62&lt;&gt; "",$N$62/$P$62,"")</f>
        <v/>
      </c>
      <c r="R62" s="103"/>
      <c r="S62" s="103" t="s">
        <v>345</v>
      </c>
      <c r="T62" s="103"/>
      <c r="U62" s="76"/>
    </row>
    <row r="63" spans="2:21" ht="15.75" customHeight="1" x14ac:dyDescent="0.15">
      <c r="B63" s="19">
        <v>53</v>
      </c>
      <c r="C63" s="72" t="str">
        <f t="shared" si="1"/>
        <v/>
      </c>
      <c r="D63" s="18"/>
      <c r="E63" s="73" t="str">
        <f t="shared" si="0"/>
        <v/>
      </c>
      <c r="F63" s="28"/>
      <c r="G63" s="74"/>
      <c r="H63" s="74"/>
      <c r="I63" s="74"/>
      <c r="J63" s="81"/>
      <c r="K63" s="149"/>
      <c r="L63" s="100" t="s">
        <v>158</v>
      </c>
      <c r="M63" s="101">
        <f>SUMIF($G$11:$G$120,$L$63,$E$11:$E$120)</f>
        <v>0</v>
      </c>
      <c r="N63" s="102">
        <f>SUMIF($G$11:$G$120,$L$63,$H$11:$H$120)</f>
        <v>0</v>
      </c>
      <c r="O63" s="147" t="str">
        <f>IF(ISERROR((HOUR($M$63)*60+MINUTE($M$63))/$N$63),"",(HOUR($M$63)*60+MINUTE($M$63))/$N$63)</f>
        <v/>
      </c>
      <c r="P63" s="103"/>
      <c r="Q63" s="104" t="str">
        <f>IF($P$63&lt;&gt; "",$N$63/$P$63,"")</f>
        <v/>
      </c>
      <c r="R63" s="103"/>
      <c r="S63" s="103" t="s">
        <v>345</v>
      </c>
      <c r="T63" s="103"/>
      <c r="U63" s="71"/>
    </row>
    <row r="64" spans="2:21" ht="15.75" customHeight="1" x14ac:dyDescent="0.15">
      <c r="B64" s="19">
        <v>54</v>
      </c>
      <c r="C64" s="72" t="str">
        <f t="shared" si="1"/>
        <v/>
      </c>
      <c r="D64" s="18"/>
      <c r="E64" s="73" t="str">
        <f t="shared" si="0"/>
        <v/>
      </c>
      <c r="F64" s="28"/>
      <c r="G64" s="74"/>
      <c r="H64" s="74"/>
      <c r="I64" s="74"/>
      <c r="J64" s="81"/>
      <c r="K64" s="149"/>
      <c r="L64" s="100" t="s">
        <v>159</v>
      </c>
      <c r="M64" s="101">
        <f>SUMIF($G$11:$G$120,$L$64,$E$11:$E$120)</f>
        <v>0</v>
      </c>
      <c r="N64" s="102">
        <f>SUMIF($G$11:$G$120,$L$64,$H$11:$H$120)</f>
        <v>0</v>
      </c>
      <c r="O64" s="147" t="str">
        <f>IF(ISERROR((HOUR($M$64)*60+MINUTE($M$64))/$N$64),"",(HOUR($M$64)*60+MINUTE($M$64))/$N$64)</f>
        <v/>
      </c>
      <c r="P64" s="103"/>
      <c r="Q64" s="104" t="str">
        <f>IF($P$64&lt;&gt; "",$N$64/$P$64,"")</f>
        <v/>
      </c>
      <c r="R64" s="103"/>
      <c r="S64" s="103" t="s">
        <v>346</v>
      </c>
      <c r="T64" s="103"/>
      <c r="U64" s="76"/>
    </row>
    <row r="65" spans="2:21" ht="15.75" customHeight="1" x14ac:dyDescent="0.15">
      <c r="B65" s="19">
        <v>55</v>
      </c>
      <c r="C65" s="72" t="str">
        <f t="shared" si="1"/>
        <v/>
      </c>
      <c r="D65" s="18"/>
      <c r="E65" s="73" t="str">
        <f t="shared" si="0"/>
        <v/>
      </c>
      <c r="F65" s="28"/>
      <c r="G65" s="74"/>
      <c r="H65" s="74"/>
      <c r="I65" s="74"/>
      <c r="J65" s="81"/>
      <c r="K65" s="149"/>
      <c r="L65" s="100" t="s">
        <v>160</v>
      </c>
      <c r="M65" s="101">
        <f>SUMIF($G$11:$G$120,$L$65,$E$11:$E$120)</f>
        <v>0</v>
      </c>
      <c r="N65" s="102">
        <f>SUMIF($G$11:$G$120,$L$65,$H$11:$H$120)</f>
        <v>0</v>
      </c>
      <c r="O65" s="147" t="str">
        <f>IF(ISERROR((HOUR($M$65)*60+MINUTE($M$65))/$N$65),"",(HOUR($M$65)*60+MINUTE($M$65))/$N$65)</f>
        <v/>
      </c>
      <c r="P65" s="103"/>
      <c r="Q65" s="104" t="str">
        <f>IF($P$65&lt;&gt; "",$N$65/$P$65,"")</f>
        <v/>
      </c>
      <c r="R65" s="103"/>
      <c r="S65" s="103" t="s">
        <v>347</v>
      </c>
      <c r="T65" s="103"/>
      <c r="U65" s="76"/>
    </row>
    <row r="66" spans="2:21" ht="15.75" customHeight="1" x14ac:dyDescent="0.15">
      <c r="B66" s="19">
        <v>56</v>
      </c>
      <c r="C66" s="72" t="str">
        <f t="shared" si="1"/>
        <v/>
      </c>
      <c r="D66" s="18"/>
      <c r="E66" s="73" t="str">
        <f t="shared" si="0"/>
        <v/>
      </c>
      <c r="F66" s="28"/>
      <c r="G66" s="74"/>
      <c r="H66" s="74"/>
      <c r="I66" s="74"/>
      <c r="J66" s="81"/>
      <c r="K66" s="149"/>
      <c r="L66" s="100" t="s">
        <v>161</v>
      </c>
      <c r="M66" s="101">
        <f>SUMIF($G$11:$G$120,$L$66,$E$11:$E$120)</f>
        <v>0</v>
      </c>
      <c r="N66" s="102">
        <f>SUMIF($G$11:$G$120,$L$66,$H$11:$H$120)</f>
        <v>0</v>
      </c>
      <c r="O66" s="147" t="str">
        <f>IF(ISERROR((HOUR($M$66)*60+MINUTE($M$66))/$N$66),"",(HOUR($M$66)*60+MINUTE($M$66))/$N$66)</f>
        <v/>
      </c>
      <c r="P66" s="103"/>
      <c r="Q66" s="104" t="str">
        <f>IF($P$66&lt;&gt; "",$N$66/$P$66,"")</f>
        <v/>
      </c>
      <c r="R66" s="103"/>
      <c r="S66" s="103" t="s">
        <v>347</v>
      </c>
      <c r="T66" s="103"/>
      <c r="U66" s="76"/>
    </row>
    <row r="67" spans="2:21" ht="15.75" customHeight="1" x14ac:dyDescent="0.15">
      <c r="B67" s="21">
        <v>57</v>
      </c>
      <c r="C67" s="72" t="str">
        <f t="shared" si="1"/>
        <v/>
      </c>
      <c r="D67" s="18"/>
      <c r="E67" s="73" t="str">
        <f t="shared" si="0"/>
        <v/>
      </c>
      <c r="F67" s="28"/>
      <c r="G67" s="74"/>
      <c r="H67" s="74"/>
      <c r="I67" s="74"/>
      <c r="J67" s="81"/>
      <c r="K67" s="149"/>
      <c r="L67" s="100" t="s">
        <v>162</v>
      </c>
      <c r="M67" s="101">
        <f>SUMIF($G$11:$G$120,$L$67,$E$11:$E$120)</f>
        <v>0</v>
      </c>
      <c r="N67" s="102">
        <f>SUMIF($G$11:$G$120,$L$67,$H$11:$H$120)</f>
        <v>0</v>
      </c>
      <c r="O67" s="147" t="str">
        <f>IF(ISERROR((HOUR($M$67)*60+MINUTE($M$67))/$N$67),"",(HOUR($M$67)*60+MINUTE($M$67))/$N$67)</f>
        <v/>
      </c>
      <c r="P67" s="103"/>
      <c r="Q67" s="104" t="str">
        <f>IF($P$67&lt;&gt; "",$N$67/$P$67,"")</f>
        <v/>
      </c>
      <c r="R67" s="103"/>
      <c r="S67" s="103" t="s">
        <v>347</v>
      </c>
      <c r="T67" s="103"/>
      <c r="U67" s="76"/>
    </row>
    <row r="68" spans="2:21" ht="15.75" customHeight="1" x14ac:dyDescent="0.15">
      <c r="B68" s="19">
        <v>58</v>
      </c>
      <c r="C68" s="72" t="str">
        <f t="shared" si="1"/>
        <v/>
      </c>
      <c r="D68" s="18"/>
      <c r="E68" s="73" t="str">
        <f t="shared" si="0"/>
        <v/>
      </c>
      <c r="F68" s="28"/>
      <c r="G68" s="74"/>
      <c r="H68" s="74"/>
      <c r="I68" s="74"/>
      <c r="J68" s="81"/>
      <c r="K68" s="149"/>
      <c r="L68" s="100" t="s">
        <v>163</v>
      </c>
      <c r="M68" s="101">
        <f>SUMIF($G$11:$G$120,$L$68,$E$11:$E$120)</f>
        <v>0</v>
      </c>
      <c r="N68" s="109"/>
      <c r="O68" s="109"/>
      <c r="P68" s="109"/>
      <c r="Q68" s="109"/>
      <c r="R68" s="103"/>
      <c r="S68" s="144" t="s">
        <v>332</v>
      </c>
      <c r="T68" s="103"/>
      <c r="U68" s="76"/>
    </row>
    <row r="69" spans="2:21" ht="15.75" customHeight="1" x14ac:dyDescent="0.15">
      <c r="B69" s="19">
        <v>59</v>
      </c>
      <c r="C69" s="72" t="str">
        <f t="shared" si="1"/>
        <v/>
      </c>
      <c r="D69" s="18"/>
      <c r="E69" s="73" t="str">
        <f t="shared" si="0"/>
        <v/>
      </c>
      <c r="F69" s="28"/>
      <c r="G69" s="74"/>
      <c r="H69" s="74"/>
      <c r="I69" s="74"/>
      <c r="J69" s="81"/>
      <c r="K69" s="149"/>
      <c r="L69" s="100" t="s">
        <v>164</v>
      </c>
      <c r="M69" s="101">
        <f>SUMIF($G$11:$G$120,$L$69,$E$11:$E$120)</f>
        <v>0</v>
      </c>
      <c r="N69" s="102">
        <f>SUMIF($G$11:$G$120,$L$69,$H$11:$H$120)</f>
        <v>0</v>
      </c>
      <c r="O69" s="147" t="str">
        <f>IF(ISERROR((HOUR($M$69)*60+MINUTE($M$69))/$N$69),"",(HOUR($M$69)*60+MINUTE($M$69))/$N$69)</f>
        <v/>
      </c>
      <c r="P69" s="103"/>
      <c r="Q69" s="104" t="str">
        <f>IF($P$69&lt;&gt; "",$N$69/$P$69,"")</f>
        <v/>
      </c>
      <c r="R69" s="103"/>
      <c r="S69" s="103" t="s">
        <v>348</v>
      </c>
      <c r="T69" s="103"/>
      <c r="U69" s="76"/>
    </row>
    <row r="70" spans="2:21" ht="15.75" customHeight="1" x14ac:dyDescent="0.15">
      <c r="B70" s="19">
        <v>60</v>
      </c>
      <c r="C70" s="72" t="str">
        <f t="shared" si="1"/>
        <v/>
      </c>
      <c r="D70" s="18"/>
      <c r="E70" s="73" t="str">
        <f t="shared" si="0"/>
        <v/>
      </c>
      <c r="F70" s="28"/>
      <c r="G70" s="74"/>
      <c r="H70" s="74"/>
      <c r="I70" s="74"/>
      <c r="J70" s="81"/>
      <c r="K70" s="149"/>
      <c r="L70" s="100" t="s">
        <v>165</v>
      </c>
      <c r="M70" s="101">
        <f>SUMIF($G$11:$G$120,$L$70,$E$11:$E$120)</f>
        <v>0</v>
      </c>
      <c r="N70" s="102">
        <f>SUMIF($G$11:$G$120,$L$70,$H$11:$H$120)</f>
        <v>0</v>
      </c>
      <c r="O70" s="147" t="str">
        <f>IF(ISERROR((HOUR($M$70)*60+MINUTE($M$70))/$N$70),"",(HOUR($M$70)*60+MINUTE($M$70))/$N$70)</f>
        <v/>
      </c>
      <c r="P70" s="103"/>
      <c r="Q70" s="104" t="str">
        <f>IF($P$70&lt;&gt; "",$N$70/$P$70,"")</f>
        <v/>
      </c>
      <c r="R70" s="103"/>
      <c r="S70" s="103" t="s">
        <v>349</v>
      </c>
      <c r="T70" s="103"/>
      <c r="U70" s="71"/>
    </row>
    <row r="71" spans="2:21" ht="15.75" customHeight="1" x14ac:dyDescent="0.15">
      <c r="B71" s="21">
        <v>61</v>
      </c>
      <c r="C71" s="72" t="str">
        <f t="shared" si="1"/>
        <v/>
      </c>
      <c r="D71" s="18"/>
      <c r="E71" s="73" t="str">
        <f t="shared" si="0"/>
        <v/>
      </c>
      <c r="F71" s="28"/>
      <c r="G71" s="74"/>
      <c r="H71" s="74"/>
      <c r="I71" s="74"/>
      <c r="J71" s="81"/>
      <c r="K71" s="149"/>
      <c r="L71" s="100" t="s">
        <v>166</v>
      </c>
      <c r="M71" s="101">
        <f>SUMIF($G$11:$G$120,$L$71,$E$11:$E$120)</f>
        <v>0</v>
      </c>
      <c r="N71" s="102">
        <f>SUMIF($G$11:$G$120,$L$71,$H$11:$H$120)</f>
        <v>0</v>
      </c>
      <c r="O71" s="147" t="str">
        <f>IF(ISERROR((HOUR($M$71)*60+MINUTE($M$71))/$N$71),"",(HOUR($M$71)*60+MINUTE($M$71))/$N$71)</f>
        <v/>
      </c>
      <c r="P71" s="103"/>
      <c r="Q71" s="104" t="str">
        <f>IF($P$71&lt;&gt; "",$N$71/$P$71,"")</f>
        <v/>
      </c>
      <c r="R71" s="103"/>
      <c r="S71" s="103" t="s">
        <v>345</v>
      </c>
      <c r="T71" s="103"/>
      <c r="U71" s="76"/>
    </row>
    <row r="72" spans="2:21" ht="15.75" customHeight="1" x14ac:dyDescent="0.15">
      <c r="B72" s="19">
        <v>62</v>
      </c>
      <c r="C72" s="72" t="str">
        <f t="shared" si="1"/>
        <v/>
      </c>
      <c r="D72" s="18"/>
      <c r="E72" s="73" t="str">
        <f t="shared" si="0"/>
        <v/>
      </c>
      <c r="F72" s="28"/>
      <c r="G72" s="74"/>
      <c r="H72" s="74"/>
      <c r="I72" s="74"/>
      <c r="J72" s="81"/>
      <c r="K72" s="149"/>
      <c r="L72" s="100" t="s">
        <v>167</v>
      </c>
      <c r="M72" s="101">
        <f>SUMIF($G$11:$G$120,$L$72,$E$11:$E$120)</f>
        <v>0</v>
      </c>
      <c r="N72" s="102">
        <f>SUMIF($G$11:$G$120,$L$72,$H$11:$H$120)</f>
        <v>0</v>
      </c>
      <c r="O72" s="147" t="str">
        <f>IF(ISERROR((HOUR($M$72)*60+MINUTE($M$72))/$N$72),"",(HOUR($M$72)*60+MINUTE($M$72))/$N$72)</f>
        <v/>
      </c>
      <c r="P72" s="103"/>
      <c r="Q72" s="104" t="str">
        <f>IF($P$72&lt;&gt; "",$N$72/$P$72,"")</f>
        <v/>
      </c>
      <c r="R72" s="103"/>
      <c r="S72" s="103" t="s">
        <v>350</v>
      </c>
      <c r="T72" s="103"/>
      <c r="U72" s="76"/>
    </row>
    <row r="73" spans="2:21" ht="15.75" customHeight="1" x14ac:dyDescent="0.15">
      <c r="B73" s="19">
        <v>63</v>
      </c>
      <c r="C73" s="72" t="str">
        <f t="shared" si="1"/>
        <v/>
      </c>
      <c r="D73" s="18"/>
      <c r="E73" s="73" t="str">
        <f t="shared" si="0"/>
        <v/>
      </c>
      <c r="F73" s="28"/>
      <c r="G73" s="74"/>
      <c r="H73" s="74"/>
      <c r="I73" s="74"/>
      <c r="J73" s="81"/>
      <c r="K73" s="149"/>
      <c r="L73" s="100" t="s">
        <v>168</v>
      </c>
      <c r="M73" s="101">
        <f>SUMIF($G$11:$G$120,$L$73,$E$11:$E$120)</f>
        <v>0</v>
      </c>
      <c r="N73" s="102">
        <f>SUMIF($G$11:$G$120,$L$73,$H$11:$H$120)</f>
        <v>0</v>
      </c>
      <c r="O73" s="147" t="str">
        <f>IF(ISERROR((HOUR($M$73)*60+MINUTE($M$73))/$N$73),"",(HOUR($M$73)*60+MINUTE($M$73))/$N$73)</f>
        <v/>
      </c>
      <c r="P73" s="103"/>
      <c r="Q73" s="104" t="str">
        <f>IF($P$73&lt;&gt; "",$N$73/$P$73,"")</f>
        <v/>
      </c>
      <c r="R73" s="103"/>
      <c r="S73" s="103" t="s">
        <v>350</v>
      </c>
      <c r="T73" s="103"/>
      <c r="U73" s="71"/>
    </row>
    <row r="74" spans="2:21" ht="15.75" customHeight="1" x14ac:dyDescent="0.15">
      <c r="B74" s="19">
        <v>64</v>
      </c>
      <c r="C74" s="72" t="str">
        <f t="shared" si="1"/>
        <v/>
      </c>
      <c r="D74" s="18"/>
      <c r="E74" s="73" t="str">
        <f t="shared" si="0"/>
        <v/>
      </c>
      <c r="F74" s="28"/>
      <c r="G74" s="74"/>
      <c r="H74" s="74"/>
      <c r="I74" s="74"/>
      <c r="J74" s="81"/>
      <c r="K74" s="149"/>
      <c r="L74" s="100" t="s">
        <v>169</v>
      </c>
      <c r="M74" s="101">
        <f>SUMIF($G$11:$G$120,$L$74,$E$11:$E$120)</f>
        <v>0</v>
      </c>
      <c r="N74" s="102">
        <f>SUMIF($G$11:$G$120,$L$74,$H$11:$H$120)</f>
        <v>0</v>
      </c>
      <c r="O74" s="147" t="str">
        <f>IF(ISERROR((HOUR($M$74)*60+MINUTE($M$74))/$N$74),"",(HOUR($M$74)*60+MINUTE($M$74))/$N$74)</f>
        <v/>
      </c>
      <c r="P74" s="103"/>
      <c r="Q74" s="104" t="str">
        <f>IF($P$74&lt;&gt; "",$N$74/$P$74,"")</f>
        <v/>
      </c>
      <c r="R74" s="103"/>
      <c r="S74" s="103" t="s">
        <v>351</v>
      </c>
      <c r="T74" s="103"/>
      <c r="U74" s="76"/>
    </row>
    <row r="75" spans="2:21" ht="15.75" customHeight="1" x14ac:dyDescent="0.15">
      <c r="B75" s="19">
        <v>65</v>
      </c>
      <c r="C75" s="72" t="str">
        <f t="shared" si="1"/>
        <v/>
      </c>
      <c r="D75" s="18"/>
      <c r="E75" s="73" t="str">
        <f t="shared" ref="E75:E120" si="2">IF(ISERROR(D75-C75),"",D75-C75)</f>
        <v/>
      </c>
      <c r="F75" s="28"/>
      <c r="G75" s="74"/>
      <c r="H75" s="74"/>
      <c r="I75" s="74"/>
      <c r="J75" s="81"/>
      <c r="K75" s="149"/>
      <c r="L75" s="100" t="s">
        <v>170</v>
      </c>
      <c r="M75" s="101">
        <f>SUMIF($G$11:$G$120,$L$75,$E$11:$E$120)</f>
        <v>0</v>
      </c>
      <c r="N75" s="102">
        <f>SUMIF($G$11:$G$120,$L$75,$H$11:$H$120)</f>
        <v>0</v>
      </c>
      <c r="O75" s="147" t="str">
        <f>IF(ISERROR((HOUR($M$75)*60+MINUTE($M$75))/$N$75),"",(HOUR($M$75)*60+MINUTE($M$75))/$N$75)</f>
        <v/>
      </c>
      <c r="P75" s="103"/>
      <c r="Q75" s="104" t="str">
        <f>IF($P$75&lt;&gt; "",$N$75/$P$75,"")</f>
        <v/>
      </c>
      <c r="R75" s="103"/>
      <c r="S75" s="103" t="s">
        <v>352</v>
      </c>
      <c r="T75" s="103"/>
      <c r="U75" s="76"/>
    </row>
    <row r="76" spans="2:21" ht="15.75" customHeight="1" x14ac:dyDescent="0.15">
      <c r="B76" s="19">
        <v>66</v>
      </c>
      <c r="C76" s="72" t="str">
        <f t="shared" si="1"/>
        <v/>
      </c>
      <c r="D76" s="18"/>
      <c r="E76" s="73" t="str">
        <f t="shared" si="2"/>
        <v/>
      </c>
      <c r="F76" s="28"/>
      <c r="G76" s="74"/>
      <c r="H76" s="74"/>
      <c r="I76" s="74"/>
      <c r="J76" s="81"/>
      <c r="K76" s="149"/>
      <c r="L76" s="100" t="s">
        <v>171</v>
      </c>
      <c r="M76" s="101">
        <f>SUMIF($G$11:$G$120,$L$76,$E$11:$E$120)</f>
        <v>0</v>
      </c>
      <c r="N76" s="102">
        <f>SUMIF($G$11:$G$120,$L$76,$H$11:$H$120)</f>
        <v>0</v>
      </c>
      <c r="O76" s="147" t="str">
        <f>IF(ISERROR((HOUR($M$76)*60+MINUTE($M$76))/$N$76),"",(HOUR($M$76)*60+MINUTE($M$76))/$N$76)</f>
        <v/>
      </c>
      <c r="P76" s="103"/>
      <c r="Q76" s="104" t="str">
        <f>IF($P$76&lt;&gt; "",$N$76/$P$76,"")</f>
        <v/>
      </c>
      <c r="R76" s="103"/>
      <c r="S76" s="103" t="s">
        <v>353</v>
      </c>
      <c r="T76" s="103"/>
      <c r="U76" s="76"/>
    </row>
    <row r="77" spans="2:21" s="4" customFormat="1" ht="15.75" customHeight="1" x14ac:dyDescent="0.15">
      <c r="B77" s="19">
        <v>67</v>
      </c>
      <c r="C77" s="72" t="str">
        <f t="shared" ref="C77:C120" si="3">IF(D76&lt;&gt;"",D76,"")</f>
        <v/>
      </c>
      <c r="D77" s="18"/>
      <c r="E77" s="73" t="str">
        <f t="shared" si="2"/>
        <v/>
      </c>
      <c r="F77" s="28"/>
      <c r="G77" s="74"/>
      <c r="H77" s="74"/>
      <c r="I77" s="74"/>
      <c r="J77" s="81"/>
      <c r="K77" s="149"/>
      <c r="L77" s="100" t="s">
        <v>172</v>
      </c>
      <c r="M77" s="101">
        <f>SUMIF($G$11:$G$120,$L$77,$E$11:$E$120)</f>
        <v>0</v>
      </c>
      <c r="N77" s="109"/>
      <c r="O77" s="109"/>
      <c r="P77" s="109"/>
      <c r="Q77" s="109"/>
      <c r="R77" s="103"/>
      <c r="S77" s="144" t="s">
        <v>332</v>
      </c>
      <c r="T77" s="103"/>
      <c r="U77" s="76"/>
    </row>
    <row r="78" spans="2:21" ht="15.75" customHeight="1" x14ac:dyDescent="0.15">
      <c r="B78" s="19">
        <v>68</v>
      </c>
      <c r="C78" s="72" t="str">
        <f t="shared" si="3"/>
        <v/>
      </c>
      <c r="D78" s="18"/>
      <c r="E78" s="73" t="str">
        <f t="shared" si="2"/>
        <v/>
      </c>
      <c r="F78" s="28"/>
      <c r="G78" s="74"/>
      <c r="H78" s="74"/>
      <c r="I78" s="74"/>
      <c r="J78" s="81"/>
      <c r="K78" s="149"/>
      <c r="L78" s="100" t="s">
        <v>260</v>
      </c>
      <c r="M78" s="101">
        <f>SUMIF($G$11:$G$120,$L$78,$E$11:$E$120)</f>
        <v>0</v>
      </c>
      <c r="N78" s="109"/>
      <c r="O78" s="109"/>
      <c r="P78" s="109"/>
      <c r="Q78" s="109"/>
      <c r="R78" s="103"/>
      <c r="S78" s="144"/>
      <c r="T78" s="103"/>
      <c r="U78" s="76"/>
    </row>
    <row r="79" spans="2:21" ht="15.75" customHeight="1" x14ac:dyDescent="0.15">
      <c r="B79" s="19">
        <v>69</v>
      </c>
      <c r="C79" s="72" t="str">
        <f t="shared" si="3"/>
        <v/>
      </c>
      <c r="D79" s="18"/>
      <c r="E79" s="73" t="str">
        <f t="shared" si="2"/>
        <v/>
      </c>
      <c r="F79" s="28"/>
      <c r="G79" s="74"/>
      <c r="H79" s="74"/>
      <c r="I79" s="74"/>
      <c r="J79" s="81"/>
      <c r="K79" s="149"/>
      <c r="L79" s="93" t="s">
        <v>107</v>
      </c>
      <c r="M79" s="97">
        <f>SUMIF($L$80:$L$82,"&lt;&gt;【*】",$M$80:$M$82)</f>
        <v>0</v>
      </c>
      <c r="N79" s="98">
        <f>SUMIF($L$80:$L$82,"&lt;&gt;【*】",$N$80:$N$82)</f>
        <v>0</v>
      </c>
      <c r="O79" s="96"/>
      <c r="P79" s="96"/>
      <c r="Q79" s="96"/>
      <c r="R79" s="103"/>
      <c r="S79" s="96"/>
      <c r="T79" s="103"/>
      <c r="U79" s="76"/>
    </row>
    <row r="80" spans="2:21" ht="15.75" customHeight="1" x14ac:dyDescent="0.15">
      <c r="B80" s="19">
        <v>70</v>
      </c>
      <c r="C80" s="72" t="str">
        <f t="shared" si="3"/>
        <v/>
      </c>
      <c r="D80" s="18"/>
      <c r="E80" s="73" t="str">
        <f t="shared" si="2"/>
        <v/>
      </c>
      <c r="F80" s="28"/>
      <c r="G80" s="74"/>
      <c r="H80" s="74"/>
      <c r="I80" s="74"/>
      <c r="J80" s="81"/>
      <c r="K80" s="149"/>
      <c r="L80" s="100" t="s">
        <v>173</v>
      </c>
      <c r="M80" s="101">
        <f>SUMIF($G$11:$G$120,$L$80,$E$11:$E$120)</f>
        <v>0</v>
      </c>
      <c r="N80" s="102">
        <f>SUMIF($G$11:$G$120,$L$80,$H$11:$H$120)</f>
        <v>0</v>
      </c>
      <c r="O80" s="147" t="str">
        <f>IF(ISERROR((HOUR($M$80)*60+MINUTE($M$80))/$N$80),"",(HOUR($M$80)*60+MINUTE($M$80))/$N$80)</f>
        <v/>
      </c>
      <c r="P80" s="103"/>
      <c r="Q80" s="104" t="str">
        <f>IF($P$80&lt;&gt; "",$N$80/$P$80,"")</f>
        <v/>
      </c>
      <c r="R80" s="103"/>
      <c r="S80" s="103" t="s">
        <v>335</v>
      </c>
      <c r="T80" s="103"/>
      <c r="U80" s="76"/>
    </row>
    <row r="81" spans="2:22" ht="15.75" customHeight="1" x14ac:dyDescent="0.15">
      <c r="B81" s="19">
        <v>71</v>
      </c>
      <c r="C81" s="72" t="str">
        <f t="shared" si="3"/>
        <v/>
      </c>
      <c r="D81" s="18"/>
      <c r="E81" s="73" t="str">
        <f t="shared" si="2"/>
        <v/>
      </c>
      <c r="F81" s="28"/>
      <c r="G81" s="74"/>
      <c r="H81" s="74"/>
      <c r="I81" s="74"/>
      <c r="J81" s="81"/>
      <c r="K81" s="149"/>
      <c r="L81" s="100" t="s">
        <v>174</v>
      </c>
      <c r="M81" s="101">
        <f>SUMIF($G$11:$G$120,$L$81,$E$11:$E$120)</f>
        <v>0</v>
      </c>
      <c r="N81" s="102">
        <f>SUMIF($G$11:$G$120,$L$81,$H$11:$H$120)</f>
        <v>0</v>
      </c>
      <c r="O81" s="147" t="str">
        <f>IF(ISERROR((HOUR($M$81)*60+MINUTE($M$81))/$N$81),"",(HOUR($M$81)*60+MINUTE($M$81))/$N$81)</f>
        <v/>
      </c>
      <c r="P81" s="103"/>
      <c r="Q81" s="104" t="str">
        <f>IF($P$81&lt;&gt; "",$N$81/$P$81,"")</f>
        <v/>
      </c>
      <c r="R81" s="103"/>
      <c r="S81" s="103" t="s">
        <v>335</v>
      </c>
      <c r="T81" s="103"/>
      <c r="U81" s="76"/>
    </row>
    <row r="82" spans="2:22" ht="15.75" customHeight="1" x14ac:dyDescent="0.15">
      <c r="B82" s="19">
        <v>72</v>
      </c>
      <c r="C82" s="72" t="str">
        <f t="shared" si="3"/>
        <v/>
      </c>
      <c r="D82" s="18"/>
      <c r="E82" s="73" t="str">
        <f t="shared" si="2"/>
        <v/>
      </c>
      <c r="F82" s="28"/>
      <c r="G82" s="74"/>
      <c r="H82" s="74"/>
      <c r="I82" s="74"/>
      <c r="J82" s="81"/>
      <c r="K82" s="149"/>
      <c r="L82" s="100" t="s">
        <v>261</v>
      </c>
      <c r="M82" s="101">
        <f>SUMIF($G$11:$G$120,$L$82,$E$11:$E$120)</f>
        <v>0</v>
      </c>
      <c r="N82" s="109"/>
      <c r="O82" s="109"/>
      <c r="P82" s="109"/>
      <c r="Q82" s="109"/>
      <c r="R82" s="103"/>
      <c r="S82" s="109"/>
      <c r="T82" s="103"/>
      <c r="U82" s="76"/>
    </row>
    <row r="83" spans="2:22" ht="15.75" customHeight="1" x14ac:dyDescent="0.15">
      <c r="B83" s="19">
        <v>73</v>
      </c>
      <c r="C83" s="72" t="str">
        <f t="shared" si="3"/>
        <v/>
      </c>
      <c r="D83" s="18"/>
      <c r="E83" s="73" t="str">
        <f t="shared" si="2"/>
        <v/>
      </c>
      <c r="F83" s="28"/>
      <c r="G83" s="74"/>
      <c r="H83" s="74"/>
      <c r="I83" s="74"/>
      <c r="J83" s="81"/>
      <c r="K83" s="149"/>
      <c r="L83" s="93" t="s">
        <v>108</v>
      </c>
      <c r="M83" s="97">
        <f>SUMIF($L$84:$L$85,"&lt;&gt;【*】",$M$84:$M$85)</f>
        <v>0</v>
      </c>
      <c r="N83" s="98">
        <f>SUMIF($L$84:$L$85,"&lt;&gt;【*】",$N$84:$N$85)</f>
        <v>0</v>
      </c>
      <c r="O83" s="96"/>
      <c r="P83" s="96"/>
      <c r="Q83" s="96"/>
      <c r="R83" s="103"/>
      <c r="S83" s="96"/>
      <c r="T83" s="103"/>
      <c r="U83" s="76"/>
    </row>
    <row r="84" spans="2:22" ht="15.75" customHeight="1" x14ac:dyDescent="0.15">
      <c r="B84" s="19">
        <v>74</v>
      </c>
      <c r="C84" s="72" t="str">
        <f t="shared" si="3"/>
        <v/>
      </c>
      <c r="D84" s="18"/>
      <c r="E84" s="73" t="str">
        <f t="shared" si="2"/>
        <v/>
      </c>
      <c r="F84" s="28"/>
      <c r="G84" s="74"/>
      <c r="H84" s="74"/>
      <c r="I84" s="74"/>
      <c r="J84" s="81"/>
      <c r="K84" s="149"/>
      <c r="L84" s="100" t="s">
        <v>175</v>
      </c>
      <c r="M84" s="101">
        <f>SUMIF($G$11:$G$120,$L$84,$E$11:$E$120)</f>
        <v>0</v>
      </c>
      <c r="N84" s="102">
        <f>SUMIF($G$11:$G$120,$L$84,$H$11:$H$120)</f>
        <v>0</v>
      </c>
      <c r="O84" s="147" t="str">
        <f>IF(ISERROR((HOUR($M$84)*60+MINUTE($M$84))/$N$84),"",(HOUR($M$84)*60+MINUTE($M$84))/$N$84)</f>
        <v/>
      </c>
      <c r="P84" s="103"/>
      <c r="Q84" s="104" t="str">
        <f>IF($P$84&lt;&gt; "",$N$84/$P$84,"")</f>
        <v/>
      </c>
      <c r="R84" s="103"/>
      <c r="S84" s="103" t="s">
        <v>354</v>
      </c>
      <c r="T84" s="103"/>
      <c r="U84" s="76"/>
    </row>
    <row r="85" spans="2:22" ht="15.75" customHeight="1" x14ac:dyDescent="0.15">
      <c r="B85" s="19">
        <v>75</v>
      </c>
      <c r="C85" s="72" t="str">
        <f t="shared" si="3"/>
        <v/>
      </c>
      <c r="D85" s="18"/>
      <c r="E85" s="73" t="str">
        <f t="shared" si="2"/>
        <v/>
      </c>
      <c r="F85" s="28"/>
      <c r="G85" s="74"/>
      <c r="H85" s="74"/>
      <c r="I85" s="74"/>
      <c r="J85" s="81"/>
      <c r="K85" s="149"/>
      <c r="L85" s="100" t="s">
        <v>176</v>
      </c>
      <c r="M85" s="101">
        <f>SUMIF($G$11:$G$120,$L$85,$E$11:$E$120)</f>
        <v>0</v>
      </c>
      <c r="N85" s="102">
        <f>SUMIF($G$11:$G$120,$L$85,$H$11:$H$120)</f>
        <v>0</v>
      </c>
      <c r="O85" s="147" t="str">
        <f>IF(ISERROR((HOUR($M$85)*60+MINUTE($M$85))/$N$85),"",(HOUR($M$85)*60+MINUTE($M$85))/$N$85)</f>
        <v/>
      </c>
      <c r="P85" s="103"/>
      <c r="Q85" s="104" t="str">
        <f>IF($P$85&lt;&gt; "",$N$85/$P$85,"")</f>
        <v/>
      </c>
      <c r="R85" s="103"/>
      <c r="S85" s="103" t="s">
        <v>355</v>
      </c>
      <c r="T85" s="103"/>
      <c r="U85" s="76"/>
    </row>
    <row r="86" spans="2:22" ht="15.75" customHeight="1" x14ac:dyDescent="0.15">
      <c r="B86" s="17">
        <v>76</v>
      </c>
      <c r="C86" s="72" t="str">
        <f t="shared" si="3"/>
        <v/>
      </c>
      <c r="D86" s="18"/>
      <c r="E86" s="73" t="str">
        <f t="shared" si="2"/>
        <v/>
      </c>
      <c r="F86" s="28"/>
      <c r="G86" s="74"/>
      <c r="H86" s="74"/>
      <c r="I86" s="74"/>
      <c r="J86" s="81"/>
      <c r="K86" s="149"/>
      <c r="L86" s="93" t="s">
        <v>109</v>
      </c>
      <c r="M86" s="97">
        <f>SUMIF($L$87:$L$96,"&lt;&gt;【*】",$M$87:$M$96)</f>
        <v>0</v>
      </c>
      <c r="N86" s="98">
        <f>SUMIF($L$87:$L$96,"&lt;&gt;【*】",$N$87:$N$96)</f>
        <v>0</v>
      </c>
      <c r="O86" s="96"/>
      <c r="P86" s="96"/>
      <c r="Q86" s="96"/>
      <c r="R86" s="103"/>
      <c r="S86" s="96"/>
      <c r="T86" s="103"/>
      <c r="U86" s="76"/>
    </row>
    <row r="87" spans="2:22" ht="15.75" customHeight="1" x14ac:dyDescent="0.15">
      <c r="B87" s="23">
        <v>77</v>
      </c>
      <c r="C87" s="72" t="str">
        <f t="shared" si="3"/>
        <v/>
      </c>
      <c r="D87" s="18"/>
      <c r="E87" s="73" t="str">
        <f t="shared" si="2"/>
        <v/>
      </c>
      <c r="F87" s="28"/>
      <c r="G87" s="74"/>
      <c r="H87" s="74"/>
      <c r="I87" s="74"/>
      <c r="J87" s="81"/>
      <c r="K87" s="149"/>
      <c r="L87" s="100" t="s">
        <v>177</v>
      </c>
      <c r="M87" s="101">
        <f>SUMIF($G$11:$G$120,$L$87,$E$11:$E$120)</f>
        <v>0</v>
      </c>
      <c r="N87" s="102">
        <f>SUMIF($G$11:$G$120,$L$87,$H$11:$H$120)</f>
        <v>0</v>
      </c>
      <c r="O87" s="147" t="str">
        <f>IF(ISERROR((HOUR($M$87)*60+MINUTE($M$87))/$N$87),"",(HOUR($M$87)*60+MINUTE($M$87))/$N$87)</f>
        <v/>
      </c>
      <c r="P87" s="103"/>
      <c r="Q87" s="104" t="str">
        <f>IF($P$87&lt;&gt; "",$N$87/$P$87,"")</f>
        <v/>
      </c>
      <c r="R87" s="103"/>
      <c r="S87" s="103" t="s">
        <v>356</v>
      </c>
      <c r="T87" s="103"/>
      <c r="U87" s="76"/>
    </row>
    <row r="88" spans="2:22" ht="15.75" customHeight="1" x14ac:dyDescent="0.15">
      <c r="B88" s="23">
        <v>78</v>
      </c>
      <c r="C88" s="72" t="str">
        <f t="shared" si="3"/>
        <v/>
      </c>
      <c r="D88" s="18"/>
      <c r="E88" s="73" t="str">
        <f t="shared" si="2"/>
        <v/>
      </c>
      <c r="F88" s="28"/>
      <c r="G88" s="74"/>
      <c r="H88" s="74"/>
      <c r="I88" s="74"/>
      <c r="J88" s="81"/>
      <c r="K88" s="149"/>
      <c r="L88" s="100" t="s">
        <v>178</v>
      </c>
      <c r="M88" s="101">
        <f>SUMIF($G$11:$G$120,$L$88,$E$11:$E$120)</f>
        <v>0</v>
      </c>
      <c r="N88" s="109"/>
      <c r="O88" s="109"/>
      <c r="P88" s="109"/>
      <c r="Q88" s="109"/>
      <c r="R88" s="103"/>
      <c r="S88" s="144" t="s">
        <v>332</v>
      </c>
      <c r="T88" s="103"/>
      <c r="U88" s="76"/>
    </row>
    <row r="89" spans="2:22" ht="15.75" customHeight="1" x14ac:dyDescent="0.15">
      <c r="B89" s="23">
        <v>79</v>
      </c>
      <c r="C89" s="72" t="str">
        <f t="shared" si="3"/>
        <v/>
      </c>
      <c r="D89" s="18"/>
      <c r="E89" s="73" t="str">
        <f t="shared" si="2"/>
        <v/>
      </c>
      <c r="F89" s="28"/>
      <c r="G89" s="74"/>
      <c r="H89" s="74"/>
      <c r="I89" s="74"/>
      <c r="J89" s="81"/>
      <c r="K89" s="149"/>
      <c r="L89" s="100" t="s">
        <v>179</v>
      </c>
      <c r="M89" s="101">
        <f>SUMIF($G$11:$G$120,$L$89,$E$11:$E$120)</f>
        <v>0</v>
      </c>
      <c r="N89" s="102">
        <f>SUMIF($G$11:$G$120,$L$89,$H$11:$H$120)</f>
        <v>0</v>
      </c>
      <c r="O89" s="147" t="str">
        <f>IF(ISERROR((HOUR($M$89)*60+MINUTE($M$89))/$N$89),"",(HOUR($M$89)*60+MINUTE($M$89))/$N$89)</f>
        <v/>
      </c>
      <c r="P89" s="103"/>
      <c r="Q89" s="104" t="str">
        <f>IF($P$89&lt;&gt; "",$N$89/$P$89,"")</f>
        <v/>
      </c>
      <c r="R89" s="103"/>
      <c r="S89" s="103" t="s">
        <v>356</v>
      </c>
      <c r="T89" s="103"/>
      <c r="U89" s="76"/>
    </row>
    <row r="90" spans="2:22" ht="15.75" customHeight="1" x14ac:dyDescent="0.15">
      <c r="B90" s="23">
        <v>80</v>
      </c>
      <c r="C90" s="72" t="str">
        <f t="shared" si="3"/>
        <v/>
      </c>
      <c r="D90" s="18"/>
      <c r="E90" s="73" t="str">
        <f t="shared" si="2"/>
        <v/>
      </c>
      <c r="F90" s="28"/>
      <c r="G90" s="74"/>
      <c r="H90" s="74"/>
      <c r="I90" s="74"/>
      <c r="J90" s="81"/>
      <c r="K90" s="149"/>
      <c r="L90" s="100" t="s">
        <v>180</v>
      </c>
      <c r="M90" s="101">
        <f>SUMIF($G$11:$G$120,$L$90,$E$11:$E$120)</f>
        <v>0</v>
      </c>
      <c r="N90" s="102">
        <f>SUMIF($G$11:$G$120,$L$90,$H$11:$H$120)</f>
        <v>0</v>
      </c>
      <c r="O90" s="147" t="str">
        <f>IF(ISERROR((HOUR($M$90)*60+MINUTE($M$90))/$N$90),"",(HOUR($M$90)*60+MINUTE($M$90))/$N$90)</f>
        <v/>
      </c>
      <c r="P90" s="103"/>
      <c r="Q90" s="104" t="str">
        <f>IF($P$90&lt;&gt; "",$N$90/$P$90,"")</f>
        <v/>
      </c>
      <c r="R90" s="103"/>
      <c r="S90" s="103" t="s">
        <v>356</v>
      </c>
      <c r="T90" s="103"/>
      <c r="U90" s="76"/>
    </row>
    <row r="91" spans="2:22" ht="15.75" customHeight="1" x14ac:dyDescent="0.15">
      <c r="B91" s="23">
        <v>81</v>
      </c>
      <c r="C91" s="72" t="str">
        <f t="shared" si="3"/>
        <v/>
      </c>
      <c r="D91" s="18"/>
      <c r="E91" s="73" t="str">
        <f t="shared" si="2"/>
        <v/>
      </c>
      <c r="F91" s="28"/>
      <c r="G91" s="74"/>
      <c r="H91" s="74"/>
      <c r="I91" s="74"/>
      <c r="J91" s="81"/>
      <c r="K91" s="149"/>
      <c r="L91" s="100" t="s">
        <v>181</v>
      </c>
      <c r="M91" s="101">
        <f>SUMIF($G$11:$G$120,$L$91,$E$11:$E$120)</f>
        <v>0</v>
      </c>
      <c r="N91" s="102">
        <f>SUMIF($G$11:$G$120,$L$91,$H$11:$H$120)</f>
        <v>0</v>
      </c>
      <c r="O91" s="147" t="str">
        <f>IF(ISERROR((HOUR($M$91)*60+MINUTE($M$91))/$N$91),"",(HOUR($M$91)*60+MINUTE($M$91))/$N$91)</f>
        <v/>
      </c>
      <c r="P91" s="103"/>
      <c r="Q91" s="104" t="str">
        <f>IF($P$91&lt;&gt; "",$N$91/$P$91,"")</f>
        <v/>
      </c>
      <c r="R91" s="103"/>
      <c r="S91" s="103" t="s">
        <v>356</v>
      </c>
      <c r="T91" s="103"/>
      <c r="U91" s="76"/>
    </row>
    <row r="92" spans="2:22" ht="15.75" customHeight="1" x14ac:dyDescent="0.15">
      <c r="B92" s="23">
        <v>82</v>
      </c>
      <c r="C92" s="72" t="str">
        <f t="shared" si="3"/>
        <v/>
      </c>
      <c r="D92" s="18"/>
      <c r="E92" s="73" t="str">
        <f t="shared" si="2"/>
        <v/>
      </c>
      <c r="F92" s="28"/>
      <c r="G92" s="74"/>
      <c r="H92" s="74"/>
      <c r="I92" s="74"/>
      <c r="J92" s="81"/>
      <c r="K92" s="149"/>
      <c r="L92" s="100" t="s">
        <v>182</v>
      </c>
      <c r="M92" s="101">
        <f>SUMIF($G$11:$G$120,$L$92,$E$11:$E$120)</f>
        <v>0</v>
      </c>
      <c r="N92" s="109"/>
      <c r="O92" s="109"/>
      <c r="P92" s="109"/>
      <c r="Q92" s="109"/>
      <c r="R92" s="103"/>
      <c r="S92" s="144" t="s">
        <v>332</v>
      </c>
      <c r="T92" s="103"/>
      <c r="U92" s="76"/>
    </row>
    <row r="93" spans="2:22" ht="15.75" customHeight="1" x14ac:dyDescent="0.15">
      <c r="B93" s="23">
        <v>83</v>
      </c>
      <c r="C93" s="72" t="str">
        <f t="shared" si="3"/>
        <v/>
      </c>
      <c r="D93" s="18"/>
      <c r="E93" s="73" t="str">
        <f t="shared" si="2"/>
        <v/>
      </c>
      <c r="F93" s="28"/>
      <c r="G93" s="74"/>
      <c r="H93" s="74"/>
      <c r="I93" s="74"/>
      <c r="J93" s="81"/>
      <c r="K93" s="149"/>
      <c r="L93" s="100" t="s">
        <v>183</v>
      </c>
      <c r="M93" s="101">
        <f>SUMIF($G$11:$G$120,$L$93,$E$11:$E$120)</f>
        <v>0</v>
      </c>
      <c r="N93" s="102">
        <f>SUMIF($G$11:$G$120,$L$93,$H$11:$H$120)</f>
        <v>0</v>
      </c>
      <c r="O93" s="147" t="str">
        <f>IF(ISERROR((HOUR($M$93)*60+MINUTE($M$93))/$N$93),"",(HOUR($M$93)*60+MINUTE($M$93))/$N$93)</f>
        <v/>
      </c>
      <c r="P93" s="103"/>
      <c r="Q93" s="104" t="str">
        <f>IF($P$93&lt;&gt; "",$N$93/$P$93,"")</f>
        <v/>
      </c>
      <c r="R93" s="103"/>
      <c r="S93" s="103" t="s">
        <v>356</v>
      </c>
      <c r="T93" s="103"/>
      <c r="U93" s="71"/>
    </row>
    <row r="94" spans="2:22" ht="15.75" customHeight="1" x14ac:dyDescent="0.15">
      <c r="B94" s="23">
        <v>84</v>
      </c>
      <c r="C94" s="72" t="str">
        <f t="shared" si="3"/>
        <v/>
      </c>
      <c r="D94" s="18"/>
      <c r="E94" s="73" t="str">
        <f t="shared" si="2"/>
        <v/>
      </c>
      <c r="F94" s="28"/>
      <c r="G94" s="74"/>
      <c r="H94" s="74"/>
      <c r="I94" s="74"/>
      <c r="J94" s="81"/>
      <c r="K94" s="149"/>
      <c r="L94" s="100" t="s">
        <v>184</v>
      </c>
      <c r="M94" s="101">
        <f>SUMIF($G$11:$G$120,$L$94,$E$11:$E$120)</f>
        <v>0</v>
      </c>
      <c r="N94" s="102">
        <f>SUMIF($G$11:$G$120,$L$94,$H$11:$H$120)</f>
        <v>0</v>
      </c>
      <c r="O94" s="147" t="str">
        <f>IF(ISERROR((HOUR($M$94)*60+MINUTE($M$94))/$N$94),"",(HOUR($M$94)*60+MINUTE($M$94))/$N$94)</f>
        <v/>
      </c>
      <c r="P94" s="103"/>
      <c r="Q94" s="104" t="str">
        <f>IF($P$94&lt;&gt; "",$N$94/$P$94,"")</f>
        <v/>
      </c>
      <c r="R94" s="103"/>
      <c r="S94" s="103" t="s">
        <v>336</v>
      </c>
      <c r="T94" s="103"/>
      <c r="U94" s="76"/>
    </row>
    <row r="95" spans="2:22" ht="15.75" customHeight="1" x14ac:dyDescent="0.15">
      <c r="B95" s="23">
        <v>85</v>
      </c>
      <c r="C95" s="72" t="str">
        <f t="shared" si="3"/>
        <v/>
      </c>
      <c r="D95" s="18"/>
      <c r="E95" s="73" t="str">
        <f t="shared" si="2"/>
        <v/>
      </c>
      <c r="F95" s="28"/>
      <c r="G95" s="74"/>
      <c r="H95" s="74"/>
      <c r="I95" s="74"/>
      <c r="J95" s="81"/>
      <c r="K95" s="149"/>
      <c r="L95" s="100" t="s">
        <v>185</v>
      </c>
      <c r="M95" s="101">
        <f>SUMIF($G$11:$G$120,$L$95,$E$11:$E$120)</f>
        <v>0</v>
      </c>
      <c r="N95" s="102">
        <f>SUMIF($G$11:$G$120,$L$95,$H$11:$H$120)</f>
        <v>0</v>
      </c>
      <c r="O95" s="147" t="str">
        <f>IF(ISERROR((HOUR($M$95)*60+MINUTE($M$95))/$N$95),"",(HOUR($M$95)*60+MINUTE($M$95))/$N$95)</f>
        <v/>
      </c>
      <c r="P95" s="103"/>
      <c r="Q95" s="104" t="str">
        <f>IF($P$95&lt;&gt; "",$N$95/$P$95,"")</f>
        <v/>
      </c>
      <c r="R95" s="103"/>
      <c r="S95" s="103" t="s">
        <v>356</v>
      </c>
      <c r="T95" s="103"/>
      <c r="U95" s="76"/>
    </row>
    <row r="96" spans="2:22" ht="15.75" customHeight="1" x14ac:dyDescent="0.15">
      <c r="B96" s="23">
        <v>86</v>
      </c>
      <c r="C96" s="72" t="str">
        <f t="shared" si="3"/>
        <v/>
      </c>
      <c r="D96" s="18"/>
      <c r="E96" s="73" t="str">
        <f t="shared" si="2"/>
        <v/>
      </c>
      <c r="F96" s="28"/>
      <c r="G96" s="74"/>
      <c r="H96" s="74"/>
      <c r="I96" s="74"/>
      <c r="J96" s="81"/>
      <c r="K96" s="149"/>
      <c r="L96" s="100" t="s">
        <v>186</v>
      </c>
      <c r="M96" s="101">
        <f>SUMIF($G$11:$G$120,$L$96,$E$11:$E$120)</f>
        <v>0</v>
      </c>
      <c r="N96" s="102">
        <f>SUMIF($G$11:$G$120,$L$96,$H$11:$H$120)</f>
        <v>0</v>
      </c>
      <c r="O96" s="147" t="str">
        <f>IF(ISERROR((HOUR($M$96)*60+MINUTE($M$96))/$N$96),"",(HOUR($M$96)*60+MINUTE($M$96))/$N$96)</f>
        <v/>
      </c>
      <c r="P96" s="103"/>
      <c r="Q96" s="104" t="str">
        <f>IF($P$96&lt;&gt; "",$N$96/$P$96,"")</f>
        <v/>
      </c>
      <c r="R96" s="103"/>
      <c r="S96" s="103" t="s">
        <v>356</v>
      </c>
      <c r="T96" s="103"/>
      <c r="U96" s="7"/>
      <c r="V96" s="76"/>
    </row>
    <row r="97" spans="2:22" ht="15.75" customHeight="1" x14ac:dyDescent="0.15">
      <c r="B97" s="23">
        <v>87</v>
      </c>
      <c r="C97" s="72" t="str">
        <f t="shared" si="3"/>
        <v/>
      </c>
      <c r="D97" s="18"/>
      <c r="E97" s="73" t="str">
        <f t="shared" si="2"/>
        <v/>
      </c>
      <c r="F97" s="28"/>
      <c r="G97" s="74"/>
      <c r="H97" s="74"/>
      <c r="I97" s="74"/>
      <c r="J97" s="81"/>
      <c r="K97" s="149"/>
      <c r="L97" s="93" t="s">
        <v>110</v>
      </c>
      <c r="M97" s="97">
        <f>SUMIF($L$98:$L$123,"&lt;&gt;【*】",$M$98:$M$123)</f>
        <v>0</v>
      </c>
      <c r="N97" s="98">
        <f>SUMIF($L$98:$L$123,"&lt;&gt;【*】",$N$98:$N$123)</f>
        <v>0</v>
      </c>
      <c r="O97" s="96"/>
      <c r="P97" s="96"/>
      <c r="Q97" s="96"/>
      <c r="R97" s="103"/>
      <c r="S97" s="96"/>
      <c r="T97" s="103"/>
      <c r="U97" s="7"/>
      <c r="V97" s="76"/>
    </row>
    <row r="98" spans="2:22" ht="15.75" customHeight="1" x14ac:dyDescent="0.15">
      <c r="B98" s="23">
        <v>88</v>
      </c>
      <c r="C98" s="72" t="str">
        <f t="shared" si="3"/>
        <v/>
      </c>
      <c r="D98" s="18"/>
      <c r="E98" s="73" t="str">
        <f t="shared" si="2"/>
        <v/>
      </c>
      <c r="F98" s="28"/>
      <c r="G98" s="74"/>
      <c r="H98" s="74"/>
      <c r="I98" s="74"/>
      <c r="J98" s="81"/>
      <c r="K98" s="149"/>
      <c r="L98" s="141" t="s">
        <v>187</v>
      </c>
      <c r="M98" s="142"/>
      <c r="N98" s="143"/>
      <c r="O98" s="143"/>
      <c r="P98" s="143"/>
      <c r="Q98" s="143"/>
      <c r="R98" s="103"/>
      <c r="S98" s="103" t="s">
        <v>357</v>
      </c>
      <c r="T98" s="103"/>
      <c r="U98" s="7"/>
      <c r="V98" s="76"/>
    </row>
    <row r="99" spans="2:22" ht="15.75" customHeight="1" x14ac:dyDescent="0.15">
      <c r="B99" s="23">
        <v>89</v>
      </c>
      <c r="C99" s="72" t="str">
        <f t="shared" si="3"/>
        <v/>
      </c>
      <c r="D99" s="18"/>
      <c r="E99" s="73" t="str">
        <f t="shared" si="2"/>
        <v/>
      </c>
      <c r="F99" s="28"/>
      <c r="G99" s="74"/>
      <c r="H99" s="74"/>
      <c r="I99" s="74"/>
      <c r="J99" s="81"/>
      <c r="K99" s="149"/>
      <c r="L99" s="141" t="s">
        <v>188</v>
      </c>
      <c r="M99" s="142"/>
      <c r="N99" s="143"/>
      <c r="O99" s="143"/>
      <c r="P99" s="143"/>
      <c r="Q99" s="143"/>
      <c r="R99" s="103"/>
      <c r="S99" s="103" t="s">
        <v>357</v>
      </c>
      <c r="T99" s="103"/>
      <c r="U99" s="7"/>
      <c r="V99" s="76"/>
    </row>
    <row r="100" spans="2:22" ht="15.75" customHeight="1" x14ac:dyDescent="0.15">
      <c r="B100" s="23">
        <v>90</v>
      </c>
      <c r="C100" s="72" t="str">
        <f t="shared" si="3"/>
        <v/>
      </c>
      <c r="D100" s="18"/>
      <c r="E100" s="73" t="str">
        <f t="shared" si="2"/>
        <v/>
      </c>
      <c r="F100" s="28"/>
      <c r="G100" s="74"/>
      <c r="H100" s="74"/>
      <c r="I100" s="74"/>
      <c r="J100" s="81"/>
      <c r="K100" s="149"/>
      <c r="L100" s="100" t="s">
        <v>189</v>
      </c>
      <c r="M100" s="101">
        <f>SUMIF($G$11:$G$120,$L$100,$E$11:$E$120)</f>
        <v>0</v>
      </c>
      <c r="N100" s="102">
        <f>SUMIF($G$11:$G$120,$L$100,$H$11:$H$120)</f>
        <v>0</v>
      </c>
      <c r="O100" s="147" t="str">
        <f>IF(ISERROR((HOUR($M$100)*60+MINUTE($M$100))/$N$100),"",(HOUR($M$100)*60+MINUTE($M$100))/$N$100)</f>
        <v/>
      </c>
      <c r="P100" s="103"/>
      <c r="Q100" s="104" t="str">
        <f>IF($P$100&lt;&gt; "",$N$100/$P$100,"")</f>
        <v/>
      </c>
      <c r="R100" s="103"/>
      <c r="S100" s="103" t="s">
        <v>357</v>
      </c>
      <c r="T100" s="103"/>
      <c r="U100" s="7"/>
      <c r="V100" s="76"/>
    </row>
    <row r="101" spans="2:22" ht="15.75" customHeight="1" x14ac:dyDescent="0.15">
      <c r="B101" s="23">
        <v>91</v>
      </c>
      <c r="C101" s="72" t="str">
        <f t="shared" si="3"/>
        <v/>
      </c>
      <c r="D101" s="18"/>
      <c r="E101" s="73" t="str">
        <f t="shared" si="2"/>
        <v/>
      </c>
      <c r="F101" s="28"/>
      <c r="G101" s="74"/>
      <c r="H101" s="74"/>
      <c r="I101" s="74"/>
      <c r="J101" s="81"/>
      <c r="K101" s="149"/>
      <c r="L101" s="100" t="s">
        <v>262</v>
      </c>
      <c r="M101" s="101">
        <f>SUMIF($G$11:$G$120,$L$101,$E$11:$E$120)</f>
        <v>0</v>
      </c>
      <c r="N101" s="102">
        <f>SUMIF($G$11:$G$120,$L$101,$H$11:$H$120)</f>
        <v>0</v>
      </c>
      <c r="O101" s="147" t="str">
        <f>IF(ISERROR((HOUR($M$101)*60+MINUTE($M$101))/$N$101),"",(HOUR($M$101)*60+MINUTE($M$101))/$N$101)</f>
        <v/>
      </c>
      <c r="P101" s="103"/>
      <c r="Q101" s="104" t="str">
        <f>IF($P$101&lt;&gt; "",$N$101/$P$101,"")</f>
        <v/>
      </c>
      <c r="R101" s="103"/>
      <c r="S101" s="103" t="s">
        <v>384</v>
      </c>
      <c r="T101" s="103"/>
      <c r="U101" s="7"/>
      <c r="V101" s="76"/>
    </row>
    <row r="102" spans="2:22" ht="15.75" customHeight="1" x14ac:dyDescent="0.15">
      <c r="B102" s="23">
        <v>92</v>
      </c>
      <c r="C102" s="72" t="str">
        <f t="shared" si="3"/>
        <v/>
      </c>
      <c r="D102" s="18"/>
      <c r="E102" s="73" t="str">
        <f t="shared" si="2"/>
        <v/>
      </c>
      <c r="F102" s="28"/>
      <c r="G102" s="74"/>
      <c r="H102" s="74"/>
      <c r="I102" s="74"/>
      <c r="J102" s="81"/>
      <c r="K102" s="149"/>
      <c r="L102" s="100" t="s">
        <v>263</v>
      </c>
      <c r="M102" s="101">
        <f>SUMIF($G$11:$G$120,$L$102,$E$11:$E$120)</f>
        <v>0</v>
      </c>
      <c r="N102" s="102">
        <f>SUMIF($G$11:$G$120,$L$102,$H$11:$H$120)</f>
        <v>0</v>
      </c>
      <c r="O102" s="147" t="str">
        <f>IF(ISERROR((HOUR($M$102)*60+MINUTE($M$102))/$N$102),"",(HOUR($M$102)*60+MINUTE($M$102))/$N$102)</f>
        <v/>
      </c>
      <c r="P102" s="103"/>
      <c r="Q102" s="104" t="str">
        <f>IF($P$102&lt;&gt; "",$N$102/$P$102,"")</f>
        <v/>
      </c>
      <c r="R102" s="103"/>
      <c r="S102" s="103" t="s">
        <v>358</v>
      </c>
      <c r="T102" s="103"/>
      <c r="U102" s="7"/>
      <c r="V102" s="76"/>
    </row>
    <row r="103" spans="2:22" ht="15.75" customHeight="1" x14ac:dyDescent="0.15">
      <c r="B103" s="23">
        <v>93</v>
      </c>
      <c r="C103" s="72" t="str">
        <f t="shared" si="3"/>
        <v/>
      </c>
      <c r="D103" s="18"/>
      <c r="E103" s="73" t="str">
        <f t="shared" si="2"/>
        <v/>
      </c>
      <c r="F103" s="28"/>
      <c r="G103" s="74"/>
      <c r="H103" s="74"/>
      <c r="I103" s="74"/>
      <c r="J103" s="81"/>
      <c r="K103" s="149"/>
      <c r="L103" s="100" t="s">
        <v>264</v>
      </c>
      <c r="M103" s="101">
        <f>SUMIF($G$11:$G$120,$L$103,$E$11:$E$120)</f>
        <v>0</v>
      </c>
      <c r="N103" s="102">
        <f>SUMIF($G$11:$G$120,$L$103,$H$11:$H$120)</f>
        <v>0</v>
      </c>
      <c r="O103" s="147" t="str">
        <f>IF(ISERROR((HOUR($M$103)*60+MINUTE($M$103))/$N$103),"",(HOUR($M$103)*60+MINUTE($M$103))/$N$103)</f>
        <v/>
      </c>
      <c r="P103" s="103"/>
      <c r="Q103" s="104" t="str">
        <f>IF($P$103&lt;&gt; "",$N$103/$P$103,"")</f>
        <v/>
      </c>
      <c r="R103" s="103"/>
      <c r="S103" s="103" t="s">
        <v>358</v>
      </c>
      <c r="T103" s="103"/>
      <c r="U103" s="7"/>
      <c r="V103" s="76"/>
    </row>
    <row r="104" spans="2:22" ht="15.75" customHeight="1" x14ac:dyDescent="0.15">
      <c r="B104" s="23">
        <v>94</v>
      </c>
      <c r="C104" s="72" t="str">
        <f t="shared" si="3"/>
        <v/>
      </c>
      <c r="D104" s="18"/>
      <c r="E104" s="73" t="str">
        <f t="shared" si="2"/>
        <v/>
      </c>
      <c r="F104" s="28"/>
      <c r="G104" s="74"/>
      <c r="H104" s="74"/>
      <c r="I104" s="74"/>
      <c r="J104" s="81"/>
      <c r="K104" s="149"/>
      <c r="L104" s="141" t="s">
        <v>190</v>
      </c>
      <c r="M104" s="142"/>
      <c r="N104" s="143"/>
      <c r="O104" s="143"/>
      <c r="P104" s="143"/>
      <c r="Q104" s="143"/>
      <c r="R104" s="103"/>
      <c r="S104" s="103" t="s">
        <v>359</v>
      </c>
      <c r="T104" s="103"/>
      <c r="U104" s="7"/>
      <c r="V104" s="76"/>
    </row>
    <row r="105" spans="2:22" ht="15.75" customHeight="1" x14ac:dyDescent="0.15">
      <c r="B105" s="23">
        <v>95</v>
      </c>
      <c r="C105" s="72" t="str">
        <f t="shared" si="3"/>
        <v/>
      </c>
      <c r="D105" s="18"/>
      <c r="E105" s="73" t="str">
        <f t="shared" si="2"/>
        <v/>
      </c>
      <c r="F105" s="28"/>
      <c r="G105" s="74"/>
      <c r="H105" s="74"/>
      <c r="I105" s="74"/>
      <c r="J105" s="81"/>
      <c r="K105" s="149"/>
      <c r="L105" s="100" t="s">
        <v>191</v>
      </c>
      <c r="M105" s="101">
        <f>SUMIF($G$11:$G$120,$L$105,$E$11:$E$120)</f>
        <v>0</v>
      </c>
      <c r="N105" s="102">
        <f>SUMIF($G$11:$G$120,$L$105,$H$11:$H$120)</f>
        <v>0</v>
      </c>
      <c r="O105" s="147" t="str">
        <f>IF(ISERROR((HOUR($M$105)*60+MINUTE($M$105))/$N$105),"",(HOUR($M$105)*60+MINUTE($M$105))/$N$105)</f>
        <v/>
      </c>
      <c r="P105" s="103"/>
      <c r="Q105" s="104" t="str">
        <f>IF($P$105&lt;&gt; "",$N$105/$P$105,"")</f>
        <v/>
      </c>
      <c r="R105" s="103"/>
      <c r="S105" s="103" t="s">
        <v>358</v>
      </c>
      <c r="T105" s="103"/>
      <c r="U105" s="7"/>
      <c r="V105" s="76"/>
    </row>
    <row r="106" spans="2:22" ht="15.75" customHeight="1" x14ac:dyDescent="0.15">
      <c r="B106" s="23">
        <v>96</v>
      </c>
      <c r="C106" s="72" t="str">
        <f t="shared" si="3"/>
        <v/>
      </c>
      <c r="D106" s="18"/>
      <c r="E106" s="73" t="str">
        <f t="shared" si="2"/>
        <v/>
      </c>
      <c r="F106" s="28"/>
      <c r="G106" s="74"/>
      <c r="H106" s="74"/>
      <c r="I106" s="74"/>
      <c r="J106" s="81"/>
      <c r="K106" s="149"/>
      <c r="L106" s="100" t="s">
        <v>192</v>
      </c>
      <c r="M106" s="101">
        <f>SUMIF($G$11:$G$120,$L$106,$E$11:$E$120)</f>
        <v>0</v>
      </c>
      <c r="N106" s="102">
        <f>SUMIF($G$11:$G$120,$L$106,$H$11:$H$120)</f>
        <v>0</v>
      </c>
      <c r="O106" s="147" t="str">
        <f>IF(ISERROR((HOUR($M$106)*60+MINUTE($M$106))/$N$106),"",(HOUR($M$106)*60+MINUTE($M$106))/$N$106)</f>
        <v/>
      </c>
      <c r="P106" s="103"/>
      <c r="Q106" s="104" t="str">
        <f>IF($P$106&lt;&gt; "",$N$106/$P$106,"")</f>
        <v/>
      </c>
      <c r="R106" s="103"/>
      <c r="S106" s="103" t="s">
        <v>358</v>
      </c>
      <c r="T106" s="103"/>
      <c r="U106" s="7"/>
      <c r="V106" s="76"/>
    </row>
    <row r="107" spans="2:22" ht="15.75" customHeight="1" x14ac:dyDescent="0.15">
      <c r="B107" s="23">
        <v>97</v>
      </c>
      <c r="C107" s="72" t="str">
        <f t="shared" si="3"/>
        <v/>
      </c>
      <c r="D107" s="18"/>
      <c r="E107" s="73" t="str">
        <f t="shared" si="2"/>
        <v/>
      </c>
      <c r="F107" s="28"/>
      <c r="G107" s="74"/>
      <c r="H107" s="74"/>
      <c r="I107" s="74"/>
      <c r="J107" s="81"/>
      <c r="K107" s="149"/>
      <c r="L107" s="100" t="s">
        <v>193</v>
      </c>
      <c r="M107" s="101">
        <f>SUMIF($G$11:$G$120,$L$107,$E$11:$E$120)</f>
        <v>0</v>
      </c>
      <c r="N107" s="102">
        <f>SUMIF($G$11:$G$120,$L$107,$H$11:$H$120)</f>
        <v>0</v>
      </c>
      <c r="O107" s="147" t="str">
        <f>IF(ISERROR((HOUR($M$107)*60+MINUTE($M$107))/$N$107),"",(HOUR($M$107)*60+MINUTE($M$107))/$N$107)</f>
        <v/>
      </c>
      <c r="P107" s="103"/>
      <c r="Q107" s="104" t="str">
        <f>IF($P$107&lt;&gt; "",$N$107/$P$107,"")</f>
        <v/>
      </c>
      <c r="R107" s="103"/>
      <c r="S107" s="103" t="s">
        <v>358</v>
      </c>
      <c r="T107" s="103"/>
      <c r="U107" s="7"/>
      <c r="V107" s="71"/>
    </row>
    <row r="108" spans="2:22" ht="15.75" customHeight="1" x14ac:dyDescent="0.15">
      <c r="B108" s="23">
        <v>98</v>
      </c>
      <c r="C108" s="72" t="str">
        <f t="shared" si="3"/>
        <v/>
      </c>
      <c r="D108" s="18"/>
      <c r="E108" s="73" t="str">
        <f t="shared" si="2"/>
        <v/>
      </c>
      <c r="F108" s="28"/>
      <c r="G108" s="74"/>
      <c r="H108" s="74"/>
      <c r="I108" s="74"/>
      <c r="J108" s="81"/>
      <c r="K108" s="149"/>
      <c r="L108" s="100" t="s">
        <v>194</v>
      </c>
      <c r="M108" s="101">
        <f>SUMIF($G$11:$G$120,$L$108,$E$11:$E$120)</f>
        <v>0</v>
      </c>
      <c r="N108" s="102">
        <f>SUMIF($G$11:$G$120,$L$108,$H$11:$H$120)</f>
        <v>0</v>
      </c>
      <c r="O108" s="147" t="str">
        <f>IF(ISERROR((HOUR($M$108)*60+MINUTE($M$108))/$N$108),"",(HOUR($M$108)*60+MINUTE($M$108))/$N$108)</f>
        <v/>
      </c>
      <c r="P108" s="103"/>
      <c r="Q108" s="104" t="str">
        <f>IF($P$108&lt;&gt; "",$N$108/$P$108,"")</f>
        <v/>
      </c>
      <c r="R108" s="103"/>
      <c r="S108" s="103" t="s">
        <v>360</v>
      </c>
      <c r="T108" s="103"/>
      <c r="U108" s="7"/>
      <c r="V108" s="76"/>
    </row>
    <row r="109" spans="2:22" ht="15.75" customHeight="1" x14ac:dyDescent="0.15">
      <c r="B109" s="23">
        <v>99</v>
      </c>
      <c r="C109" s="72" t="str">
        <f t="shared" si="3"/>
        <v/>
      </c>
      <c r="D109" s="18"/>
      <c r="E109" s="73" t="str">
        <f t="shared" si="2"/>
        <v/>
      </c>
      <c r="F109" s="28"/>
      <c r="G109" s="74"/>
      <c r="H109" s="74"/>
      <c r="I109" s="74"/>
      <c r="J109" s="81"/>
      <c r="K109" s="149"/>
      <c r="L109" s="100" t="s">
        <v>195</v>
      </c>
      <c r="M109" s="101">
        <f>SUMIF($G$11:$G$120,$L$109,$E$11:$E$120)</f>
        <v>0</v>
      </c>
      <c r="N109" s="102">
        <f>SUMIF($G$11:$G$120,$L$109,$H$11:$H$120)</f>
        <v>0</v>
      </c>
      <c r="O109" s="147" t="str">
        <f>IF(ISERROR((HOUR($M$109)*60+MINUTE($M$109))/$N$109),"",(HOUR($M$109)*60+MINUTE($M$109))/$N$109)</f>
        <v/>
      </c>
      <c r="P109" s="103"/>
      <c r="Q109" s="104" t="str">
        <f>IF($P$109&lt;&gt; "",$N$109/$P$109,"")</f>
        <v/>
      </c>
      <c r="R109" s="103"/>
      <c r="S109" s="103" t="s">
        <v>358</v>
      </c>
      <c r="T109" s="103"/>
      <c r="U109" s="7"/>
      <c r="V109" s="76"/>
    </row>
    <row r="110" spans="2:22" ht="15.75" customHeight="1" x14ac:dyDescent="0.15">
      <c r="B110" s="23">
        <v>100</v>
      </c>
      <c r="C110" s="72" t="str">
        <f t="shared" si="3"/>
        <v/>
      </c>
      <c r="D110" s="18"/>
      <c r="E110" s="73" t="str">
        <f t="shared" si="2"/>
        <v/>
      </c>
      <c r="F110" s="28"/>
      <c r="G110" s="74"/>
      <c r="H110" s="74"/>
      <c r="I110" s="74"/>
      <c r="J110" s="81"/>
      <c r="K110" s="149"/>
      <c r="L110" s="100" t="s">
        <v>196</v>
      </c>
      <c r="M110" s="101">
        <f>SUMIF($G$11:$G$120,$L$110,$E$11:$E$120)</f>
        <v>0</v>
      </c>
      <c r="N110" s="102">
        <f>SUMIF($G$11:$G$120,$L$110,$H$11:$H$120)</f>
        <v>0</v>
      </c>
      <c r="O110" s="147" t="str">
        <f>IF(ISERROR((HOUR($M$110)*60+MINUTE($M$110))/$N$110),"",(HOUR($M$110)*60+MINUTE($M$110))/$N$110)</f>
        <v/>
      </c>
      <c r="P110" s="103"/>
      <c r="Q110" s="104" t="str">
        <f>IF($P$110&lt;&gt; "",$N$110/$P$110,"")</f>
        <v/>
      </c>
      <c r="R110" s="103"/>
      <c r="S110" s="103" t="s">
        <v>358</v>
      </c>
      <c r="T110" s="103"/>
      <c r="U110" s="7"/>
      <c r="V110" s="76"/>
    </row>
    <row r="111" spans="2:22" ht="15.75" customHeight="1" x14ac:dyDescent="0.15">
      <c r="B111" s="23">
        <v>101</v>
      </c>
      <c r="C111" s="72" t="str">
        <f t="shared" si="3"/>
        <v/>
      </c>
      <c r="D111" s="18"/>
      <c r="E111" s="73" t="str">
        <f t="shared" si="2"/>
        <v/>
      </c>
      <c r="F111" s="28"/>
      <c r="G111" s="74"/>
      <c r="H111" s="74"/>
      <c r="I111" s="74"/>
      <c r="J111" s="81"/>
      <c r="K111" s="149"/>
      <c r="L111" s="100" t="s">
        <v>197</v>
      </c>
      <c r="M111" s="101">
        <f>SUMIF($G$11:$G$120,$L$111,$E$11:$E$120)</f>
        <v>0</v>
      </c>
      <c r="N111" s="102">
        <f>SUMIF($G$11:$G$120,$L$111,$H$11:$H$120)</f>
        <v>0</v>
      </c>
      <c r="O111" s="147" t="str">
        <f>IF(ISERROR((HOUR($M$111)*60+MINUTE($M$111))/$N$111),"",(HOUR($M$111)*60+MINUTE($M$111))/$N$111)</f>
        <v/>
      </c>
      <c r="P111" s="103"/>
      <c r="Q111" s="104" t="str">
        <f>IF($P$111&lt;&gt; "",$N$111/$P$111,"")</f>
        <v/>
      </c>
      <c r="R111" s="103"/>
      <c r="S111" s="103" t="s">
        <v>358</v>
      </c>
      <c r="T111" s="103"/>
      <c r="U111" s="7"/>
      <c r="V111" s="76"/>
    </row>
    <row r="112" spans="2:22" ht="15.75" customHeight="1" x14ac:dyDescent="0.15">
      <c r="B112" s="23">
        <v>102</v>
      </c>
      <c r="C112" s="72" t="str">
        <f t="shared" si="3"/>
        <v/>
      </c>
      <c r="D112" s="18"/>
      <c r="E112" s="73" t="str">
        <f t="shared" si="2"/>
        <v/>
      </c>
      <c r="F112" s="28"/>
      <c r="G112" s="74"/>
      <c r="H112" s="74"/>
      <c r="I112" s="74"/>
      <c r="J112" s="81"/>
      <c r="K112" s="149"/>
      <c r="L112" s="100" t="s">
        <v>198</v>
      </c>
      <c r="M112" s="101">
        <f>SUMIF($G$11:$G$120,$L$112,$E$11:$E$120)</f>
        <v>0</v>
      </c>
      <c r="N112" s="102">
        <f>SUMIF($G$11:$G$120,$L$112,$H$11:$H$120)</f>
        <v>0</v>
      </c>
      <c r="O112" s="147" t="str">
        <f>IF(ISERROR((HOUR($M$112)*60+MINUTE($M$112))/$N$112),"",(HOUR($M$112)*60+MINUTE($M$112))/$N$112)</f>
        <v/>
      </c>
      <c r="P112" s="103"/>
      <c r="Q112" s="104" t="str">
        <f>IF($P$112&lt;&gt; "",$N$112/$P$112,"")</f>
        <v/>
      </c>
      <c r="R112" s="103"/>
      <c r="S112" s="103" t="s">
        <v>358</v>
      </c>
      <c r="T112" s="103"/>
      <c r="U112" s="7"/>
      <c r="V112" s="76"/>
    </row>
    <row r="113" spans="2:22" ht="15.75" customHeight="1" x14ac:dyDescent="0.15">
      <c r="B113" s="23">
        <v>103</v>
      </c>
      <c r="C113" s="72" t="str">
        <f t="shared" si="3"/>
        <v/>
      </c>
      <c r="D113" s="18"/>
      <c r="E113" s="73" t="str">
        <f t="shared" si="2"/>
        <v/>
      </c>
      <c r="F113" s="28"/>
      <c r="G113" s="74"/>
      <c r="H113" s="74"/>
      <c r="I113" s="74"/>
      <c r="J113" s="81"/>
      <c r="K113" s="149"/>
      <c r="L113" s="100" t="s">
        <v>265</v>
      </c>
      <c r="M113" s="101">
        <f>SUMIF($G$11:$G$120,$L$113,$E$11:$E$120)</f>
        <v>0</v>
      </c>
      <c r="N113" s="102">
        <f>SUMIF($G$11:$G$120,$L$113,$H$11:$H$120)</f>
        <v>0</v>
      </c>
      <c r="O113" s="147" t="str">
        <f>IF(ISERROR((HOUR($M$113)*60+MINUTE($M$113))/$N$113),"",(HOUR($M$113)*60+MINUTE($M$113))/$N$113)</f>
        <v/>
      </c>
      <c r="P113" s="103"/>
      <c r="Q113" s="104" t="str">
        <f>IF($P$113&lt;&gt; "",$N$113/$P$113,"")</f>
        <v/>
      </c>
      <c r="R113" s="103"/>
      <c r="S113" s="103" t="s">
        <v>358</v>
      </c>
      <c r="T113" s="103"/>
      <c r="U113" s="7"/>
      <c r="V113" s="76"/>
    </row>
    <row r="114" spans="2:22" ht="15.75" customHeight="1" x14ac:dyDescent="0.15">
      <c r="B114" s="23">
        <v>104</v>
      </c>
      <c r="C114" s="72" t="str">
        <f t="shared" si="3"/>
        <v/>
      </c>
      <c r="D114" s="18"/>
      <c r="E114" s="73" t="str">
        <f t="shared" si="2"/>
        <v/>
      </c>
      <c r="F114" s="28"/>
      <c r="G114" s="74"/>
      <c r="H114" s="74"/>
      <c r="I114" s="74"/>
      <c r="J114" s="81"/>
      <c r="K114" s="149"/>
      <c r="L114" s="100" t="s">
        <v>199</v>
      </c>
      <c r="M114" s="101">
        <f>SUMIF($G$11:$G$120,$L$114,$E$11:$E$120)</f>
        <v>0</v>
      </c>
      <c r="N114" s="102">
        <f>SUMIF($G$11:$G$120,$L$114,$H$11:$H$120)</f>
        <v>0</v>
      </c>
      <c r="O114" s="147" t="str">
        <f>IF(ISERROR((HOUR($M$114)*60+MINUTE($M$114))/$N$114),"",(HOUR($M$114)*60+MINUTE($M$114))/$N$114)</f>
        <v/>
      </c>
      <c r="P114" s="103"/>
      <c r="Q114" s="104" t="str">
        <f>IF($P$114&lt;&gt; "",$N$114/$P$114,"")</f>
        <v/>
      </c>
      <c r="R114" s="103"/>
      <c r="S114" s="103" t="s">
        <v>361</v>
      </c>
      <c r="T114" s="103"/>
      <c r="U114" s="7"/>
      <c r="V114" s="76"/>
    </row>
    <row r="115" spans="2:22" ht="15.75" customHeight="1" x14ac:dyDescent="0.15">
      <c r="B115" s="23">
        <v>105</v>
      </c>
      <c r="C115" s="72" t="str">
        <f t="shared" si="3"/>
        <v/>
      </c>
      <c r="D115" s="18"/>
      <c r="E115" s="73" t="str">
        <f t="shared" si="2"/>
        <v/>
      </c>
      <c r="F115" s="28"/>
      <c r="G115" s="74"/>
      <c r="H115" s="74"/>
      <c r="I115" s="74"/>
      <c r="J115" s="81"/>
      <c r="K115" s="149"/>
      <c r="L115" s="100" t="s">
        <v>200</v>
      </c>
      <c r="M115" s="101">
        <f>SUMIF($G$11:$G$120,$L$115,$E$11:$E$120)</f>
        <v>0</v>
      </c>
      <c r="N115" s="102">
        <f>SUMIF($G$11:$G$120,$L$115,$H$11:$H$120)</f>
        <v>0</v>
      </c>
      <c r="O115" s="147" t="str">
        <f>IF(ISERROR((HOUR($M$115)*60+MINUTE($M$115))/$N$115),"",(HOUR($M$115)*60+MINUTE($M$115))/$N$115)</f>
        <v/>
      </c>
      <c r="P115" s="103"/>
      <c r="Q115" s="104" t="str">
        <f>IF($P$115&lt;&gt; "",$N$115/$P$115,"")</f>
        <v/>
      </c>
      <c r="R115" s="103"/>
      <c r="S115" s="103" t="s">
        <v>361</v>
      </c>
      <c r="T115" s="103"/>
      <c r="U115" s="7"/>
      <c r="V115" s="76"/>
    </row>
    <row r="116" spans="2:22" ht="15.75" customHeight="1" x14ac:dyDescent="0.15">
      <c r="B116" s="23">
        <v>106</v>
      </c>
      <c r="C116" s="72" t="str">
        <f t="shared" si="3"/>
        <v/>
      </c>
      <c r="D116" s="18"/>
      <c r="E116" s="73" t="str">
        <f t="shared" si="2"/>
        <v/>
      </c>
      <c r="F116" s="28"/>
      <c r="G116" s="74"/>
      <c r="H116" s="74"/>
      <c r="I116" s="74"/>
      <c r="J116" s="81"/>
      <c r="K116" s="149"/>
      <c r="L116" s="100" t="s">
        <v>201</v>
      </c>
      <c r="M116" s="101">
        <f>SUMIF($G$11:$G$120,$L$116,$E$11:$E$120)</f>
        <v>0</v>
      </c>
      <c r="N116" s="102">
        <f>SUMIF($G$11:$G$120,$L$116,$H$11:$H$120)</f>
        <v>0</v>
      </c>
      <c r="O116" s="147" t="str">
        <f>IF(ISERROR((HOUR($M$116)*60+MINUTE($M$116))/$N$116),"",(HOUR($M$116)*60+MINUTE($M$116))/$N$116)</f>
        <v/>
      </c>
      <c r="P116" s="103"/>
      <c r="Q116" s="104" t="str">
        <f>IF($P$116&lt;&gt; "",$N$116/$P$116,"")</f>
        <v/>
      </c>
      <c r="R116" s="103"/>
      <c r="S116" s="103" t="s">
        <v>362</v>
      </c>
      <c r="T116" s="103"/>
      <c r="U116" s="7"/>
      <c r="V116" s="76"/>
    </row>
    <row r="117" spans="2:22" ht="15.75" customHeight="1" x14ac:dyDescent="0.15">
      <c r="B117" s="23">
        <v>107</v>
      </c>
      <c r="C117" s="72" t="str">
        <f t="shared" si="3"/>
        <v/>
      </c>
      <c r="D117" s="18"/>
      <c r="E117" s="73" t="str">
        <f t="shared" si="2"/>
        <v/>
      </c>
      <c r="F117" s="28"/>
      <c r="G117" s="74"/>
      <c r="H117" s="74"/>
      <c r="I117" s="74"/>
      <c r="J117" s="81"/>
      <c r="K117" s="149"/>
      <c r="L117" s="100" t="s">
        <v>202</v>
      </c>
      <c r="M117" s="101">
        <f>SUMIF($G$11:$G$120,$L$117,$E$11:$E$120)</f>
        <v>0</v>
      </c>
      <c r="N117" s="102">
        <f>SUMIF($G$11:$G$120,$L$117,$H$11:$H$120)</f>
        <v>0</v>
      </c>
      <c r="O117" s="147" t="str">
        <f>IF(ISERROR((HOUR($M$117)*60+MINUTE($M$117))/$N$117),"",(HOUR($M$117)*60+MINUTE($M$117))/$N$117)</f>
        <v/>
      </c>
      <c r="P117" s="103"/>
      <c r="Q117" s="104" t="str">
        <f>IF($P$117&lt;&gt; "",$N$117/$P$117,"")</f>
        <v/>
      </c>
      <c r="R117" s="103"/>
      <c r="S117" s="103" t="s">
        <v>363</v>
      </c>
      <c r="T117" s="103"/>
      <c r="U117" s="7"/>
      <c r="V117" s="76"/>
    </row>
    <row r="118" spans="2:22" ht="15.75" customHeight="1" x14ac:dyDescent="0.15">
      <c r="B118" s="23">
        <v>108</v>
      </c>
      <c r="C118" s="72" t="str">
        <f t="shared" si="3"/>
        <v/>
      </c>
      <c r="D118" s="18"/>
      <c r="E118" s="73" t="str">
        <f t="shared" si="2"/>
        <v/>
      </c>
      <c r="F118" s="28"/>
      <c r="G118" s="74"/>
      <c r="H118" s="74"/>
      <c r="I118" s="74"/>
      <c r="J118" s="81"/>
      <c r="K118" s="149"/>
      <c r="L118" s="100" t="s">
        <v>203</v>
      </c>
      <c r="M118" s="101">
        <f>SUMIF($G$11:$G$120,$L$118,$E$11:$E$120)</f>
        <v>0</v>
      </c>
      <c r="N118" s="102">
        <f>SUMIF($G$11:$G$120,$L$118,$H$11:$H$120)</f>
        <v>0</v>
      </c>
      <c r="O118" s="147" t="str">
        <f>IF(ISERROR((HOUR($M$118)*60+MINUTE($M$118))/$N$118),"",(HOUR($M$118)*60+MINUTE($M$118))/$N$118)</f>
        <v/>
      </c>
      <c r="P118" s="103"/>
      <c r="Q118" s="104" t="str">
        <f>IF($P$118&lt;&gt; "",$N$118/$P$118,"")</f>
        <v/>
      </c>
      <c r="R118" s="103"/>
      <c r="S118" s="103" t="s">
        <v>362</v>
      </c>
      <c r="T118" s="103"/>
      <c r="U118" s="7"/>
      <c r="V118" s="76"/>
    </row>
    <row r="119" spans="2:22" ht="15.75" customHeight="1" x14ac:dyDescent="0.15">
      <c r="B119" s="23">
        <v>109</v>
      </c>
      <c r="C119" s="72" t="str">
        <f t="shared" si="3"/>
        <v/>
      </c>
      <c r="D119" s="18"/>
      <c r="E119" s="73" t="str">
        <f t="shared" si="2"/>
        <v/>
      </c>
      <c r="F119" s="28"/>
      <c r="G119" s="74"/>
      <c r="H119" s="74"/>
      <c r="I119" s="74"/>
      <c r="J119" s="81"/>
      <c r="K119" s="149"/>
      <c r="L119" s="100" t="s">
        <v>204</v>
      </c>
      <c r="M119" s="101">
        <f>SUMIF($G$11:$G$120,$L$119,$E$11:$E$120)</f>
        <v>0</v>
      </c>
      <c r="N119" s="102">
        <f>SUMIF($G$11:$G$120,$L$119,$H$11:$H$120)</f>
        <v>0</v>
      </c>
      <c r="O119" s="147" t="str">
        <f>IF(ISERROR((HOUR($M$119)*60+MINUTE($M$119))/$N$119),"",(HOUR($M$119)*60+MINUTE($M$119))/$N$119)</f>
        <v/>
      </c>
      <c r="P119" s="103"/>
      <c r="Q119" s="104" t="str">
        <f>IF($P$119&lt;&gt; "",$N$119/$P$119,"")</f>
        <v/>
      </c>
      <c r="R119" s="103"/>
      <c r="S119" s="103" t="s">
        <v>364</v>
      </c>
      <c r="T119" s="103"/>
      <c r="U119" s="7"/>
      <c r="V119" s="76"/>
    </row>
    <row r="120" spans="2:22" ht="15.75" customHeight="1" x14ac:dyDescent="0.15">
      <c r="B120" s="24">
        <v>110</v>
      </c>
      <c r="C120" s="72" t="str">
        <f t="shared" si="3"/>
        <v/>
      </c>
      <c r="D120" s="18"/>
      <c r="E120" s="73" t="str">
        <f t="shared" si="2"/>
        <v/>
      </c>
      <c r="F120" s="29"/>
      <c r="G120" s="77"/>
      <c r="H120" s="74"/>
      <c r="I120" s="77"/>
      <c r="J120" s="81"/>
      <c r="K120" s="149"/>
      <c r="L120" s="100" t="s">
        <v>205</v>
      </c>
      <c r="M120" s="101">
        <f>SUMIF($G$11:$G$120,$L$120,$E$11:$E$120)</f>
        <v>0</v>
      </c>
      <c r="N120" s="109"/>
      <c r="O120" s="109"/>
      <c r="P120" s="109"/>
      <c r="Q120" s="109"/>
      <c r="R120" s="103"/>
      <c r="S120" s="144" t="s">
        <v>365</v>
      </c>
      <c r="T120" s="103"/>
      <c r="U120" s="7"/>
      <c r="V120" s="76"/>
    </row>
    <row r="121" spans="2:22" x14ac:dyDescent="0.15">
      <c r="J121" s="6"/>
      <c r="K121" s="149"/>
      <c r="L121" s="141" t="s">
        <v>206</v>
      </c>
      <c r="M121" s="142"/>
      <c r="N121" s="143"/>
      <c r="O121" s="143"/>
      <c r="P121" s="143"/>
      <c r="Q121" s="143"/>
      <c r="R121" s="103"/>
      <c r="S121" s="103" t="s">
        <v>366</v>
      </c>
      <c r="T121" s="103"/>
      <c r="U121" s="7"/>
      <c r="V121" s="76"/>
    </row>
    <row r="122" spans="2:22" x14ac:dyDescent="0.15">
      <c r="J122" s="6"/>
      <c r="K122" s="149"/>
      <c r="L122" s="100" t="s">
        <v>207</v>
      </c>
      <c r="M122" s="101">
        <f>SUMIF($G$11:$G$120,$L$122,$E$11:$E$120)</f>
        <v>0</v>
      </c>
      <c r="N122" s="109"/>
      <c r="O122" s="109"/>
      <c r="P122" s="109"/>
      <c r="Q122" s="109"/>
      <c r="R122" s="103"/>
      <c r="S122" s="144" t="s">
        <v>365</v>
      </c>
      <c r="T122" s="103"/>
      <c r="U122" s="7"/>
      <c r="V122" s="76"/>
    </row>
    <row r="123" spans="2:22" x14ac:dyDescent="0.15">
      <c r="J123" s="6"/>
      <c r="K123" s="149"/>
      <c r="L123" s="100" t="s">
        <v>266</v>
      </c>
      <c r="M123" s="101">
        <f>SUMIF($G$11:$G$120,$L$123,$E$11:$E$120)</f>
        <v>0</v>
      </c>
      <c r="N123" s="109"/>
      <c r="O123" s="109"/>
      <c r="P123" s="109"/>
      <c r="Q123" s="109"/>
      <c r="R123" s="103"/>
      <c r="S123" s="144"/>
      <c r="T123" s="103"/>
      <c r="U123" s="7"/>
      <c r="V123" s="76"/>
    </row>
    <row r="124" spans="2:22" x14ac:dyDescent="0.15">
      <c r="J124" s="6"/>
      <c r="K124" s="149"/>
      <c r="L124" s="93" t="s">
        <v>111</v>
      </c>
      <c r="M124" s="97">
        <f>SUMIF($L$125:$L$129,"&lt;&gt;【*】",$M$125:$M$129)</f>
        <v>0</v>
      </c>
      <c r="N124" s="98">
        <f>SUMIF($L$125:$L$129,"&lt;&gt;【*】",$N$125:$N$129)</f>
        <v>0</v>
      </c>
      <c r="O124" s="96"/>
      <c r="P124" s="96"/>
      <c r="Q124" s="96"/>
      <c r="R124" s="103"/>
      <c r="S124" s="96"/>
      <c r="T124" s="103"/>
      <c r="U124" s="7"/>
      <c r="V124" s="76"/>
    </row>
    <row r="125" spans="2:22" x14ac:dyDescent="0.15">
      <c r="J125" s="6"/>
      <c r="K125" s="149"/>
      <c r="L125" s="100" t="s">
        <v>208</v>
      </c>
      <c r="M125" s="101">
        <f>SUMIF($G$11:$G$120,$L$125,$E$11:$E$120)</f>
        <v>0</v>
      </c>
      <c r="N125" s="102">
        <f>SUMIF($G$11:$G$120,$L$125,$H$11:$H$120)</f>
        <v>0</v>
      </c>
      <c r="O125" s="147" t="str">
        <f>IF(ISERROR((HOUR($M$125)*60+MINUTE($M$125))/$N$125),"",(HOUR($M$125)*60+MINUTE($M$125))/$N$125)</f>
        <v/>
      </c>
      <c r="P125" s="103"/>
      <c r="Q125" s="104" t="str">
        <f>IF($P$125&lt;&gt; "",$N$125/$P$125,"")</f>
        <v/>
      </c>
      <c r="R125" s="103"/>
      <c r="S125" s="103" t="s">
        <v>367</v>
      </c>
      <c r="T125" s="103"/>
      <c r="U125" s="7"/>
      <c r="V125" s="76"/>
    </row>
    <row r="126" spans="2:22" x14ac:dyDescent="0.15">
      <c r="J126" s="6"/>
      <c r="K126" s="149"/>
      <c r="L126" s="100" t="s">
        <v>209</v>
      </c>
      <c r="M126" s="101">
        <f>SUMIF($G$11:$G$120,$L$126,$E$11:$E$120)</f>
        <v>0</v>
      </c>
      <c r="N126" s="102">
        <f>SUMIF($G$11:$G$120,$L$126,$H$11:$H$120)</f>
        <v>0</v>
      </c>
      <c r="O126" s="147" t="str">
        <f>IF(ISERROR((HOUR($M$126)*60+MINUTE($M$126))/$N$126),"",(HOUR($M$126)*60+MINUTE($M$126))/$N$126)</f>
        <v/>
      </c>
      <c r="P126" s="103"/>
      <c r="Q126" s="104" t="str">
        <f>IF($P$126&lt;&gt; "",$N$126/$P$126,"")</f>
        <v/>
      </c>
      <c r="R126" s="103"/>
      <c r="S126" s="103" t="s">
        <v>367</v>
      </c>
      <c r="T126" s="103"/>
      <c r="U126" s="7"/>
      <c r="V126" s="76"/>
    </row>
    <row r="127" spans="2:22" x14ac:dyDescent="0.15">
      <c r="J127" s="6"/>
      <c r="K127" s="149"/>
      <c r="L127" s="100" t="s">
        <v>210</v>
      </c>
      <c r="M127" s="101">
        <f>SUMIF($G$11:$G$120,$L$127,$E$11:$E$120)</f>
        <v>0</v>
      </c>
      <c r="N127" s="102">
        <f>SUMIF($G$11:$G$120,$L$127,$H$11:$H$120)</f>
        <v>0</v>
      </c>
      <c r="O127" s="147" t="str">
        <f>IF(ISERROR((HOUR($M$127)*60+MINUTE($M$127))/$N$127),"",(HOUR($M$127)*60+MINUTE($M$127))/$N$127)</f>
        <v/>
      </c>
      <c r="P127" s="103"/>
      <c r="Q127" s="104" t="str">
        <f>IF($P$127&lt;&gt; "",$N$127/$P$127,"")</f>
        <v/>
      </c>
      <c r="R127" s="103"/>
      <c r="S127" s="103" t="s">
        <v>367</v>
      </c>
      <c r="T127" s="103"/>
      <c r="U127" s="7"/>
      <c r="V127" s="76"/>
    </row>
    <row r="128" spans="2:22" x14ac:dyDescent="0.15">
      <c r="J128" s="6"/>
      <c r="K128" s="149"/>
      <c r="L128" s="100" t="s">
        <v>211</v>
      </c>
      <c r="M128" s="101">
        <f>SUMIF($G$11:$G$120,$L$128,$E$11:$E$120)</f>
        <v>0</v>
      </c>
      <c r="N128" s="109"/>
      <c r="O128" s="109"/>
      <c r="P128" s="109"/>
      <c r="Q128" s="109"/>
      <c r="R128" s="103"/>
      <c r="S128" s="144" t="s">
        <v>365</v>
      </c>
      <c r="T128" s="103"/>
      <c r="U128" s="7"/>
      <c r="V128" s="76"/>
    </row>
    <row r="129" spans="2:22" x14ac:dyDescent="0.15">
      <c r="J129" s="6"/>
      <c r="K129" s="149"/>
      <c r="L129" s="100" t="s">
        <v>267</v>
      </c>
      <c r="M129" s="101">
        <f>SUMIF($G$11:$G$120,$L$129,$E$11:$E$120)</f>
        <v>0</v>
      </c>
      <c r="N129" s="109"/>
      <c r="O129" s="109"/>
      <c r="P129" s="109"/>
      <c r="Q129" s="109"/>
      <c r="R129" s="103"/>
      <c r="S129" s="144"/>
      <c r="T129" s="103"/>
      <c r="U129" s="7"/>
      <c r="V129" s="76"/>
    </row>
    <row r="130" spans="2:22" x14ac:dyDescent="0.15">
      <c r="J130" s="6"/>
      <c r="K130" s="149"/>
      <c r="L130" s="93" t="s">
        <v>112</v>
      </c>
      <c r="M130" s="97">
        <f>SUMIF($L$131:$L$133,"&lt;&gt;【*】",$M$131:$M$133)</f>
        <v>0</v>
      </c>
      <c r="N130" s="98">
        <f>SUMIF($L$131:$L$133,"&lt;&gt;【*】",$N$131:$N$133)</f>
        <v>0</v>
      </c>
      <c r="O130" s="96"/>
      <c r="P130" s="96"/>
      <c r="Q130" s="96"/>
      <c r="R130" s="103"/>
      <c r="S130" s="96"/>
      <c r="T130" s="103"/>
      <c r="U130" s="7"/>
      <c r="V130" s="76"/>
    </row>
    <row r="131" spans="2:22" x14ac:dyDescent="0.15">
      <c r="J131" s="6"/>
      <c r="K131" s="149"/>
      <c r="L131" s="100" t="s">
        <v>212</v>
      </c>
      <c r="M131" s="101">
        <f>SUMIF($G$11:$G$120,$L$131,$E$11:$E$120)</f>
        <v>0</v>
      </c>
      <c r="N131" s="109"/>
      <c r="O131" s="109"/>
      <c r="P131" s="109"/>
      <c r="Q131" s="109"/>
      <c r="R131" s="103"/>
      <c r="S131" s="144" t="s">
        <v>365</v>
      </c>
      <c r="T131" s="103"/>
      <c r="U131" s="7"/>
      <c r="V131" s="76"/>
    </row>
    <row r="132" spans="2:22" x14ac:dyDescent="0.15">
      <c r="J132" s="6"/>
      <c r="K132" s="149"/>
      <c r="L132" s="100" t="s">
        <v>213</v>
      </c>
      <c r="M132" s="101">
        <f>SUMIF($G$11:$G$120,$L$132,$E$11:$E$120)</f>
        <v>0</v>
      </c>
      <c r="N132" s="109"/>
      <c r="O132" s="109"/>
      <c r="P132" s="109"/>
      <c r="Q132" s="109"/>
      <c r="R132" s="103"/>
      <c r="S132" s="144" t="s">
        <v>365</v>
      </c>
      <c r="T132" s="103"/>
      <c r="U132" s="7"/>
      <c r="V132" s="76"/>
    </row>
    <row r="133" spans="2:22" x14ac:dyDescent="0.15">
      <c r="J133" s="6"/>
      <c r="K133" s="149"/>
      <c r="L133" s="100" t="s">
        <v>268</v>
      </c>
      <c r="M133" s="101">
        <f>SUMIF($G$11:$G$120,$L$133,$E$11:$E$120)</f>
        <v>0</v>
      </c>
      <c r="N133" s="109"/>
      <c r="O133" s="109"/>
      <c r="P133" s="109"/>
      <c r="Q133" s="109"/>
      <c r="R133" s="103"/>
      <c r="S133" s="144"/>
      <c r="T133" s="103"/>
      <c r="U133" s="7"/>
      <c r="V133" s="76"/>
    </row>
    <row r="134" spans="2:22" x14ac:dyDescent="0.15">
      <c r="J134" s="6"/>
      <c r="K134" s="149"/>
      <c r="L134" s="93" t="s">
        <v>113</v>
      </c>
      <c r="M134" s="97">
        <f>SUMIF($L$135:$L$158,"&lt;&gt;【*】",$M$135:$M$158)</f>
        <v>0</v>
      </c>
      <c r="N134" s="98">
        <f>SUMIF($L$135:$L$158,"&lt;&gt;【*】",$N$135:$N$158)</f>
        <v>0</v>
      </c>
      <c r="O134" s="96"/>
      <c r="P134" s="96"/>
      <c r="Q134" s="96"/>
      <c r="R134" s="103"/>
      <c r="S134" s="96"/>
      <c r="T134" s="103"/>
      <c r="U134" s="7"/>
      <c r="V134" s="76"/>
    </row>
    <row r="135" spans="2:22" x14ac:dyDescent="0.15">
      <c r="J135" s="6"/>
      <c r="K135" s="149"/>
      <c r="L135" s="100" t="s">
        <v>214</v>
      </c>
      <c r="M135" s="101">
        <f>SUMIF($G$11:$G$120,$L$135,$E$11:$E$120)</f>
        <v>0</v>
      </c>
      <c r="N135" s="102">
        <f>SUMIF($G$11:$G$120,$L$135,$H$11:$H$120)</f>
        <v>0</v>
      </c>
      <c r="O135" s="147" t="str">
        <f>IF(ISERROR((HOUR($M$135)*60+MINUTE($M$135))/$N$135),"",(HOUR($M$135)*60+MINUTE($M$135))/$N$135)</f>
        <v/>
      </c>
      <c r="P135" s="103"/>
      <c r="Q135" s="104" t="str">
        <f>IF($P$135&lt;&gt; "",$N$135/$P$135,"")</f>
        <v/>
      </c>
      <c r="R135" s="103"/>
      <c r="S135" s="103" t="s">
        <v>368</v>
      </c>
      <c r="T135" s="103"/>
      <c r="U135" s="7"/>
      <c r="V135" s="76"/>
    </row>
    <row r="136" spans="2:22" x14ac:dyDescent="0.15">
      <c r="J136" s="6"/>
      <c r="K136" s="149"/>
      <c r="L136" s="100" t="s">
        <v>215</v>
      </c>
      <c r="M136" s="101">
        <f>SUMIF($G$11:$G$120,$L$136,$E$11:$E$120)</f>
        <v>0</v>
      </c>
      <c r="N136" s="102">
        <f>SUMIF($G$11:$G$120,$L$136,$H$11:$H$120)</f>
        <v>0</v>
      </c>
      <c r="O136" s="147" t="str">
        <f>IF(ISERROR((HOUR($M$136)*60+MINUTE($M$136))/$N$136),"",(HOUR($M$136)*60+MINUTE($M$136))/$N$136)</f>
        <v/>
      </c>
      <c r="P136" s="103"/>
      <c r="Q136" s="104" t="str">
        <f>IF($P$136&lt;&gt; "",$N$136/$P$136,"")</f>
        <v/>
      </c>
      <c r="R136" s="103"/>
      <c r="S136" s="103" t="s">
        <v>368</v>
      </c>
      <c r="T136" s="103"/>
      <c r="U136" s="7"/>
      <c r="V136" s="76"/>
    </row>
    <row r="137" spans="2:22" x14ac:dyDescent="0.15">
      <c r="B137" s="12"/>
      <c r="J137" s="6"/>
      <c r="K137" s="149"/>
      <c r="L137" s="100" t="s">
        <v>216</v>
      </c>
      <c r="M137" s="101">
        <f>SUMIF($G$11:$G$120,$L$137,$E$11:$E$120)</f>
        <v>0</v>
      </c>
      <c r="N137" s="102">
        <f>SUMIF($G$11:$G$120,$L$137,$H$11:$H$120)</f>
        <v>0</v>
      </c>
      <c r="O137" s="147" t="str">
        <f>IF(ISERROR((HOUR($M$137)*60+MINUTE($M$137))/$N$137),"",(HOUR($M$137)*60+MINUTE($M$137))/$N$137)</f>
        <v/>
      </c>
      <c r="P137" s="103"/>
      <c r="Q137" s="104" t="str">
        <f>IF($P$137&lt;&gt; "",$N$137/$P$137,"")</f>
        <v/>
      </c>
      <c r="R137" s="103"/>
      <c r="S137" s="103" t="s">
        <v>369</v>
      </c>
      <c r="T137" s="103"/>
      <c r="U137" s="7"/>
      <c r="V137" s="76"/>
    </row>
    <row r="138" spans="2:22" s="5" customFormat="1" x14ac:dyDescent="0.15">
      <c r="B138" s="25"/>
      <c r="C138" s="6"/>
      <c r="D138" s="6"/>
      <c r="E138" s="6"/>
      <c r="F138" s="6"/>
      <c r="G138" s="1"/>
      <c r="H138" s="6"/>
      <c r="I138" s="6"/>
      <c r="J138" s="6"/>
      <c r="K138" s="149"/>
      <c r="L138" s="100" t="s">
        <v>217</v>
      </c>
      <c r="M138" s="101">
        <f>SUMIF($G$11:$G$120,$L$138,$E$11:$E$120)</f>
        <v>0</v>
      </c>
      <c r="N138" s="102">
        <f>SUMIF($G$11:$G$120,$L$138,$H$11:$H$120)</f>
        <v>0</v>
      </c>
      <c r="O138" s="147" t="str">
        <f>IF(ISERROR((HOUR($M$138)*60+MINUTE($M$138))/$N$138),"",(HOUR($M$138)*60+MINUTE($M$138))/$N$138)</f>
        <v/>
      </c>
      <c r="P138" s="103"/>
      <c r="Q138" s="104" t="str">
        <f>IF($P$138&lt;&gt; "",$N$138/$P$138,"")</f>
        <v/>
      </c>
      <c r="R138" s="103"/>
      <c r="S138" s="103" t="s">
        <v>369</v>
      </c>
      <c r="T138" s="103"/>
      <c r="U138" s="7"/>
      <c r="V138" s="76"/>
    </row>
    <row r="139" spans="2:22" s="4" customFormat="1" x14ac:dyDescent="0.15">
      <c r="B139" s="25"/>
      <c r="C139" s="6"/>
      <c r="D139" s="6"/>
      <c r="E139" s="6"/>
      <c r="F139" s="6"/>
      <c r="G139" s="1"/>
      <c r="H139" s="6"/>
      <c r="I139" s="6"/>
      <c r="J139" s="6"/>
      <c r="K139" s="149"/>
      <c r="L139" s="100" t="s">
        <v>218</v>
      </c>
      <c r="M139" s="101">
        <f>SUMIF($G$11:$G$120,$L$139,$E$11:$E$120)</f>
        <v>0</v>
      </c>
      <c r="N139" s="102">
        <f>SUMIF($G$11:$G$120,$L$139,$H$11:$H$120)</f>
        <v>0</v>
      </c>
      <c r="O139" s="147" t="str">
        <f>IF(ISERROR((HOUR($M$139)*60+MINUTE($M$139))/$N$139),"",(HOUR($M$139)*60+MINUTE($M$139))/$N$139)</f>
        <v/>
      </c>
      <c r="P139" s="103"/>
      <c r="Q139" s="104" t="str">
        <f>IF($P$139&lt;&gt; "",$N$139/$P$139,"")</f>
        <v/>
      </c>
      <c r="R139" s="103"/>
      <c r="S139" s="103" t="s">
        <v>347</v>
      </c>
      <c r="T139" s="103"/>
      <c r="U139" s="7"/>
      <c r="V139" s="71"/>
    </row>
    <row r="140" spans="2:22" s="4" customFormat="1" x14ac:dyDescent="0.15">
      <c r="B140" s="25"/>
      <c r="C140" s="6"/>
      <c r="D140" s="6"/>
      <c r="E140" s="6"/>
      <c r="F140" s="6"/>
      <c r="G140" s="1"/>
      <c r="H140" s="6"/>
      <c r="I140" s="6"/>
      <c r="J140" s="6"/>
      <c r="K140" s="149"/>
      <c r="L140" s="100" t="s">
        <v>219</v>
      </c>
      <c r="M140" s="101">
        <f>SUMIF($G$11:$G$120,$L$140,$E$11:$E$120)</f>
        <v>0</v>
      </c>
      <c r="N140" s="102">
        <f>SUMIF($G$11:$G$120,$L$140,$H$11:$H$120)</f>
        <v>0</v>
      </c>
      <c r="O140" s="147" t="str">
        <f>IF(ISERROR((HOUR($M$140)*60+MINUTE($M$140))/$N$140),"",(HOUR($M$140)*60+MINUTE($M$140))/$N$140)</f>
        <v/>
      </c>
      <c r="P140" s="103"/>
      <c r="Q140" s="104" t="str">
        <f>IF($P$140&lt;&gt; "",$N$140/$P$140,"")</f>
        <v/>
      </c>
      <c r="R140" s="103"/>
      <c r="S140" s="103" t="s">
        <v>370</v>
      </c>
      <c r="T140" s="103"/>
      <c r="U140" s="7"/>
      <c r="V140" s="76"/>
    </row>
    <row r="141" spans="2:22" s="4" customFormat="1" x14ac:dyDescent="0.15">
      <c r="B141" s="25"/>
      <c r="C141" s="6"/>
      <c r="D141" s="6"/>
      <c r="E141" s="6"/>
      <c r="F141" s="6"/>
      <c r="G141" s="1"/>
      <c r="H141" s="6"/>
      <c r="I141" s="6"/>
      <c r="J141" s="6"/>
      <c r="K141" s="149"/>
      <c r="L141" s="100" t="s">
        <v>220</v>
      </c>
      <c r="M141" s="101">
        <f>SUMIF($G$11:$G$120,$L$141,$E$11:$E$120)</f>
        <v>0</v>
      </c>
      <c r="N141" s="102">
        <f>SUMIF($G$11:$G$120,$L$141,$H$11:$H$120)</f>
        <v>0</v>
      </c>
      <c r="O141" s="147" t="str">
        <f>IF(ISERROR((HOUR($M$141)*60+MINUTE($M$141))/$N$141),"",(HOUR($M$141)*60+MINUTE($M$141))/$N$141)</f>
        <v/>
      </c>
      <c r="P141" s="103"/>
      <c r="Q141" s="104" t="str">
        <f>IF($P$141&lt;&gt; "",$N$141/$P$141,"")</f>
        <v/>
      </c>
      <c r="R141" s="103"/>
      <c r="S141" s="103" t="s">
        <v>347</v>
      </c>
      <c r="T141" s="103"/>
      <c r="U141" s="7"/>
      <c r="V141" s="76"/>
    </row>
    <row r="142" spans="2:22" s="4" customFormat="1" x14ac:dyDescent="0.15">
      <c r="B142" s="25"/>
      <c r="C142" s="6"/>
      <c r="D142" s="6"/>
      <c r="E142" s="6"/>
      <c r="F142" s="6"/>
      <c r="G142" s="1"/>
      <c r="H142" s="6"/>
      <c r="I142" s="6"/>
      <c r="J142" s="6"/>
      <c r="K142" s="149"/>
      <c r="L142" s="100" t="s">
        <v>221</v>
      </c>
      <c r="M142" s="101">
        <f>SUMIF($G$11:$G$120,$L$142,$E$11:$E$120)</f>
        <v>0</v>
      </c>
      <c r="N142" s="102">
        <f>SUMIF($G$11:$G$120,$L$142,$H$11:$H$120)</f>
        <v>0</v>
      </c>
      <c r="O142" s="147" t="str">
        <f>IF(ISERROR((HOUR($M$142)*60+MINUTE($M$142))/$N$142),"",(HOUR($M$142)*60+MINUTE($M$142))/$N$142)</f>
        <v/>
      </c>
      <c r="P142" s="103"/>
      <c r="Q142" s="104" t="str">
        <f>IF($P$142&lt;&gt; "",$N$142/$P$142,"")</f>
        <v/>
      </c>
      <c r="R142" s="103"/>
      <c r="S142" s="103" t="s">
        <v>371</v>
      </c>
      <c r="T142" s="103"/>
      <c r="U142" s="7"/>
      <c r="V142" s="76"/>
    </row>
    <row r="143" spans="2:22" s="4" customFormat="1" x14ac:dyDescent="0.15">
      <c r="B143" s="25"/>
      <c r="C143" s="6"/>
      <c r="D143" s="6"/>
      <c r="E143" s="6"/>
      <c r="F143" s="6"/>
      <c r="G143" s="1"/>
      <c r="H143" s="6"/>
      <c r="I143" s="6"/>
      <c r="J143" s="6"/>
      <c r="K143" s="149"/>
      <c r="L143" s="100" t="s">
        <v>222</v>
      </c>
      <c r="M143" s="101">
        <f>SUMIF($G$11:$G$120,$L$143,$E$11:$E$120)</f>
        <v>0</v>
      </c>
      <c r="N143" s="102">
        <f>SUMIF($G$11:$G$120,$L$143,$H$11:$H$120)</f>
        <v>0</v>
      </c>
      <c r="O143" s="147" t="str">
        <f>IF(ISERROR((HOUR($M$143)*60+MINUTE($M$143))/$N$143),"",(HOUR($M$143)*60+MINUTE($M$143))/$N$143)</f>
        <v/>
      </c>
      <c r="P143" s="103"/>
      <c r="Q143" s="104" t="str">
        <f>IF($P$143&lt;&gt; "",$N$143/$P$143,"")</f>
        <v/>
      </c>
      <c r="R143" s="103"/>
      <c r="S143" s="103" t="s">
        <v>372</v>
      </c>
      <c r="T143" s="103"/>
      <c r="U143" s="7"/>
      <c r="V143" s="76"/>
    </row>
    <row r="144" spans="2:22" s="4" customFormat="1" x14ac:dyDescent="0.15">
      <c r="B144" s="25"/>
      <c r="C144" s="6"/>
      <c r="D144" s="6"/>
      <c r="E144" s="6"/>
      <c r="F144" s="6"/>
      <c r="G144" s="1"/>
      <c r="H144" s="6"/>
      <c r="I144" s="6"/>
      <c r="J144" s="6"/>
      <c r="K144" s="149"/>
      <c r="L144" s="100" t="s">
        <v>223</v>
      </c>
      <c r="M144" s="101">
        <f>SUMIF($G$11:$G$120,$L$144,$E$11:$E$120)</f>
        <v>0</v>
      </c>
      <c r="N144" s="102">
        <f>SUMIF($G$11:$G$120,$L$144,$H$11:$H$120)</f>
        <v>0</v>
      </c>
      <c r="O144" s="147" t="str">
        <f>IF(ISERROR((HOUR($M$144)*60+MINUTE($M$144))/$N$144),"",(HOUR($M$144)*60+MINUTE($M$144))/$N$144)</f>
        <v/>
      </c>
      <c r="P144" s="103"/>
      <c r="Q144" s="104" t="str">
        <f>IF($P$144&lt;&gt; "",$N$144/$P$144,"")</f>
        <v/>
      </c>
      <c r="R144" s="103"/>
      <c r="S144" s="103" t="s">
        <v>347</v>
      </c>
      <c r="T144" s="103"/>
      <c r="U144" s="7"/>
      <c r="V144" s="76"/>
    </row>
    <row r="145" spans="2:22" s="4" customFormat="1" x14ac:dyDescent="0.15">
      <c r="B145" s="25"/>
      <c r="C145" s="6"/>
      <c r="D145" s="6"/>
      <c r="E145" s="6"/>
      <c r="F145" s="6"/>
      <c r="G145" s="1"/>
      <c r="H145" s="6"/>
      <c r="I145" s="6"/>
      <c r="J145" s="6"/>
      <c r="K145" s="149"/>
      <c r="L145" s="100" t="s">
        <v>224</v>
      </c>
      <c r="M145" s="101">
        <f>SUMIF($G$11:$G$120,$L$145,$E$11:$E$120)</f>
        <v>0</v>
      </c>
      <c r="N145" s="102">
        <f>SUMIF($G$11:$G$120,$L$145,$H$11:$H$120)</f>
        <v>0</v>
      </c>
      <c r="O145" s="147" t="str">
        <f>IF(ISERROR((HOUR($M$145)*60+MINUTE($M$145))/$N$145),"",(HOUR($M$145)*60+MINUTE($M$145))/$N$145)</f>
        <v/>
      </c>
      <c r="P145" s="103"/>
      <c r="Q145" s="104" t="str">
        <f>IF($P$145&lt;&gt; "",$N$145/$P$145,"")</f>
        <v/>
      </c>
      <c r="R145" s="103"/>
      <c r="S145" s="103" t="s">
        <v>347</v>
      </c>
      <c r="T145" s="103"/>
      <c r="U145" s="7"/>
      <c r="V145" s="76"/>
    </row>
    <row r="146" spans="2:22" s="4" customFormat="1" x14ac:dyDescent="0.15">
      <c r="B146" s="6"/>
      <c r="C146" s="6"/>
      <c r="D146" s="6"/>
      <c r="E146" s="6"/>
      <c r="F146" s="6"/>
      <c r="G146" s="1"/>
      <c r="H146" s="6"/>
      <c r="I146" s="6"/>
      <c r="J146" s="6"/>
      <c r="K146" s="149"/>
      <c r="L146" s="100" t="s">
        <v>225</v>
      </c>
      <c r="M146" s="101">
        <f>SUMIF($G$11:$G$120,$L$146,$E$11:$E$120)</f>
        <v>0</v>
      </c>
      <c r="N146" s="102">
        <f>SUMIF($G$11:$G$120,$L$146,$H$11:$H$120)</f>
        <v>0</v>
      </c>
      <c r="O146" s="147" t="str">
        <f>IF(ISERROR((HOUR($M$146)*60+MINUTE($M$146))/$N$146),"",(HOUR($M$146)*60+MINUTE($M$146))/$N$146)</f>
        <v/>
      </c>
      <c r="P146" s="103"/>
      <c r="Q146" s="104" t="str">
        <f>IF($P$146&lt;&gt; "",$N$146/$P$146,"")</f>
        <v/>
      </c>
      <c r="R146" s="103"/>
      <c r="S146" s="103" t="s">
        <v>373</v>
      </c>
      <c r="T146" s="103"/>
      <c r="U146" s="7"/>
      <c r="V146" s="76"/>
    </row>
    <row r="147" spans="2:22" x14ac:dyDescent="0.15">
      <c r="J147" s="6"/>
      <c r="K147" s="149"/>
      <c r="L147" s="100" t="s">
        <v>226</v>
      </c>
      <c r="M147" s="101">
        <f>SUMIF($G$11:$G$120,$L$147,$E$11:$E$120)</f>
        <v>0</v>
      </c>
      <c r="N147" s="102">
        <f>SUMIF($G$11:$G$120,$L$147,$H$11:$H$120)</f>
        <v>0</v>
      </c>
      <c r="O147" s="147" t="str">
        <f>IF(ISERROR((HOUR($M$147)*60+MINUTE($M$147))/$N$147),"",(HOUR($M$147)*60+MINUTE($M$147))/$N$147)</f>
        <v/>
      </c>
      <c r="P147" s="103"/>
      <c r="Q147" s="104" t="str">
        <f>IF($P$147&lt;&gt; "",$N$147/$P$147,"")</f>
        <v/>
      </c>
      <c r="R147" s="103"/>
      <c r="S147" s="103" t="s">
        <v>374</v>
      </c>
      <c r="T147" s="103"/>
      <c r="U147" s="7"/>
      <c r="V147" s="76"/>
    </row>
    <row r="148" spans="2:22" x14ac:dyDescent="0.15">
      <c r="J148" s="6"/>
      <c r="K148" s="149"/>
      <c r="L148" s="100" t="s">
        <v>227</v>
      </c>
      <c r="M148" s="101">
        <f>SUMIF($G$11:$G$120,$L$148,$E$11:$E$120)</f>
        <v>0</v>
      </c>
      <c r="N148" s="102">
        <f>SUMIF($G$11:$G$120,$L$148,$H$11:$H$120)</f>
        <v>0</v>
      </c>
      <c r="O148" s="147" t="str">
        <f>IF(ISERROR((HOUR($M$148)*60+MINUTE($M$148))/$N$148),"",(HOUR($M$148)*60+MINUTE($M$148))/$N$148)</f>
        <v/>
      </c>
      <c r="P148" s="103"/>
      <c r="Q148" s="104" t="str">
        <f>IF($P$148&lt;&gt; "",$N$148/$P$148,"")</f>
        <v/>
      </c>
      <c r="R148" s="103"/>
      <c r="S148" s="103" t="s">
        <v>368</v>
      </c>
      <c r="T148" s="103"/>
      <c r="U148" s="7"/>
      <c r="V148" s="76"/>
    </row>
    <row r="149" spans="2:22" x14ac:dyDescent="0.15">
      <c r="J149" s="6"/>
      <c r="K149" s="149"/>
      <c r="L149" s="100" t="s">
        <v>228</v>
      </c>
      <c r="M149" s="101">
        <f>SUMIF($G$11:$G$120,$L$149,$E$11:$E$120)</f>
        <v>0</v>
      </c>
      <c r="N149" s="102">
        <f>SUMIF($G$11:$G$120,$L$149,$H$11:$H$120)</f>
        <v>0</v>
      </c>
      <c r="O149" s="147" t="str">
        <f>IF(ISERROR((HOUR($M$149)*60+MINUTE($M$149))/$N$149),"",(HOUR($M$149)*60+MINUTE($M$149))/$N$149)</f>
        <v/>
      </c>
      <c r="P149" s="103"/>
      <c r="Q149" s="104" t="str">
        <f>IF($P$149&lt;&gt; "",$N$149/$P$149,"")</f>
        <v/>
      </c>
      <c r="R149" s="103"/>
      <c r="S149" s="103" t="s">
        <v>374</v>
      </c>
      <c r="T149" s="103"/>
      <c r="U149" s="7"/>
      <c r="V149" s="76"/>
    </row>
    <row r="150" spans="2:22" x14ac:dyDescent="0.15">
      <c r="J150" s="6"/>
      <c r="K150" s="149"/>
      <c r="L150" s="100" t="s">
        <v>229</v>
      </c>
      <c r="M150" s="101">
        <f>SUMIF($G$11:$G$120,$L$150,$E$11:$E$120)</f>
        <v>0</v>
      </c>
      <c r="N150" s="102">
        <f>SUMIF($G$11:$G$120,$L$150,$H$11:$H$120)</f>
        <v>0</v>
      </c>
      <c r="O150" s="147" t="str">
        <f>IF(ISERROR((HOUR($M$150)*60+MINUTE($M$150))/$N$150),"",(HOUR($M$150)*60+MINUTE($M$150))/$N$150)</f>
        <v/>
      </c>
      <c r="P150" s="103"/>
      <c r="Q150" s="104" t="str">
        <f>IF($P$150&lt;&gt; "",$N$150/$P$150,"")</f>
        <v/>
      </c>
      <c r="R150" s="103"/>
      <c r="S150" s="103" t="s">
        <v>375</v>
      </c>
      <c r="T150" s="103"/>
      <c r="U150" s="7"/>
      <c r="V150" s="76"/>
    </row>
    <row r="151" spans="2:22" x14ac:dyDescent="0.15">
      <c r="J151" s="6"/>
      <c r="K151" s="149"/>
      <c r="L151" s="100" t="s">
        <v>230</v>
      </c>
      <c r="M151" s="101">
        <f>SUMIF($G$11:$G$120,$L$151,$E$11:$E$120)</f>
        <v>0</v>
      </c>
      <c r="N151" s="102">
        <f>SUMIF($G$11:$G$120,$L$151,$H$11:$H$120)</f>
        <v>0</v>
      </c>
      <c r="O151" s="147" t="str">
        <f>IF(ISERROR((HOUR($M$151)*60+MINUTE($M$151))/$N$151),"",(HOUR($M$151)*60+MINUTE($M$151))/$N$151)</f>
        <v/>
      </c>
      <c r="P151" s="103"/>
      <c r="Q151" s="104" t="str">
        <f>IF($P$151&lt;&gt; "",$N$151/$P$151,"")</f>
        <v/>
      </c>
      <c r="R151" s="103"/>
      <c r="S151" s="103" t="s">
        <v>375</v>
      </c>
      <c r="T151" s="103"/>
      <c r="U151" s="7"/>
      <c r="V151" s="76"/>
    </row>
    <row r="152" spans="2:22" x14ac:dyDescent="0.15">
      <c r="J152" s="6"/>
      <c r="K152" s="149"/>
      <c r="L152" s="100" t="s">
        <v>231</v>
      </c>
      <c r="M152" s="101">
        <f>SUMIF($G$11:$G$120,$L$152,$E$11:$E$120)</f>
        <v>0</v>
      </c>
      <c r="N152" s="102">
        <f>SUMIF($G$11:$G$120,$L$152,$H$11:$H$120)</f>
        <v>0</v>
      </c>
      <c r="O152" s="147" t="str">
        <f>IF(ISERROR((HOUR($M$152)*60+MINUTE($M$152))/$N$152),"",(HOUR($M$152)*60+MINUTE($M$152))/$N$152)</f>
        <v/>
      </c>
      <c r="P152" s="103"/>
      <c r="Q152" s="104" t="str">
        <f>IF($P$152&lt;&gt; "",$N$152/$P$152,"")</f>
        <v/>
      </c>
      <c r="R152" s="103"/>
      <c r="S152" s="103" t="s">
        <v>374</v>
      </c>
      <c r="T152" s="103"/>
      <c r="U152" s="7"/>
      <c r="V152" s="71"/>
    </row>
    <row r="153" spans="2:22" x14ac:dyDescent="0.15">
      <c r="J153" s="6"/>
      <c r="K153" s="149"/>
      <c r="L153" s="100" t="s">
        <v>232</v>
      </c>
      <c r="M153" s="101">
        <f>SUMIF($G$11:$G$120,$L$153,$E$11:$E$120)</f>
        <v>0</v>
      </c>
      <c r="N153" s="102">
        <f>SUMIF($G$11:$G$120,$L$153,$H$11:$H$120)</f>
        <v>0</v>
      </c>
      <c r="O153" s="147" t="str">
        <f>IF(ISERROR((HOUR($M$153)*60+MINUTE($M$153))/$N$153),"",(HOUR($M$153)*60+MINUTE($M$153))/$N$153)</f>
        <v/>
      </c>
      <c r="P153" s="103"/>
      <c r="Q153" s="104" t="str">
        <f>IF($P$153&lt;&gt; "",$N$153/$P$153,"")</f>
        <v/>
      </c>
      <c r="R153" s="103"/>
      <c r="S153" s="103" t="s">
        <v>376</v>
      </c>
      <c r="T153" s="103"/>
      <c r="U153" s="7"/>
      <c r="V153" s="76"/>
    </row>
    <row r="154" spans="2:22" x14ac:dyDescent="0.15">
      <c r="J154" s="6"/>
      <c r="K154" s="149"/>
      <c r="L154" s="100" t="s">
        <v>233</v>
      </c>
      <c r="M154" s="101">
        <f>SUMIF($G$11:$G$120,$L$154,$E$11:$E$120)</f>
        <v>0</v>
      </c>
      <c r="N154" s="102">
        <f>SUMIF($G$11:$G$120,$L$154,$H$11:$H$120)</f>
        <v>0</v>
      </c>
      <c r="O154" s="147" t="str">
        <f>IF(ISERROR((HOUR($M$154)*60+MINUTE($M$154))/$N$154),"",(HOUR($M$154)*60+MINUTE($M$154))/$N$154)</f>
        <v/>
      </c>
      <c r="P154" s="103"/>
      <c r="Q154" s="104" t="str">
        <f>IF($P$154&lt;&gt; "",$N$154/$P$154,"")</f>
        <v/>
      </c>
      <c r="R154" s="103"/>
      <c r="S154" s="103" t="s">
        <v>377</v>
      </c>
      <c r="T154" s="103"/>
      <c r="U154" s="7"/>
      <c r="V154" s="76"/>
    </row>
    <row r="155" spans="2:22" x14ac:dyDescent="0.15">
      <c r="J155" s="6"/>
      <c r="K155" s="149"/>
      <c r="L155" s="100" t="s">
        <v>234</v>
      </c>
      <c r="M155" s="101">
        <f>SUMIF($G$11:$G$120,$L$155,$E$11:$E$120)</f>
        <v>0</v>
      </c>
      <c r="N155" s="102">
        <f>SUMIF($G$11:$G$120,$L$155,$H$11:$H$120)</f>
        <v>0</v>
      </c>
      <c r="O155" s="147" t="str">
        <f>IF(ISERROR((HOUR($M$155)*60+MINUTE($M$155))/$N$155),"",(HOUR($M$155)*60+MINUTE($M$155))/$N$155)</f>
        <v/>
      </c>
      <c r="P155" s="103"/>
      <c r="Q155" s="104" t="str">
        <f>IF($P$155&lt;&gt; "",$N$155/$P$155,"")</f>
        <v/>
      </c>
      <c r="R155" s="103"/>
      <c r="S155" s="103" t="s">
        <v>353</v>
      </c>
      <c r="T155" s="103"/>
      <c r="U155" s="7"/>
      <c r="V155" s="76"/>
    </row>
    <row r="156" spans="2:22" x14ac:dyDescent="0.15">
      <c r="J156" s="6"/>
      <c r="K156" s="149"/>
      <c r="L156" s="100" t="s">
        <v>235</v>
      </c>
      <c r="M156" s="101">
        <f>SUMIF($G$11:$G$120,$L$156,$E$11:$E$120)</f>
        <v>0</v>
      </c>
      <c r="N156" s="109"/>
      <c r="O156" s="109"/>
      <c r="P156" s="109"/>
      <c r="Q156" s="109"/>
      <c r="R156" s="103"/>
      <c r="S156" s="144" t="s">
        <v>365</v>
      </c>
      <c r="T156" s="103"/>
      <c r="U156" s="7"/>
      <c r="V156" s="76"/>
    </row>
    <row r="157" spans="2:22" x14ac:dyDescent="0.15">
      <c r="J157" s="6"/>
      <c r="K157" s="149"/>
      <c r="L157" s="100" t="s">
        <v>236</v>
      </c>
      <c r="M157" s="101">
        <f>SUMIF($G$11:$G$120,$L$157,$E$11:$E$120)</f>
        <v>0</v>
      </c>
      <c r="N157" s="109"/>
      <c r="O157" s="109"/>
      <c r="P157" s="109"/>
      <c r="Q157" s="109"/>
      <c r="R157" s="103"/>
      <c r="S157" s="144" t="s">
        <v>365</v>
      </c>
      <c r="T157" s="103"/>
      <c r="U157" s="7"/>
      <c r="V157" s="76"/>
    </row>
    <row r="158" spans="2:22" x14ac:dyDescent="0.15">
      <c r="J158" s="6"/>
      <c r="K158" s="149"/>
      <c r="L158" s="100" t="s">
        <v>269</v>
      </c>
      <c r="M158" s="101">
        <f>SUMIF($G$11:$G$120,$L$158,$E$11:$E$120)</f>
        <v>0</v>
      </c>
      <c r="N158" s="109"/>
      <c r="O158" s="109"/>
      <c r="P158" s="109"/>
      <c r="Q158" s="109"/>
      <c r="R158" s="103"/>
      <c r="S158" s="144"/>
      <c r="T158" s="103"/>
      <c r="U158" s="7"/>
      <c r="V158" s="76"/>
    </row>
    <row r="159" spans="2:22" x14ac:dyDescent="0.15">
      <c r="J159" s="6"/>
      <c r="K159" s="149"/>
      <c r="L159" s="93" t="s">
        <v>249</v>
      </c>
      <c r="M159" s="97">
        <f>SUMIF($L$160:$L$182,"&lt;&gt;【*】",$M$160:$M$182)</f>
        <v>0</v>
      </c>
      <c r="N159" s="98">
        <f>SUMIF($L$160:$L$182,"&lt;&gt;【*】",$N$160:$N$182)</f>
        <v>0</v>
      </c>
      <c r="O159" s="96"/>
      <c r="P159" s="96"/>
      <c r="Q159" s="96"/>
      <c r="R159" s="103"/>
      <c r="S159" s="96"/>
      <c r="T159" s="103"/>
      <c r="U159" s="7"/>
      <c r="V159" s="76"/>
    </row>
    <row r="160" spans="2:22" x14ac:dyDescent="0.15">
      <c r="J160" s="6"/>
      <c r="K160" s="149"/>
      <c r="L160" s="100" t="s">
        <v>270</v>
      </c>
      <c r="M160" s="101">
        <f>SUMIF($G$11:$G$120,$L$160,$E$11:$E$120)</f>
        <v>0</v>
      </c>
      <c r="N160" s="102">
        <f>SUMIF($G$11:$G$120,$L$160,$H$11:$H$120)</f>
        <v>0</v>
      </c>
      <c r="O160" s="147" t="str">
        <f>IF(ISERROR((HOUR($M$160)*60+MINUTE($M$160))/$N$160),"",(HOUR($M$160)*60+MINUTE($M$160))/$N$160)</f>
        <v/>
      </c>
      <c r="P160" s="103"/>
      <c r="Q160" s="104" t="str">
        <f>IF($P$160&lt;&gt; "",$N$160/$P$160,"")</f>
        <v/>
      </c>
      <c r="R160" s="103"/>
      <c r="S160" s="103" t="s">
        <v>369</v>
      </c>
      <c r="T160" s="103"/>
      <c r="U160" s="7"/>
      <c r="V160" s="76"/>
    </row>
    <row r="161" spans="10:22" s="1" customFormat="1" x14ac:dyDescent="0.15">
      <c r="J161" s="6"/>
      <c r="K161" s="149"/>
      <c r="L161" s="100" t="s">
        <v>271</v>
      </c>
      <c r="M161" s="101">
        <f>SUMIF($G$11:$G$120,$L$161,$E$11:$E$120)</f>
        <v>0</v>
      </c>
      <c r="N161" s="102">
        <f>SUMIF($G$11:$G$120,$L$161,$H$11:$H$120)</f>
        <v>0</v>
      </c>
      <c r="O161" s="147" t="str">
        <f>IF(ISERROR((HOUR($M$161)*60+MINUTE($M$161))/$N$161),"",(HOUR($M$161)*60+MINUTE($M$161))/$N$161)</f>
        <v/>
      </c>
      <c r="P161" s="103"/>
      <c r="Q161" s="104" t="str">
        <f>IF($P$161&lt;&gt; "",$N$161/$P$161,"")</f>
        <v/>
      </c>
      <c r="R161" s="103"/>
      <c r="S161" s="145"/>
      <c r="T161" s="103"/>
      <c r="U161" s="7"/>
      <c r="V161" s="76"/>
    </row>
    <row r="162" spans="10:22" s="1" customFormat="1" x14ac:dyDescent="0.15">
      <c r="J162" s="6"/>
      <c r="K162" s="149"/>
      <c r="L162" s="100" t="s">
        <v>272</v>
      </c>
      <c r="M162" s="101">
        <f>SUMIF($G$11:$G$120,$L$162,$E$11:$E$120)</f>
        <v>0</v>
      </c>
      <c r="N162" s="102">
        <f>SUMIF($G$11:$G$120,$L$162,$H$11:$H$120)</f>
        <v>0</v>
      </c>
      <c r="O162" s="147" t="str">
        <f>IF(ISERROR((HOUR($M$162)*60+MINUTE($M$162))/$N$162),"",(HOUR($M$162)*60+MINUTE($M$162))/$N$162)</f>
        <v/>
      </c>
      <c r="P162" s="103"/>
      <c r="Q162" s="104" t="str">
        <f>IF($P$162&lt;&gt; "",$N$162/$P$162,"")</f>
        <v/>
      </c>
      <c r="R162" s="103"/>
      <c r="S162" s="145"/>
      <c r="T162" s="103"/>
      <c r="U162" s="7"/>
      <c r="V162" s="76"/>
    </row>
    <row r="163" spans="10:22" s="1" customFormat="1" x14ac:dyDescent="0.15">
      <c r="J163" s="6"/>
      <c r="K163" s="149"/>
      <c r="L163" s="100" t="s">
        <v>273</v>
      </c>
      <c r="M163" s="101">
        <f>SUMIF($G$11:$G$120,$L$163,$E$11:$E$120)</f>
        <v>0</v>
      </c>
      <c r="N163" s="102">
        <f>SUMIF($G$11:$G$120,$L$163,$H$11:$H$120)</f>
        <v>0</v>
      </c>
      <c r="O163" s="147" t="str">
        <f>IF(ISERROR((HOUR($M$163)*60+MINUTE($M$163))/$N$163),"",(HOUR($M$163)*60+MINUTE($M$163))/$N$163)</f>
        <v/>
      </c>
      <c r="P163" s="103"/>
      <c r="Q163" s="104" t="str">
        <f>IF($P$163&lt;&gt; "",$N$163/$P$163,"")</f>
        <v/>
      </c>
      <c r="R163" s="103"/>
      <c r="S163" s="145"/>
      <c r="T163" s="103"/>
      <c r="U163" s="7"/>
      <c r="V163" s="76"/>
    </row>
    <row r="164" spans="10:22" s="1" customFormat="1" x14ac:dyDescent="0.15">
      <c r="J164" s="6"/>
      <c r="K164" s="149"/>
      <c r="L164" s="100" t="s">
        <v>274</v>
      </c>
      <c r="M164" s="101">
        <f>SUMIF($G$11:$G$120,$L$164,$E$11:$E$120)</f>
        <v>0</v>
      </c>
      <c r="N164" s="102">
        <f>SUMIF($G$11:$G$120,$L$164,$H$11:$H$120)</f>
        <v>0</v>
      </c>
      <c r="O164" s="147" t="str">
        <f>IF(ISERROR((HOUR($M$164)*60+MINUTE($M$164))/$N$164),"",(HOUR($M$164)*60+MINUTE($M$164))/$N$164)</f>
        <v/>
      </c>
      <c r="P164" s="103"/>
      <c r="Q164" s="104" t="str">
        <f>IF($P$164&lt;&gt; "",$N$164/$P$164,"")</f>
        <v/>
      </c>
      <c r="R164" s="103"/>
      <c r="S164" s="145"/>
      <c r="T164" s="145"/>
      <c r="U164" s="7"/>
      <c r="V164" s="76"/>
    </row>
    <row r="165" spans="10:22" s="1" customFormat="1" x14ac:dyDescent="0.15">
      <c r="J165" s="6"/>
      <c r="K165" s="149"/>
      <c r="L165" s="100" t="s">
        <v>275</v>
      </c>
      <c r="M165" s="101">
        <f>SUMIF($G$11:$G$120,$L$165,$E$11:$E$120)</f>
        <v>0</v>
      </c>
      <c r="N165" s="102">
        <f>SUMIF($G$11:$G$120,$L$165,$H$11:$H$120)</f>
        <v>0</v>
      </c>
      <c r="O165" s="147" t="str">
        <f>IF(ISERROR((HOUR($M$165)*60+MINUTE($M$165))/$N$165),"",(HOUR($M$165)*60+MINUTE($M$165))/$N$165)</f>
        <v/>
      </c>
      <c r="P165" s="103"/>
      <c r="Q165" s="104" t="str">
        <f>IF($P$165&lt;&gt; "",$N$165/$P$165,"")</f>
        <v/>
      </c>
      <c r="R165" s="103"/>
      <c r="S165" s="145"/>
      <c r="T165" s="145"/>
      <c r="U165" s="7"/>
      <c r="V165" s="76"/>
    </row>
    <row r="166" spans="10:22" s="1" customFormat="1" x14ac:dyDescent="0.15">
      <c r="J166" s="6"/>
      <c r="K166" s="149"/>
      <c r="L166" s="100" t="s">
        <v>276</v>
      </c>
      <c r="M166" s="101">
        <f>SUMIF($G$11:$G$120,$L$166,$E$11:$E$120)</f>
        <v>0</v>
      </c>
      <c r="N166" s="102">
        <f>SUMIF($G$11:$G$120,$L$166,$H$11:$H$120)</f>
        <v>0</v>
      </c>
      <c r="O166" s="147" t="str">
        <f>IF(ISERROR((HOUR($M$166)*60+MINUTE($M$166))/$N$166),"",(HOUR($M$166)*60+MINUTE($M$166))/$N$166)</f>
        <v/>
      </c>
      <c r="P166" s="103"/>
      <c r="Q166" s="104" t="str">
        <f>IF($P$166&lt;&gt; "",$N$166/$P$166,"")</f>
        <v/>
      </c>
      <c r="R166" s="103"/>
      <c r="S166" s="145"/>
      <c r="T166" s="145"/>
      <c r="U166" s="7"/>
      <c r="V166" s="76"/>
    </row>
    <row r="167" spans="10:22" s="1" customFormat="1" x14ac:dyDescent="0.15">
      <c r="J167" s="6"/>
      <c r="K167" s="149"/>
      <c r="L167" s="100" t="s">
        <v>277</v>
      </c>
      <c r="M167" s="101">
        <f>SUMIF($G$11:$G$120,$L$167,$E$11:$E$120)</f>
        <v>0</v>
      </c>
      <c r="N167" s="102">
        <f>SUMIF($G$11:$G$120,$L$167,$H$11:$H$120)</f>
        <v>0</v>
      </c>
      <c r="O167" s="147" t="str">
        <f>IF(ISERROR((HOUR($M$167)*60+MINUTE($M$167))/$N$167),"",(HOUR($M$167)*60+MINUTE($M$167))/$N$167)</f>
        <v/>
      </c>
      <c r="P167" s="103"/>
      <c r="Q167" s="104" t="str">
        <f>IF($P$167&lt;&gt; "",$N$167/$P$167,"")</f>
        <v/>
      </c>
      <c r="R167" s="103"/>
      <c r="S167" s="145"/>
      <c r="T167" s="145"/>
      <c r="U167" s="7"/>
      <c r="V167" s="76"/>
    </row>
    <row r="168" spans="10:22" s="1" customFormat="1" x14ac:dyDescent="0.15">
      <c r="J168" s="6"/>
      <c r="K168" s="149"/>
      <c r="L168" s="100" t="s">
        <v>278</v>
      </c>
      <c r="M168" s="101">
        <f>SUMIF($G$11:$G$120,$L$168,$E$11:$E$120)</f>
        <v>0</v>
      </c>
      <c r="N168" s="102">
        <f>SUMIF($G$11:$G$120,$L$168,$H$11:$H$120)</f>
        <v>0</v>
      </c>
      <c r="O168" s="147" t="str">
        <f>IF(ISERROR((HOUR($M$168)*60+MINUTE($M$168))/$N$168),"",(HOUR($M$168)*60+MINUTE($M$168))/$N$168)</f>
        <v/>
      </c>
      <c r="P168" s="103"/>
      <c r="Q168" s="104" t="str">
        <f>IF($P$168&lt;&gt; "",$N$168/$P$168,"")</f>
        <v/>
      </c>
      <c r="R168" s="103"/>
      <c r="S168" s="145"/>
      <c r="T168" s="145"/>
      <c r="U168" s="7"/>
      <c r="V168" s="76"/>
    </row>
    <row r="169" spans="10:22" s="1" customFormat="1" x14ac:dyDescent="0.15">
      <c r="J169" s="6"/>
      <c r="K169" s="149"/>
      <c r="L169" s="100" t="s">
        <v>279</v>
      </c>
      <c r="M169" s="101">
        <f>SUMIF($G$11:$G$120,$L$169,$E$11:$E$120)</f>
        <v>0</v>
      </c>
      <c r="N169" s="102">
        <f>SUMIF($G$11:$G$120,$L$169,$H$11:$H$120)</f>
        <v>0</v>
      </c>
      <c r="O169" s="147" t="str">
        <f>IF(ISERROR((HOUR($M$169)*60+MINUTE($M$169))/$N$169),"",(HOUR($M$169)*60+MINUTE($M$169))/$N$169)</f>
        <v/>
      </c>
      <c r="P169" s="103"/>
      <c r="Q169" s="104" t="str">
        <f>IF($P$169&lt;&gt; "",$N$169/$P$169,"")</f>
        <v/>
      </c>
      <c r="R169" s="103"/>
      <c r="S169" s="145"/>
      <c r="T169" s="145"/>
      <c r="U169" s="7"/>
      <c r="V169" s="76"/>
    </row>
    <row r="170" spans="10:22" s="1" customFormat="1" x14ac:dyDescent="0.15">
      <c r="J170" s="6"/>
      <c r="K170" s="149"/>
      <c r="L170" s="100" t="s">
        <v>280</v>
      </c>
      <c r="M170" s="101">
        <f>SUMIF($G$11:$G$120,$L$170,$E$11:$E$120)</f>
        <v>0</v>
      </c>
      <c r="N170" s="102">
        <f>SUMIF($G$11:$G$120,$L$170,$H$11:$H$120)</f>
        <v>0</v>
      </c>
      <c r="O170" s="147" t="str">
        <f>IF(ISERROR((HOUR($M$170)*60+MINUTE($M$170))/$N$170),"",(HOUR($M$170)*60+MINUTE($M$170))/$N$170)</f>
        <v/>
      </c>
      <c r="P170" s="103"/>
      <c r="Q170" s="104" t="str">
        <f>IF($P$170&lt;&gt; "",$N$170/$P$170,"")</f>
        <v/>
      </c>
      <c r="R170" s="103"/>
      <c r="S170" s="145"/>
      <c r="T170" s="145"/>
      <c r="U170" s="7"/>
      <c r="V170" s="76"/>
    </row>
    <row r="171" spans="10:22" s="1" customFormat="1" x14ac:dyDescent="0.15">
      <c r="J171" s="6"/>
      <c r="K171" s="149"/>
      <c r="L171" s="100" t="s">
        <v>281</v>
      </c>
      <c r="M171" s="101">
        <f>SUMIF($G$11:$G$120,$L$171,$E$11:$E$120)</f>
        <v>0</v>
      </c>
      <c r="N171" s="102">
        <f>SUMIF($G$11:$G$120,$L$171,$H$11:$H$120)</f>
        <v>0</v>
      </c>
      <c r="O171" s="147" t="str">
        <f>IF(ISERROR((HOUR($M$171)*60+MINUTE($M$171))/$N$171),"",(HOUR($M$171)*60+MINUTE($M$171))/$N$171)</f>
        <v/>
      </c>
      <c r="P171" s="103"/>
      <c r="Q171" s="104" t="str">
        <f>IF($P$171&lt;&gt; "",$N$171/$P$171,"")</f>
        <v/>
      </c>
      <c r="R171" s="103"/>
      <c r="S171" s="145"/>
      <c r="T171" s="145"/>
      <c r="U171" s="7"/>
      <c r="V171" s="76"/>
    </row>
    <row r="172" spans="10:22" s="1" customFormat="1" x14ac:dyDescent="0.15">
      <c r="J172" s="6"/>
      <c r="K172" s="149"/>
      <c r="L172" s="100" t="s">
        <v>282</v>
      </c>
      <c r="M172" s="101">
        <f>SUMIF($G$11:$G$120,$L$172,$E$11:$E$120)</f>
        <v>0</v>
      </c>
      <c r="N172" s="102">
        <f>SUMIF($G$11:$G$120,$L$172,$H$11:$H$120)</f>
        <v>0</v>
      </c>
      <c r="O172" s="147" t="str">
        <f>IF(ISERROR((HOUR($M$172)*60+MINUTE($M$172))/$N$172),"",(HOUR($M$172)*60+MINUTE($M$172))/$N$172)</f>
        <v/>
      </c>
      <c r="P172" s="103"/>
      <c r="Q172" s="104" t="str">
        <f>IF($P$172&lt;&gt; "",$N$172/$P$172,"")</f>
        <v/>
      </c>
      <c r="R172" s="103"/>
      <c r="S172" s="145"/>
      <c r="T172" s="145"/>
      <c r="U172" s="7"/>
      <c r="V172" s="76"/>
    </row>
    <row r="173" spans="10:22" s="1" customFormat="1" x14ac:dyDescent="0.15">
      <c r="J173" s="6"/>
      <c r="K173" s="149"/>
      <c r="L173" s="100" t="s">
        <v>283</v>
      </c>
      <c r="M173" s="101">
        <f>SUMIF($G$11:$G$120,$L$173,$E$11:$E$120)</f>
        <v>0</v>
      </c>
      <c r="N173" s="102">
        <f>SUMIF($G$11:$G$120,$L$173,$H$11:$H$120)</f>
        <v>0</v>
      </c>
      <c r="O173" s="147" t="str">
        <f>IF(ISERROR((HOUR($M$173)*60+MINUTE($M$173))/$N$173),"",(HOUR($M$173)*60+MINUTE($M$173))/$N$173)</f>
        <v/>
      </c>
      <c r="P173" s="103"/>
      <c r="Q173" s="104" t="str">
        <f>IF($P$173&lt;&gt; "",$N$173/$P$173,"")</f>
        <v/>
      </c>
      <c r="R173" s="103"/>
      <c r="S173" s="145"/>
      <c r="T173" s="145"/>
      <c r="U173" s="7"/>
      <c r="V173" s="76"/>
    </row>
    <row r="174" spans="10:22" s="1" customFormat="1" x14ac:dyDescent="0.15">
      <c r="J174" s="6"/>
      <c r="K174" s="149"/>
      <c r="L174" s="100" t="s">
        <v>284</v>
      </c>
      <c r="M174" s="101">
        <f>SUMIF($G$11:$G$120,$L$174,$E$11:$E$120)</f>
        <v>0</v>
      </c>
      <c r="N174" s="102">
        <f>SUMIF($G$11:$G$120,$L$174,$H$11:$H$120)</f>
        <v>0</v>
      </c>
      <c r="O174" s="147" t="str">
        <f>IF(ISERROR((HOUR($M$174)*60+MINUTE($M$174))/$N$174),"",(HOUR($M$174)*60+MINUTE($M$174))/$N$174)</f>
        <v/>
      </c>
      <c r="P174" s="103"/>
      <c r="Q174" s="104" t="str">
        <f>IF($P$174&lt;&gt; "",$N$174/$P$174,"")</f>
        <v/>
      </c>
      <c r="R174" s="103"/>
      <c r="S174" s="145"/>
      <c r="T174" s="145"/>
      <c r="U174" s="7"/>
      <c r="V174" s="76"/>
    </row>
    <row r="175" spans="10:22" s="1" customFormat="1" x14ac:dyDescent="0.15">
      <c r="J175" s="6"/>
      <c r="K175" s="149"/>
      <c r="L175" s="100" t="s">
        <v>285</v>
      </c>
      <c r="M175" s="101">
        <f>SUMIF($G$11:$G$120,$L$175,$E$11:$E$120)</f>
        <v>0</v>
      </c>
      <c r="N175" s="102">
        <f>SUMIF($G$11:$G$120,$L$175,$H$11:$H$120)</f>
        <v>0</v>
      </c>
      <c r="O175" s="147" t="str">
        <f>IF(ISERROR((HOUR($M$175)*60+MINUTE($M$175))/$N$175),"",(HOUR($M$175)*60+MINUTE($M$175))/$N$175)</f>
        <v/>
      </c>
      <c r="P175" s="103"/>
      <c r="Q175" s="104" t="str">
        <f>IF($P$175&lt;&gt; "",$N$175/$P$175,"")</f>
        <v/>
      </c>
      <c r="R175" s="103"/>
      <c r="S175" s="145"/>
      <c r="T175" s="145"/>
      <c r="U175" s="7"/>
      <c r="V175" s="76"/>
    </row>
    <row r="176" spans="10:22" s="1" customFormat="1" x14ac:dyDescent="0.15">
      <c r="J176" s="6"/>
      <c r="K176" s="149"/>
      <c r="L176" s="100" t="s">
        <v>286</v>
      </c>
      <c r="M176" s="101">
        <f>SUMIF($G$11:$G$120,$L$176,$E$11:$E$120)</f>
        <v>0</v>
      </c>
      <c r="N176" s="102">
        <f>SUMIF($G$11:$G$120,$L$176,$H$11:$H$120)</f>
        <v>0</v>
      </c>
      <c r="O176" s="147" t="str">
        <f>IF(ISERROR((HOUR($M$176)*60+MINUTE($M$176))/$N$176),"",(HOUR($M$176)*60+MINUTE($M$176))/$N$176)</f>
        <v/>
      </c>
      <c r="P176" s="103"/>
      <c r="Q176" s="104" t="str">
        <f>IF($P$176&lt;&gt; "",$N$176/$P$176,"")</f>
        <v/>
      </c>
      <c r="R176" s="103"/>
      <c r="S176" s="145"/>
      <c r="T176" s="145"/>
      <c r="U176" s="7"/>
      <c r="V176" s="76"/>
    </row>
    <row r="177" spans="10:22" s="1" customFormat="1" x14ac:dyDescent="0.15">
      <c r="J177" s="6"/>
      <c r="K177" s="149"/>
      <c r="L177" s="100" t="s">
        <v>287</v>
      </c>
      <c r="M177" s="101">
        <f>SUMIF($G$11:$G$120,$L$177,$E$11:$E$120)</f>
        <v>0</v>
      </c>
      <c r="N177" s="102">
        <f>SUMIF($G$11:$G$120,$L$177,$H$11:$H$120)</f>
        <v>0</v>
      </c>
      <c r="O177" s="147" t="str">
        <f>IF(ISERROR((HOUR($M$177)*60+MINUTE($M$177))/$N$177),"",(HOUR($M$177)*60+MINUTE($M$177))/$N$177)</f>
        <v/>
      </c>
      <c r="P177" s="103"/>
      <c r="Q177" s="104" t="str">
        <f>IF($P$177&lt;&gt; "",$N$177/$P$177,"")</f>
        <v/>
      </c>
      <c r="R177" s="103"/>
      <c r="S177" s="145"/>
      <c r="T177" s="145"/>
      <c r="U177" s="7"/>
      <c r="V177" s="76"/>
    </row>
    <row r="178" spans="10:22" s="1" customFormat="1" x14ac:dyDescent="0.15">
      <c r="J178" s="6"/>
      <c r="K178" s="149"/>
      <c r="L178" s="100" t="s">
        <v>288</v>
      </c>
      <c r="M178" s="101">
        <f>SUMIF($G$11:$G$120,$L$178,$E$11:$E$120)</f>
        <v>0</v>
      </c>
      <c r="N178" s="102">
        <f>SUMIF($G$11:$G$120,$L$178,$H$11:$H$120)</f>
        <v>0</v>
      </c>
      <c r="O178" s="147" t="str">
        <f>IF(ISERROR((HOUR($M$178)*60+MINUTE($M$178))/$N$178),"",(HOUR($M$178)*60+MINUTE($M$178))/$N$178)</f>
        <v/>
      </c>
      <c r="P178" s="103"/>
      <c r="Q178" s="104" t="str">
        <f>IF($P$178&lt;&gt; "",$N$178/$P$178,"")</f>
        <v/>
      </c>
      <c r="R178" s="103"/>
      <c r="S178" s="145"/>
      <c r="T178" s="145"/>
      <c r="U178" s="7"/>
      <c r="V178" s="76"/>
    </row>
    <row r="179" spans="10:22" s="1" customFormat="1" x14ac:dyDescent="0.15">
      <c r="J179" s="6"/>
      <c r="K179" s="149"/>
      <c r="L179" s="100" t="s">
        <v>289</v>
      </c>
      <c r="M179" s="101">
        <f>SUMIF($G$11:$G$120,$L$179,$E$11:$E$120)</f>
        <v>0</v>
      </c>
      <c r="N179" s="102">
        <f>SUMIF($G$11:$G$120,$L$179,$H$11:$H$120)</f>
        <v>0</v>
      </c>
      <c r="O179" s="147" t="str">
        <f>IF(ISERROR((HOUR($M$179)*60+MINUTE($M$179))/$N$179),"",(HOUR($M$179)*60+MINUTE($M$179))/$N$179)</f>
        <v/>
      </c>
      <c r="P179" s="103"/>
      <c r="Q179" s="104" t="str">
        <f>IF($P$179&lt;&gt; "",$N$179/$P$179,"")</f>
        <v/>
      </c>
      <c r="R179" s="103"/>
      <c r="S179" s="145"/>
      <c r="T179" s="145"/>
      <c r="U179" s="7"/>
      <c r="V179" s="76"/>
    </row>
    <row r="180" spans="10:22" s="1" customFormat="1" x14ac:dyDescent="0.15">
      <c r="J180" s="6"/>
      <c r="K180" s="149"/>
      <c r="L180" s="100" t="s">
        <v>290</v>
      </c>
      <c r="M180" s="101">
        <f>SUMIF($G$11:$G$120,$L$180,$E$11:$E$120)</f>
        <v>0</v>
      </c>
      <c r="N180" s="102">
        <f>SUMIF($G$11:$G$120,$L$180,$H$11:$H$120)</f>
        <v>0</v>
      </c>
      <c r="O180" s="147" t="str">
        <f>IF(ISERROR((HOUR($M$180)*60+MINUTE($M$180))/$N$180),"",(HOUR($M$180)*60+MINUTE($M$180))/$N$180)</f>
        <v/>
      </c>
      <c r="P180" s="103"/>
      <c r="Q180" s="104" t="str">
        <f>IF($P$180&lt;&gt; "",$N$180/$P$180,"")</f>
        <v/>
      </c>
      <c r="R180" s="103"/>
      <c r="S180" s="146"/>
      <c r="T180" s="145"/>
      <c r="U180" s="7"/>
      <c r="V180" s="76"/>
    </row>
    <row r="181" spans="10:22" s="1" customFormat="1" x14ac:dyDescent="0.15">
      <c r="J181" s="6"/>
      <c r="K181" s="149"/>
      <c r="L181" s="100" t="s">
        <v>291</v>
      </c>
      <c r="M181" s="101">
        <f>SUMIF($G$11:$G$120,$L$181,$E$11:$E$120)</f>
        <v>0</v>
      </c>
      <c r="N181" s="109"/>
      <c r="O181" s="109"/>
      <c r="P181" s="109"/>
      <c r="Q181" s="109"/>
      <c r="R181" s="103"/>
      <c r="S181" s="109"/>
      <c r="T181" s="145"/>
      <c r="U181" s="7"/>
      <c r="V181" s="76"/>
    </row>
    <row r="182" spans="10:22" s="1" customFormat="1" x14ac:dyDescent="0.15">
      <c r="J182" s="6"/>
      <c r="K182" s="149"/>
      <c r="L182" s="100" t="s">
        <v>292</v>
      </c>
      <c r="M182" s="101">
        <f>SUMIF($G$11:$G$120,$L$182,$E$11:$E$120)</f>
        <v>0</v>
      </c>
      <c r="N182" s="109"/>
      <c r="O182" s="109"/>
      <c r="P182" s="109"/>
      <c r="Q182" s="109"/>
      <c r="R182" s="103"/>
      <c r="S182" s="109"/>
      <c r="T182" s="145"/>
      <c r="U182" s="7"/>
      <c r="V182" s="76"/>
    </row>
    <row r="183" spans="10:22" s="1" customFormat="1" x14ac:dyDescent="0.15">
      <c r="J183" s="6"/>
      <c r="K183" s="149"/>
      <c r="L183" s="93" t="s">
        <v>250</v>
      </c>
      <c r="M183" s="97">
        <f>SUMIF($L$184:$L$187,"&lt;&gt;【*】",$M$184:$M$187)</f>
        <v>0</v>
      </c>
      <c r="N183" s="98">
        <f>SUMIF($L$184:$L$187,"&lt;&gt;【*】",$N$184:$N$187)</f>
        <v>0</v>
      </c>
      <c r="O183" s="96"/>
      <c r="P183" s="96"/>
      <c r="Q183" s="96"/>
      <c r="R183" s="103"/>
      <c r="S183" s="96"/>
      <c r="T183" s="145"/>
      <c r="U183" s="7"/>
      <c r="V183" s="76"/>
    </row>
    <row r="184" spans="10:22" s="1" customFormat="1" x14ac:dyDescent="0.15">
      <c r="J184" s="6"/>
      <c r="K184" s="149"/>
      <c r="L184" s="100" t="s">
        <v>293</v>
      </c>
      <c r="M184" s="101">
        <f>SUMIF($G$11:$G$120,$L$184,$E$11:$E$120)</f>
        <v>0</v>
      </c>
      <c r="N184" s="102">
        <f>SUMIF($G$11:$G$120,$L$184,$H$11:$H$120)</f>
        <v>0</v>
      </c>
      <c r="O184" s="147" t="str">
        <f>IF(ISERROR((HOUR($M$184)*60+MINUTE($M$184))/$N$184),"",(HOUR($M$184)*60+MINUTE($M$184))/$N$184)</f>
        <v/>
      </c>
      <c r="P184" s="103"/>
      <c r="Q184" s="104" t="str">
        <f>IF($P$184&lt;&gt; "",$N$184/$P$184,"")</f>
        <v/>
      </c>
      <c r="R184" s="103"/>
      <c r="S184" s="145"/>
      <c r="T184" s="145"/>
      <c r="U184" s="7"/>
      <c r="V184" s="76"/>
    </row>
    <row r="185" spans="10:22" s="1" customFormat="1" x14ac:dyDescent="0.15">
      <c r="J185" s="6"/>
      <c r="K185" s="149"/>
      <c r="L185" s="100" t="s">
        <v>294</v>
      </c>
      <c r="M185" s="101">
        <f>SUMIF($G$11:$G$120,$L$185,$E$11:$E$120)</f>
        <v>0</v>
      </c>
      <c r="N185" s="102">
        <f>SUMIF($G$11:$G$120,$L$185,$H$11:$H$120)</f>
        <v>0</v>
      </c>
      <c r="O185" s="147" t="str">
        <f>IF(ISERROR((HOUR($M$185)*60+MINUTE($M$185))/$N$185),"",(HOUR($M$185)*60+MINUTE($M$185))/$N$185)</f>
        <v/>
      </c>
      <c r="P185" s="103"/>
      <c r="Q185" s="104" t="str">
        <f>IF($P$185&lt;&gt; "",$N$185/$P$185,"")</f>
        <v/>
      </c>
      <c r="R185" s="103"/>
      <c r="S185" s="145"/>
      <c r="T185" s="145"/>
      <c r="U185" s="7"/>
      <c r="V185" s="76"/>
    </row>
    <row r="186" spans="10:22" s="1" customFormat="1" x14ac:dyDescent="0.15">
      <c r="J186" s="6"/>
      <c r="K186" s="149"/>
      <c r="L186" s="100" t="s">
        <v>295</v>
      </c>
      <c r="M186" s="101">
        <f>SUMIF($G$11:$G$120,$L$186,$E$11:$E$120)</f>
        <v>0</v>
      </c>
      <c r="N186" s="102">
        <f>SUMIF($G$11:$G$120,$L$186,$H$11:$H$120)</f>
        <v>0</v>
      </c>
      <c r="O186" s="147" t="str">
        <f>IF(ISERROR((HOUR($M$186)*60+MINUTE($M$186))/$N$186),"",(HOUR($M$186)*60+MINUTE($M$186))/$N$186)</f>
        <v/>
      </c>
      <c r="P186" s="103"/>
      <c r="Q186" s="104" t="str">
        <f>IF($P$186&lt;&gt; "",$N$186/$P$186,"")</f>
        <v/>
      </c>
      <c r="R186" s="103"/>
      <c r="S186" s="145"/>
      <c r="T186" s="145"/>
      <c r="U186" s="7"/>
      <c r="V186" s="76"/>
    </row>
    <row r="187" spans="10:22" s="1" customFormat="1" x14ac:dyDescent="0.15">
      <c r="J187" s="6"/>
      <c r="K187" s="149"/>
      <c r="L187" s="100" t="s">
        <v>296</v>
      </c>
      <c r="M187" s="101">
        <f>SUMIF($G$11:$G$120,$L$187,$E$11:$E$120)</f>
        <v>0</v>
      </c>
      <c r="N187" s="102">
        <f>SUMIF($G$11:$G$120,$L$187,$H$11:$H$120)</f>
        <v>0</v>
      </c>
      <c r="O187" s="147" t="str">
        <f>IF(ISERROR((HOUR($M$187)*60+MINUTE($M$187))/$N$187),"",(HOUR($M$187)*60+MINUTE($M$187))/$N$187)</f>
        <v/>
      </c>
      <c r="P187" s="103"/>
      <c r="Q187" s="104" t="str">
        <f>IF($P$187&lt;&gt; "",$N$187/$P$187,"")</f>
        <v/>
      </c>
      <c r="R187" s="103"/>
      <c r="S187" s="145"/>
      <c r="T187" s="145"/>
      <c r="U187" s="7"/>
      <c r="V187" s="76"/>
    </row>
    <row r="188" spans="10:22" s="1" customFormat="1" x14ac:dyDescent="0.15">
      <c r="J188" s="6"/>
      <c r="K188" s="149"/>
      <c r="L188" s="93" t="s">
        <v>251</v>
      </c>
      <c r="M188" s="97">
        <f>SUMIF($L$189:$L$211,"&lt;&gt;【*】",$M$189:$M$211)</f>
        <v>0</v>
      </c>
      <c r="N188" s="98">
        <f>SUMIF($L$189:$L$211,"&lt;&gt;【*】",$N$189:$N$211)</f>
        <v>0</v>
      </c>
      <c r="O188" s="96"/>
      <c r="P188" s="96"/>
      <c r="Q188" s="96"/>
      <c r="R188" s="103"/>
      <c r="S188" s="96"/>
      <c r="T188" s="145"/>
      <c r="U188" s="7"/>
      <c r="V188" s="76"/>
    </row>
    <row r="189" spans="10:22" s="1" customFormat="1" x14ac:dyDescent="0.15">
      <c r="J189" s="6"/>
      <c r="K189" s="149"/>
      <c r="L189" s="100" t="s">
        <v>297</v>
      </c>
      <c r="M189" s="101">
        <f>SUMIF($G$11:$G$120,$L$189,$E$11:$E$120)</f>
        <v>0</v>
      </c>
      <c r="N189" s="109"/>
      <c r="O189" s="109"/>
      <c r="P189" s="109"/>
      <c r="Q189" s="109"/>
      <c r="R189" s="103"/>
      <c r="S189" s="145"/>
      <c r="T189" s="145"/>
      <c r="U189" s="7"/>
      <c r="V189" s="76"/>
    </row>
    <row r="190" spans="10:22" s="1" customFormat="1" x14ac:dyDescent="0.15">
      <c r="J190" s="6"/>
      <c r="K190" s="149"/>
      <c r="L190" s="100" t="s">
        <v>298</v>
      </c>
      <c r="M190" s="101">
        <f>SUMIF($G$11:$G$120,$L$190,$E$11:$E$120)</f>
        <v>0</v>
      </c>
      <c r="N190" s="109"/>
      <c r="O190" s="109"/>
      <c r="P190" s="109"/>
      <c r="Q190" s="109"/>
      <c r="R190" s="103"/>
      <c r="S190" s="145"/>
      <c r="T190" s="145"/>
      <c r="U190" s="7"/>
      <c r="V190" s="76"/>
    </row>
    <row r="191" spans="10:22" s="1" customFormat="1" x14ac:dyDescent="0.15">
      <c r="J191" s="6"/>
      <c r="K191" s="149"/>
      <c r="L191" s="100" t="s">
        <v>299</v>
      </c>
      <c r="M191" s="101">
        <f>SUMIF($G$11:$G$120,$L$191,$E$11:$E$120)</f>
        <v>0</v>
      </c>
      <c r="N191" s="109"/>
      <c r="O191" s="109"/>
      <c r="P191" s="109"/>
      <c r="Q191" s="109"/>
      <c r="R191" s="103"/>
      <c r="S191" s="145"/>
      <c r="T191" s="145"/>
      <c r="U191" s="7"/>
      <c r="V191" s="71"/>
    </row>
    <row r="192" spans="10:22" s="1" customFormat="1" x14ac:dyDescent="0.15">
      <c r="J192" s="6"/>
      <c r="K192" s="149"/>
      <c r="L192" s="100" t="s">
        <v>300</v>
      </c>
      <c r="M192" s="101">
        <f>SUMIF($G$11:$G$120,$L$192,$E$11:$E$120)</f>
        <v>0</v>
      </c>
      <c r="N192" s="109"/>
      <c r="O192" s="109"/>
      <c r="P192" s="109"/>
      <c r="Q192" s="109"/>
      <c r="R192" s="103"/>
      <c r="S192" s="145"/>
      <c r="T192" s="145"/>
      <c r="U192" s="7"/>
      <c r="V192" s="76"/>
    </row>
    <row r="193" spans="10:22" s="1" customFormat="1" x14ac:dyDescent="0.15">
      <c r="J193" s="6"/>
      <c r="K193" s="149"/>
      <c r="L193" s="100" t="s">
        <v>301</v>
      </c>
      <c r="M193" s="101">
        <f>SUMIF($G$11:$G$120,$L$193,$E$11:$E$120)</f>
        <v>0</v>
      </c>
      <c r="N193" s="102">
        <f>SUMIF($G$11:$G$120,$L$193,$H$11:$H$120)</f>
        <v>0</v>
      </c>
      <c r="O193" s="147" t="str">
        <f>IF(ISERROR((HOUR($M$193)*60+MINUTE($M$193))/$N$193),"",(HOUR($M$193)*60+MINUTE($M$193))/$N$193)</f>
        <v/>
      </c>
      <c r="P193" s="103"/>
      <c r="Q193" s="104" t="str">
        <f>IF($P$193&lt;&gt; "",$N$193/$P$193,"")</f>
        <v/>
      </c>
      <c r="R193" s="103"/>
      <c r="S193" s="145" t="s">
        <v>378</v>
      </c>
      <c r="T193" s="145"/>
      <c r="U193" s="7"/>
      <c r="V193" s="76"/>
    </row>
    <row r="194" spans="10:22" s="1" customFormat="1" x14ac:dyDescent="0.15">
      <c r="J194" s="6"/>
      <c r="K194" s="149"/>
      <c r="L194" s="100" t="s">
        <v>302</v>
      </c>
      <c r="M194" s="101">
        <f>SUMIF($G$11:$G$120,$L$194,$E$11:$E$120)</f>
        <v>0</v>
      </c>
      <c r="N194" s="102">
        <f>SUMIF($G$11:$G$120,$L$194,$H$11:$H$120)</f>
        <v>0</v>
      </c>
      <c r="O194" s="147" t="str">
        <f>IF(ISERROR((HOUR($M$194)*60+MINUTE($M$194))/$N$194),"",(HOUR($M$194)*60+MINUTE($M$194))/$N$194)</f>
        <v/>
      </c>
      <c r="P194" s="103"/>
      <c r="Q194" s="104" t="str">
        <f>IF($P$194&lt;&gt; "",$N$194/$P$194,"")</f>
        <v/>
      </c>
      <c r="R194" s="103"/>
      <c r="S194" s="145" t="s">
        <v>378</v>
      </c>
      <c r="T194" s="145"/>
      <c r="U194" s="7"/>
      <c r="V194" s="76"/>
    </row>
    <row r="195" spans="10:22" s="1" customFormat="1" x14ac:dyDescent="0.15">
      <c r="J195" s="6"/>
      <c r="K195" s="149"/>
      <c r="L195" s="100" t="s">
        <v>303</v>
      </c>
      <c r="M195" s="101">
        <f>SUMIF($G$11:$G$120,$L$195,$E$11:$E$120)</f>
        <v>0</v>
      </c>
      <c r="N195" s="109"/>
      <c r="O195" s="109"/>
      <c r="P195" s="109"/>
      <c r="Q195" s="109"/>
      <c r="R195" s="103"/>
      <c r="S195" s="145"/>
      <c r="T195" s="145"/>
      <c r="U195" s="7"/>
      <c r="V195" s="76"/>
    </row>
    <row r="196" spans="10:22" s="1" customFormat="1" x14ac:dyDescent="0.15">
      <c r="J196" s="6"/>
      <c r="K196" s="149"/>
      <c r="L196" s="100" t="s">
        <v>304</v>
      </c>
      <c r="M196" s="101">
        <f>SUMIF($G$11:$G$120,$L$196,$E$11:$E$120)</f>
        <v>0</v>
      </c>
      <c r="N196" s="102">
        <f>SUMIF($G$11:$G$120,$L$196,$H$11:$H$120)</f>
        <v>0</v>
      </c>
      <c r="O196" s="147" t="str">
        <f>IF(ISERROR((HOUR($M$196)*60+MINUTE($M$196))/$N$196),"",(HOUR($M$196)*60+MINUTE($M$196))/$N$196)</f>
        <v/>
      </c>
      <c r="P196" s="103"/>
      <c r="Q196" s="104" t="str">
        <f>IF($P$196&lt;&gt; "",$N$196/$P$196,"")</f>
        <v/>
      </c>
      <c r="R196" s="103"/>
      <c r="S196" s="145" t="s">
        <v>378</v>
      </c>
      <c r="T196" s="145"/>
      <c r="U196" s="7"/>
      <c r="V196" s="76"/>
    </row>
    <row r="197" spans="10:22" s="1" customFormat="1" x14ac:dyDescent="0.15">
      <c r="J197" s="6"/>
      <c r="K197" s="149"/>
      <c r="L197" s="100" t="s">
        <v>305</v>
      </c>
      <c r="M197" s="101">
        <f>SUMIF($G$11:$G$120,$L$197,$E$11:$E$120)</f>
        <v>0</v>
      </c>
      <c r="N197" s="109"/>
      <c r="O197" s="109"/>
      <c r="P197" s="109"/>
      <c r="Q197" s="109"/>
      <c r="R197" s="103"/>
      <c r="S197" s="145"/>
      <c r="T197" s="145"/>
      <c r="U197" s="7"/>
      <c r="V197" s="76"/>
    </row>
    <row r="198" spans="10:22" s="1" customFormat="1" x14ac:dyDescent="0.15">
      <c r="J198" s="6"/>
      <c r="K198" s="149"/>
      <c r="L198" s="100" t="s">
        <v>306</v>
      </c>
      <c r="M198" s="101">
        <f>SUMIF($G$11:$G$120,$L$198,$E$11:$E$120)</f>
        <v>0</v>
      </c>
      <c r="N198" s="102">
        <f>SUMIF($G$11:$G$120,$L$198,$H$11:$H$120)</f>
        <v>0</v>
      </c>
      <c r="O198" s="147" t="str">
        <f>IF(ISERROR((HOUR($M$198)*60+MINUTE($M$198))/$N$198),"",(HOUR($M$198)*60+MINUTE($M$198))/$N$198)</f>
        <v/>
      </c>
      <c r="P198" s="103"/>
      <c r="Q198" s="104" t="str">
        <f>IF($P$198&lt;&gt; "",$N$198/$P$198,"")</f>
        <v/>
      </c>
      <c r="R198" s="103"/>
      <c r="S198" s="145" t="s">
        <v>378</v>
      </c>
      <c r="T198" s="145"/>
      <c r="U198" s="7"/>
      <c r="V198" s="76"/>
    </row>
    <row r="199" spans="10:22" s="1" customFormat="1" x14ac:dyDescent="0.15">
      <c r="J199" s="6"/>
      <c r="K199" s="149"/>
      <c r="L199" s="100" t="s">
        <v>307</v>
      </c>
      <c r="M199" s="101">
        <f>SUMIF($G$11:$G$120,$L$199,$E$11:$E$120)</f>
        <v>0</v>
      </c>
      <c r="N199" s="109"/>
      <c r="O199" s="109"/>
      <c r="P199" s="109"/>
      <c r="Q199" s="109"/>
      <c r="R199" s="103"/>
      <c r="S199" s="145"/>
      <c r="T199" s="145"/>
      <c r="U199" s="7"/>
      <c r="V199" s="76"/>
    </row>
    <row r="200" spans="10:22" s="1" customFormat="1" x14ac:dyDescent="0.15">
      <c r="J200" s="6"/>
      <c r="K200" s="149"/>
      <c r="L200" s="100" t="s">
        <v>308</v>
      </c>
      <c r="M200" s="101">
        <f>SUMIF($G$11:$G$120,$L$200,$E$11:$E$120)</f>
        <v>0</v>
      </c>
      <c r="N200" s="102">
        <f>SUMIF($G$11:$G$120,$L$200,$H$11:$H$120)</f>
        <v>0</v>
      </c>
      <c r="O200" s="147" t="str">
        <f>IF(ISERROR((HOUR($M$200)*60+MINUTE($M$200))/$N$200),"",(HOUR($M$200)*60+MINUTE($M$200))/$N$200)</f>
        <v/>
      </c>
      <c r="P200" s="103"/>
      <c r="Q200" s="104" t="str">
        <f>IF($P$200&lt;&gt; "",$N$200/$P$200,"")</f>
        <v/>
      </c>
      <c r="R200" s="103"/>
      <c r="S200" s="145" t="s">
        <v>379</v>
      </c>
      <c r="T200" s="145"/>
      <c r="U200" s="7"/>
      <c r="V200" s="76"/>
    </row>
    <row r="201" spans="10:22" s="1" customFormat="1" x14ac:dyDescent="0.15">
      <c r="J201" s="6"/>
      <c r="K201" s="149"/>
      <c r="L201" s="100" t="s">
        <v>309</v>
      </c>
      <c r="M201" s="101">
        <f>SUMIF($G$11:$G$120,$L$201,$E$11:$E$120)</f>
        <v>0</v>
      </c>
      <c r="N201" s="109"/>
      <c r="O201" s="109"/>
      <c r="P201" s="109"/>
      <c r="Q201" s="109"/>
      <c r="R201" s="103"/>
      <c r="S201" s="145"/>
      <c r="T201" s="145"/>
      <c r="U201" s="7"/>
      <c r="V201" s="76"/>
    </row>
    <row r="202" spans="10:22" s="1" customFormat="1" x14ac:dyDescent="0.15">
      <c r="J202" s="6"/>
      <c r="K202" s="149"/>
      <c r="L202" s="100" t="s">
        <v>310</v>
      </c>
      <c r="M202" s="101">
        <f>SUMIF($G$11:$G$120,$L$202,$E$11:$E$120)</f>
        <v>0</v>
      </c>
      <c r="N202" s="102">
        <f>SUMIF($G$11:$G$120,$L$202,$H$11:$H$120)</f>
        <v>0</v>
      </c>
      <c r="O202" s="147" t="str">
        <f>IF(ISERROR((HOUR($M$202)*60+MINUTE($M$202))/$N$202),"",(HOUR($M$202)*60+MINUTE($M$202))/$N$202)</f>
        <v/>
      </c>
      <c r="P202" s="103"/>
      <c r="Q202" s="104" t="str">
        <f>IF($P$202&lt;&gt; "",$N$202/$P$202,"")</f>
        <v/>
      </c>
      <c r="R202" s="103"/>
      <c r="S202" s="145" t="s">
        <v>380</v>
      </c>
      <c r="T202" s="145"/>
      <c r="U202" s="7"/>
      <c r="V202" s="76"/>
    </row>
    <row r="203" spans="10:22" s="1" customFormat="1" x14ac:dyDescent="0.15">
      <c r="J203" s="6"/>
      <c r="K203" s="149"/>
      <c r="L203" s="100" t="s">
        <v>311</v>
      </c>
      <c r="M203" s="101">
        <f>SUMIF($G$11:$G$120,$L$203,$E$11:$E$120)</f>
        <v>0</v>
      </c>
      <c r="N203" s="102">
        <f>SUMIF($G$11:$G$120,$L$203,$H$11:$H$120)</f>
        <v>0</v>
      </c>
      <c r="O203" s="147" t="str">
        <f>IF(ISERROR((HOUR($M$203)*60+MINUTE($M$203))/$N$203),"",(HOUR($M$203)*60+MINUTE($M$203))/$N$203)</f>
        <v/>
      </c>
      <c r="P203" s="103"/>
      <c r="Q203" s="104" t="str">
        <f>IF($P$203&lt;&gt; "",$N$203/$P$203,"")</f>
        <v/>
      </c>
      <c r="R203" s="103"/>
      <c r="S203" s="145" t="s">
        <v>380</v>
      </c>
      <c r="T203" s="145"/>
      <c r="U203" s="7"/>
      <c r="V203" s="76"/>
    </row>
    <row r="204" spans="10:22" s="1" customFormat="1" x14ac:dyDescent="0.15">
      <c r="J204" s="6"/>
      <c r="K204" s="149"/>
      <c r="L204" s="100" t="s">
        <v>312</v>
      </c>
      <c r="M204" s="101">
        <f>SUMIF($G$11:$G$120,$L$204,$E$11:$E$120)</f>
        <v>0</v>
      </c>
      <c r="N204" s="109"/>
      <c r="O204" s="109"/>
      <c r="P204" s="109"/>
      <c r="Q204" s="109"/>
      <c r="R204" s="103"/>
      <c r="S204" s="145"/>
      <c r="T204" s="145"/>
      <c r="U204" s="7"/>
      <c r="V204" s="76"/>
    </row>
    <row r="205" spans="10:22" s="1" customFormat="1" x14ac:dyDescent="0.15">
      <c r="J205" s="6"/>
      <c r="K205" s="149"/>
      <c r="L205" s="100" t="s">
        <v>313</v>
      </c>
      <c r="M205" s="101">
        <f>SUMIF($G$11:$G$120,$L$205,$E$11:$E$120)</f>
        <v>0</v>
      </c>
      <c r="N205" s="102">
        <f>SUMIF($G$11:$G$120,$L$205,$H$11:$H$120)</f>
        <v>0</v>
      </c>
      <c r="O205" s="147" t="str">
        <f>IF(ISERROR((HOUR($M$205)*60+MINUTE($M$205))/$N$205),"",(HOUR($M$205)*60+MINUTE($M$205))/$N$205)</f>
        <v/>
      </c>
      <c r="P205" s="103"/>
      <c r="Q205" s="104" t="str">
        <f>IF($P$205&lt;&gt; "",$N$205/$P$205,"")</f>
        <v/>
      </c>
      <c r="R205" s="103"/>
      <c r="S205" s="145" t="s">
        <v>378</v>
      </c>
      <c r="T205" s="145"/>
      <c r="U205" s="7"/>
      <c r="V205" s="76"/>
    </row>
    <row r="206" spans="10:22" s="1" customFormat="1" x14ac:dyDescent="0.15">
      <c r="J206" s="6"/>
      <c r="K206" s="149"/>
      <c r="L206" s="100" t="s">
        <v>314</v>
      </c>
      <c r="M206" s="101">
        <f>SUMIF($G$11:$G$120,$L$206,$E$11:$E$120)</f>
        <v>0</v>
      </c>
      <c r="N206" s="109"/>
      <c r="O206" s="109"/>
      <c r="P206" s="109"/>
      <c r="Q206" s="109"/>
      <c r="R206" s="103"/>
      <c r="S206" s="145"/>
      <c r="T206" s="145"/>
      <c r="U206" s="7"/>
      <c r="V206" s="76"/>
    </row>
    <row r="207" spans="10:22" s="1" customFormat="1" x14ac:dyDescent="0.15">
      <c r="J207" s="6"/>
      <c r="K207" s="149"/>
      <c r="L207" s="100" t="s">
        <v>315</v>
      </c>
      <c r="M207" s="101">
        <f>SUMIF($G$11:$G$120,$L$207,$E$11:$E$120)</f>
        <v>0</v>
      </c>
      <c r="N207" s="109"/>
      <c r="O207" s="109"/>
      <c r="P207" s="109"/>
      <c r="Q207" s="109"/>
      <c r="R207" s="103"/>
      <c r="S207" s="145"/>
      <c r="T207" s="145"/>
      <c r="U207" s="7"/>
      <c r="V207" s="76"/>
    </row>
    <row r="208" spans="10:22" s="1" customFormat="1" x14ac:dyDescent="0.15">
      <c r="J208" s="6"/>
      <c r="K208" s="149"/>
      <c r="L208" s="100" t="s">
        <v>316</v>
      </c>
      <c r="M208" s="101">
        <f>SUMIF($G$11:$G$120,$L$208,$E$11:$E$120)</f>
        <v>0</v>
      </c>
      <c r="N208" s="109"/>
      <c r="O208" s="109"/>
      <c r="P208" s="109"/>
      <c r="Q208" s="109"/>
      <c r="R208" s="103"/>
      <c r="S208" s="145"/>
      <c r="T208" s="145"/>
      <c r="U208" s="7"/>
      <c r="V208" s="76"/>
    </row>
    <row r="209" spans="10:22" s="1" customFormat="1" x14ac:dyDescent="0.15">
      <c r="J209" s="6"/>
      <c r="K209" s="149"/>
      <c r="L209" s="100" t="s">
        <v>317</v>
      </c>
      <c r="M209" s="101">
        <f>SUMIF($G$11:$G$120,$L$209,$E$11:$E$120)</f>
        <v>0</v>
      </c>
      <c r="N209" s="109"/>
      <c r="O209" s="109"/>
      <c r="P209" s="109"/>
      <c r="Q209" s="109"/>
      <c r="R209" s="103"/>
      <c r="S209" s="145"/>
      <c r="T209" s="145"/>
      <c r="U209" s="7"/>
      <c r="V209" s="76"/>
    </row>
    <row r="210" spans="10:22" s="1" customFormat="1" x14ac:dyDescent="0.15">
      <c r="J210" s="6"/>
      <c r="K210" s="149"/>
      <c r="L210" s="100" t="s">
        <v>318</v>
      </c>
      <c r="M210" s="101">
        <f>SUMIF($G$11:$G$120,$L$210,$E$11:$E$120)</f>
        <v>0</v>
      </c>
      <c r="N210" s="109"/>
      <c r="O210" s="109"/>
      <c r="P210" s="109"/>
      <c r="Q210" s="109"/>
      <c r="R210" s="103"/>
      <c r="S210" s="145"/>
      <c r="T210" s="145"/>
      <c r="U210" s="7"/>
      <c r="V210" s="76"/>
    </row>
    <row r="211" spans="10:22" s="1" customFormat="1" x14ac:dyDescent="0.15">
      <c r="J211" s="6"/>
      <c r="K211" s="149"/>
      <c r="L211" s="100" t="s">
        <v>319</v>
      </c>
      <c r="M211" s="101">
        <f>SUMIF($G$11:$G$120,$L$211,$E$11:$E$120)</f>
        <v>0</v>
      </c>
      <c r="N211" s="102">
        <f>SUMIF($G$11:$G$120,$L$211,$H$11:$H$120)</f>
        <v>0</v>
      </c>
      <c r="O211" s="147" t="str">
        <f>IF(ISERROR((HOUR($M$211)*60+MINUTE($M$211))/$N$211),"",(HOUR($M$211)*60+MINUTE($M$211))/$N$211)</f>
        <v/>
      </c>
      <c r="P211" s="103"/>
      <c r="Q211" s="104" t="str">
        <f>IF($P$211&lt;&gt; "",$N$211/$P$211,"")</f>
        <v/>
      </c>
      <c r="R211" s="103"/>
      <c r="S211" s="145" t="s">
        <v>378</v>
      </c>
      <c r="T211" s="145"/>
      <c r="U211" s="7"/>
      <c r="V211" s="76"/>
    </row>
    <row r="212" spans="10:22" s="1" customFormat="1" x14ac:dyDescent="0.15">
      <c r="J212" s="6"/>
      <c r="K212" s="149"/>
      <c r="L212" s="93" t="s">
        <v>252</v>
      </c>
      <c r="M212" s="97">
        <f>SUMIF($L$213:$L$213,"&lt;&gt;【*】",$M$213:$M$213)</f>
        <v>0</v>
      </c>
      <c r="N212" s="98">
        <f>SUMIF($L$213:$L$213,"&lt;&gt;【*】",$N$213:$N$213)</f>
        <v>0</v>
      </c>
      <c r="O212" s="96"/>
      <c r="P212" s="96"/>
      <c r="Q212" s="96"/>
      <c r="R212" s="103"/>
      <c r="S212" s="96"/>
      <c r="T212" s="145"/>
      <c r="U212" s="7"/>
      <c r="V212" s="76"/>
    </row>
    <row r="213" spans="10:22" s="1" customFormat="1" x14ac:dyDescent="0.15">
      <c r="J213" s="6"/>
      <c r="K213" s="149"/>
      <c r="L213" s="100" t="s">
        <v>248</v>
      </c>
      <c r="M213" s="101">
        <f>SUMIF($G$11:$G$120,$L$213,$E$11:$E$120)</f>
        <v>0</v>
      </c>
      <c r="N213" s="102">
        <f>SUMIF($G$11:$G$120,$L$213,$H$11:$H$120)</f>
        <v>0</v>
      </c>
      <c r="O213" s="147" t="str">
        <f>IF(ISERROR((HOUR($M$213)*60+MINUTE($M$213))/$N$213),"",(HOUR($M$213)*60+MINUTE($M$213))/$N$213)</f>
        <v/>
      </c>
      <c r="P213" s="103"/>
      <c r="Q213" s="104" t="str">
        <f>IF($P$213&lt;&gt; "",$N$213/$P$213,"")</f>
        <v/>
      </c>
      <c r="R213" s="103"/>
      <c r="S213" s="145"/>
      <c r="T213" s="145"/>
      <c r="U213" s="7"/>
      <c r="V213" s="76"/>
    </row>
    <row r="214" spans="10:22" s="1" customFormat="1" x14ac:dyDescent="0.15">
      <c r="J214" s="6"/>
      <c r="K214" s="149"/>
      <c r="L214" s="93" t="s">
        <v>253</v>
      </c>
      <c r="M214" s="97">
        <f>SUMIF($L$215:$L$215,"&lt;&gt;【*】",$M$215:$M$215)</f>
        <v>0</v>
      </c>
      <c r="N214" s="98">
        <f>SUMIF($L$215:$L$215,"&lt;&gt;【*】",$N$215:$N$215)</f>
        <v>0</v>
      </c>
      <c r="O214" s="96"/>
      <c r="P214" s="96"/>
      <c r="Q214" s="96"/>
      <c r="R214" s="103"/>
      <c r="S214" s="96"/>
      <c r="T214" s="145"/>
      <c r="U214" s="7"/>
      <c r="V214" s="76"/>
    </row>
    <row r="215" spans="10:22" s="1" customFormat="1" x14ac:dyDescent="0.15">
      <c r="J215" s="6"/>
      <c r="K215" s="149"/>
      <c r="L215" s="100" t="s">
        <v>320</v>
      </c>
      <c r="M215" s="101">
        <f>SUMIF($G$11:$G$120,$L$215,$E$11:$E$120)</f>
        <v>0</v>
      </c>
      <c r="N215" s="102">
        <f>SUMIF($G$11:$G$120,$L$215,$H$11:$H$120)</f>
        <v>0</v>
      </c>
      <c r="O215" s="147" t="str">
        <f>IF(ISERROR((HOUR($M$215)*60+MINUTE($M$215))/$N$215),"",(HOUR($M$215)*60+MINUTE($M$215))/$N$215)</f>
        <v/>
      </c>
      <c r="P215" s="103"/>
      <c r="Q215" s="104" t="str">
        <f>IF($P$215&lt;&gt; "",$N$215/$P$215,"")</f>
        <v/>
      </c>
      <c r="R215" s="103"/>
      <c r="S215" s="145" t="s">
        <v>378</v>
      </c>
      <c r="T215" s="145"/>
      <c r="U215" s="7"/>
      <c r="V215" s="76"/>
    </row>
    <row r="216" spans="10:22" s="1" customFormat="1" x14ac:dyDescent="0.15">
      <c r="J216" s="6"/>
      <c r="K216" s="149"/>
      <c r="L216" s="93" t="s">
        <v>254</v>
      </c>
      <c r="M216" s="97">
        <f>SUMIF($L$217:$L$225,"&lt;&gt;【*】",$M$217:$M$225)</f>
        <v>0</v>
      </c>
      <c r="N216" s="98">
        <f>SUMIF($L$217:$L$225,"&lt;&gt;【*】",$N$217:$N$225)</f>
        <v>0</v>
      </c>
      <c r="O216" s="96"/>
      <c r="P216" s="96"/>
      <c r="Q216" s="96"/>
      <c r="R216" s="103"/>
      <c r="S216" s="96"/>
      <c r="T216" s="145"/>
      <c r="U216" s="7"/>
      <c r="V216" s="76"/>
    </row>
    <row r="217" spans="10:22" s="1" customFormat="1" x14ac:dyDescent="0.15">
      <c r="J217" s="6"/>
      <c r="K217" s="149"/>
      <c r="L217" s="100" t="s">
        <v>321</v>
      </c>
      <c r="M217" s="101">
        <f>SUMIF($G$11:$G$120,$L$217,$E$11:$E$120)</f>
        <v>0</v>
      </c>
      <c r="N217" s="109"/>
      <c r="O217" s="109"/>
      <c r="P217" s="109"/>
      <c r="Q217" s="109"/>
      <c r="R217" s="103"/>
      <c r="S217" s="145"/>
      <c r="T217" s="145"/>
      <c r="U217" s="7"/>
      <c r="V217" s="76"/>
    </row>
    <row r="218" spans="10:22" s="1" customFormat="1" x14ac:dyDescent="0.15">
      <c r="J218" s="6"/>
      <c r="K218" s="149"/>
      <c r="L218" s="100" t="s">
        <v>322</v>
      </c>
      <c r="M218" s="101">
        <f>SUMIF($G$11:$G$120,$L$218,$E$11:$E$120)</f>
        <v>0</v>
      </c>
      <c r="N218" s="109"/>
      <c r="O218" s="109"/>
      <c r="P218" s="109"/>
      <c r="Q218" s="109"/>
      <c r="R218" s="103"/>
      <c r="S218" s="145"/>
      <c r="T218" s="145"/>
      <c r="U218" s="7"/>
      <c r="V218" s="76"/>
    </row>
    <row r="219" spans="10:22" s="1" customFormat="1" x14ac:dyDescent="0.15">
      <c r="J219" s="6"/>
      <c r="K219" s="149"/>
      <c r="L219" s="100" t="s">
        <v>323</v>
      </c>
      <c r="M219" s="101">
        <f>SUMIF($G$11:$G$120,$L$219,$E$11:$E$120)</f>
        <v>0</v>
      </c>
      <c r="N219" s="102">
        <f>SUMIF($G$11:$G$120,$L$219,$H$11:$H$120)</f>
        <v>0</v>
      </c>
      <c r="O219" s="147" t="str">
        <f>IF(ISERROR((HOUR($M$219)*60+MINUTE($M$219))/$N$219),"",(HOUR($M$219)*60+MINUTE($M$219))/$N$219)</f>
        <v/>
      </c>
      <c r="P219" s="103"/>
      <c r="Q219" s="104" t="str">
        <f>IF($P$219&lt;&gt; "",$N$219/$P$219,"")</f>
        <v/>
      </c>
      <c r="R219" s="103"/>
      <c r="S219" s="145" t="s">
        <v>381</v>
      </c>
      <c r="T219" s="145"/>
      <c r="U219" s="7"/>
      <c r="V219" s="76"/>
    </row>
    <row r="220" spans="10:22" s="1" customFormat="1" x14ac:dyDescent="0.15">
      <c r="J220" s="6"/>
      <c r="K220" s="149"/>
      <c r="L220" s="100" t="s">
        <v>324</v>
      </c>
      <c r="M220" s="101">
        <f>SUMIF($G$11:$G$120,$L$220,$E$11:$E$120)</f>
        <v>0</v>
      </c>
      <c r="N220" s="102">
        <f>SUMIF($G$11:$G$120,$L$220,$H$11:$H$120)</f>
        <v>0</v>
      </c>
      <c r="O220" s="147" t="str">
        <f>IF(ISERROR((HOUR($M$220)*60+MINUTE($M$220))/$N$220),"",(HOUR($M$220)*60+MINUTE($M$220))/$N$220)</f>
        <v/>
      </c>
      <c r="P220" s="103"/>
      <c r="Q220" s="104" t="str">
        <f>IF($P$220&lt;&gt; "",$N$220/$P$220,"")</f>
        <v/>
      </c>
      <c r="R220" s="103"/>
      <c r="S220" s="145" t="s">
        <v>381</v>
      </c>
      <c r="T220" s="145"/>
      <c r="U220" s="7"/>
      <c r="V220" s="76"/>
    </row>
    <row r="221" spans="10:22" s="1" customFormat="1" x14ac:dyDescent="0.15">
      <c r="J221" s="6"/>
      <c r="K221" s="149"/>
      <c r="L221" s="100" t="s">
        <v>325</v>
      </c>
      <c r="M221" s="101">
        <f>SUMIF($G$11:$G$120,$L$221,$E$11:$E$120)</f>
        <v>0</v>
      </c>
      <c r="N221" s="109"/>
      <c r="O221" s="109"/>
      <c r="P221" s="109"/>
      <c r="Q221" s="109"/>
      <c r="R221" s="103"/>
      <c r="S221" s="145"/>
      <c r="T221" s="145"/>
      <c r="U221" s="7"/>
      <c r="V221" s="76"/>
    </row>
    <row r="222" spans="10:22" s="1" customFormat="1" x14ac:dyDescent="0.15">
      <c r="J222" s="6"/>
      <c r="K222" s="149"/>
      <c r="L222" s="100" t="s">
        <v>326</v>
      </c>
      <c r="M222" s="101">
        <f>SUMIF($G$11:$G$120,$L$222,$E$11:$E$120)</f>
        <v>0</v>
      </c>
      <c r="N222" s="109"/>
      <c r="O222" s="109"/>
      <c r="P222" s="109"/>
      <c r="Q222" s="109"/>
      <c r="R222" s="103"/>
      <c r="S222" s="145"/>
      <c r="T222" s="145"/>
      <c r="U222" s="7"/>
      <c r="V222" s="76"/>
    </row>
    <row r="223" spans="10:22" s="1" customFormat="1" x14ac:dyDescent="0.15">
      <c r="J223" s="6"/>
      <c r="K223" s="149"/>
      <c r="L223" s="100" t="s">
        <v>327</v>
      </c>
      <c r="M223" s="101">
        <f>SUMIF($G$11:$G$120,$L$223,$E$11:$E$120)</f>
        <v>0</v>
      </c>
      <c r="N223" s="109"/>
      <c r="O223" s="109"/>
      <c r="P223" s="109"/>
      <c r="Q223" s="109"/>
      <c r="R223" s="103"/>
      <c r="S223" s="145"/>
      <c r="T223" s="145"/>
      <c r="U223" s="7"/>
      <c r="V223" s="76"/>
    </row>
    <row r="224" spans="10:22" s="1" customFormat="1" x14ac:dyDescent="0.15">
      <c r="J224" s="6"/>
      <c r="K224" s="149"/>
      <c r="L224" s="100" t="s">
        <v>328</v>
      </c>
      <c r="M224" s="101">
        <f>SUMIF($G$11:$G$120,$L$224,$E$11:$E$120)</f>
        <v>0</v>
      </c>
      <c r="N224" s="109"/>
      <c r="O224" s="109"/>
      <c r="P224" s="109"/>
      <c r="Q224" s="109"/>
      <c r="R224" s="103"/>
      <c r="S224" s="145"/>
      <c r="T224" s="145"/>
      <c r="U224" s="7"/>
      <c r="V224" s="76"/>
    </row>
    <row r="225" spans="10:22" s="1" customFormat="1" x14ac:dyDescent="0.15">
      <c r="J225" s="6"/>
      <c r="K225" s="149"/>
      <c r="L225" s="100" t="s">
        <v>329</v>
      </c>
      <c r="M225" s="101">
        <f>SUMIF($G$11:$G$120,$L$225,$E$11:$E$120)</f>
        <v>0</v>
      </c>
      <c r="N225" s="109"/>
      <c r="O225" s="109"/>
      <c r="P225" s="109"/>
      <c r="Q225" s="109"/>
      <c r="R225" s="103"/>
      <c r="S225" s="145"/>
      <c r="T225" s="145"/>
      <c r="U225" s="7"/>
      <c r="V225" s="76"/>
    </row>
    <row r="226" spans="10:22" s="1" customFormat="1" x14ac:dyDescent="0.15">
      <c r="J226" s="6"/>
      <c r="K226" s="148" t="s">
        <v>94</v>
      </c>
      <c r="L226" s="105" t="s">
        <v>93</v>
      </c>
      <c r="M226" s="106">
        <f>SUM(M227)</f>
        <v>0</v>
      </c>
      <c r="N226" s="107"/>
      <c r="O226" s="107"/>
      <c r="P226" s="107"/>
      <c r="Q226" s="107"/>
      <c r="R226" s="103"/>
      <c r="S226" s="107"/>
      <c r="T226" s="145"/>
      <c r="U226" s="7"/>
      <c r="V226" s="76"/>
    </row>
    <row r="227" spans="10:22" s="1" customFormat="1" x14ac:dyDescent="0.15">
      <c r="J227" s="6"/>
      <c r="K227" s="149"/>
      <c r="L227" s="105" t="s">
        <v>114</v>
      </c>
      <c r="M227" s="108">
        <f>SUMIF($L$228:$L$237,"&lt;&gt;【*】",$M$228:$M$237)</f>
        <v>0</v>
      </c>
      <c r="N227" s="107"/>
      <c r="O227" s="107"/>
      <c r="P227" s="107"/>
      <c r="Q227" s="107"/>
      <c r="R227" s="103"/>
      <c r="S227" s="107"/>
      <c r="T227" s="145"/>
      <c r="U227" s="7"/>
      <c r="V227" s="76"/>
    </row>
    <row r="228" spans="10:22" s="1" customFormat="1" x14ac:dyDescent="0.15">
      <c r="J228" s="6"/>
      <c r="K228" s="149"/>
      <c r="L228" s="100" t="s">
        <v>237</v>
      </c>
      <c r="M228" s="101">
        <f>SUMIF($G$11:$G$120,$L$228,$E$11:$E$120)</f>
        <v>0</v>
      </c>
      <c r="N228" s="109"/>
      <c r="O228" s="109"/>
      <c r="P228" s="109"/>
      <c r="Q228" s="109"/>
      <c r="R228" s="103"/>
      <c r="S228" s="109"/>
      <c r="T228" s="145"/>
      <c r="U228" s="7"/>
      <c r="V228" s="76"/>
    </row>
    <row r="229" spans="10:22" s="1" customFormat="1" x14ac:dyDescent="0.15">
      <c r="J229" s="6"/>
      <c r="K229" s="149"/>
      <c r="L229" s="100" t="s">
        <v>238</v>
      </c>
      <c r="M229" s="101">
        <f>SUMIF($G$11:$G$120,$L$229,$E$11:$E$120)</f>
        <v>0</v>
      </c>
      <c r="N229" s="109"/>
      <c r="O229" s="109"/>
      <c r="P229" s="109"/>
      <c r="Q229" s="109"/>
      <c r="R229" s="103"/>
      <c r="S229" s="109"/>
      <c r="T229" s="145"/>
      <c r="U229" s="7"/>
      <c r="V229" s="76"/>
    </row>
    <row r="230" spans="10:22" s="1" customFormat="1" x14ac:dyDescent="0.15">
      <c r="J230" s="6"/>
      <c r="K230" s="149"/>
      <c r="L230" s="100" t="s">
        <v>239</v>
      </c>
      <c r="M230" s="101">
        <f>SUMIF($G$11:$G$120,$L$230,$E$11:$E$120)</f>
        <v>0</v>
      </c>
      <c r="N230" s="109"/>
      <c r="O230" s="109"/>
      <c r="P230" s="109"/>
      <c r="Q230" s="109"/>
      <c r="R230" s="103"/>
      <c r="S230" s="109"/>
      <c r="T230" s="145"/>
      <c r="U230" s="7"/>
      <c r="V230" s="76"/>
    </row>
    <row r="231" spans="10:22" s="1" customFormat="1" x14ac:dyDescent="0.15">
      <c r="J231" s="6"/>
      <c r="K231" s="149"/>
      <c r="L231" s="100" t="s">
        <v>240</v>
      </c>
      <c r="M231" s="101">
        <f>SUMIF($G$11:$G$120,$L$231,$E$11:$E$120)</f>
        <v>0</v>
      </c>
      <c r="N231" s="109"/>
      <c r="O231" s="109"/>
      <c r="P231" s="109"/>
      <c r="Q231" s="109"/>
      <c r="R231" s="103"/>
      <c r="S231" s="109"/>
      <c r="T231" s="145"/>
      <c r="U231" s="7"/>
      <c r="V231" s="76"/>
    </row>
    <row r="232" spans="10:22" s="1" customFormat="1" x14ac:dyDescent="0.15">
      <c r="J232" s="6"/>
      <c r="K232" s="149"/>
      <c r="L232" s="100" t="s">
        <v>241</v>
      </c>
      <c r="M232" s="101">
        <f>SUMIF($G$11:$G$120,$L$232,$E$11:$E$120)</f>
        <v>0</v>
      </c>
      <c r="N232" s="109"/>
      <c r="O232" s="109"/>
      <c r="P232" s="109"/>
      <c r="Q232" s="109"/>
      <c r="R232" s="103"/>
      <c r="S232" s="109"/>
      <c r="T232" s="145"/>
      <c r="U232" s="7"/>
      <c r="V232" s="76"/>
    </row>
    <row r="233" spans="10:22" s="1" customFormat="1" x14ac:dyDescent="0.15">
      <c r="J233" s="6"/>
      <c r="K233" s="149"/>
      <c r="L233" s="100" t="s">
        <v>242</v>
      </c>
      <c r="M233" s="101">
        <f>SUMIF($G$11:$G$120,$L$233,$E$11:$E$120)</f>
        <v>0</v>
      </c>
      <c r="N233" s="109"/>
      <c r="O233" s="109"/>
      <c r="P233" s="109"/>
      <c r="Q233" s="109"/>
      <c r="R233" s="103"/>
      <c r="S233" s="109"/>
      <c r="T233" s="145"/>
      <c r="U233" s="7"/>
      <c r="V233" s="76"/>
    </row>
    <row r="234" spans="10:22" s="1" customFormat="1" x14ac:dyDescent="0.15">
      <c r="J234" s="6"/>
      <c r="K234" s="149"/>
      <c r="L234" s="100" t="s">
        <v>243</v>
      </c>
      <c r="M234" s="101">
        <f>SUMIF($G$11:$G$120,$L$234,$E$11:$E$120)</f>
        <v>0</v>
      </c>
      <c r="N234" s="109"/>
      <c r="O234" s="109"/>
      <c r="P234" s="109"/>
      <c r="Q234" s="109"/>
      <c r="R234" s="103"/>
      <c r="S234" s="109"/>
      <c r="T234" s="145"/>
      <c r="U234" s="7"/>
      <c r="V234" s="76"/>
    </row>
    <row r="235" spans="10:22" s="1" customFormat="1" x14ac:dyDescent="0.15">
      <c r="J235" s="6"/>
      <c r="K235" s="149"/>
      <c r="L235" s="100" t="s">
        <v>244</v>
      </c>
      <c r="M235" s="101">
        <f>SUMIF($G$11:$G$120,$L$235,$E$11:$E$120)</f>
        <v>0</v>
      </c>
      <c r="N235" s="109"/>
      <c r="O235" s="109"/>
      <c r="P235" s="109"/>
      <c r="Q235" s="109"/>
      <c r="R235" s="103"/>
      <c r="S235" s="109"/>
      <c r="T235" s="145"/>
      <c r="U235" s="7"/>
      <c r="V235" s="76"/>
    </row>
    <row r="236" spans="10:22" s="1" customFormat="1" x14ac:dyDescent="0.15">
      <c r="J236" s="6"/>
      <c r="K236" s="149"/>
      <c r="L236" s="100" t="s">
        <v>245</v>
      </c>
      <c r="M236" s="101">
        <f>SUMIF($G$11:$G$120,$L$236,$E$11:$E$120)</f>
        <v>0</v>
      </c>
      <c r="N236" s="109"/>
      <c r="O236" s="109"/>
      <c r="P236" s="109"/>
      <c r="Q236" s="109"/>
      <c r="R236" s="103"/>
      <c r="S236" s="109"/>
      <c r="T236" s="145"/>
      <c r="U236" s="7"/>
      <c r="V236" s="76"/>
    </row>
    <row r="237" spans="10:22" s="1" customFormat="1" x14ac:dyDescent="0.15">
      <c r="J237" s="6"/>
      <c r="K237" s="149"/>
      <c r="L237" s="100" t="s">
        <v>246</v>
      </c>
      <c r="M237" s="101">
        <f>SUMIF($G$11:$G$120,$L$237,$E$11:$E$120)</f>
        <v>0</v>
      </c>
      <c r="N237" s="109"/>
      <c r="O237" s="109"/>
      <c r="P237" s="109"/>
      <c r="Q237" s="109"/>
      <c r="R237" s="103"/>
      <c r="S237" s="109"/>
      <c r="T237" s="145"/>
      <c r="U237" s="7"/>
      <c r="V237" s="76"/>
    </row>
    <row r="238" spans="10:22" s="1" customFormat="1" x14ac:dyDescent="0.15">
      <c r="J238" s="6"/>
      <c r="K238" s="150" t="s">
        <v>97</v>
      </c>
      <c r="L238" s="110" t="s">
        <v>96</v>
      </c>
      <c r="M238" s="111">
        <f>SUM(M239)</f>
        <v>0</v>
      </c>
      <c r="N238" s="112"/>
      <c r="O238" s="112"/>
      <c r="P238" s="112"/>
      <c r="Q238" s="112"/>
      <c r="R238" s="103"/>
      <c r="S238" s="112"/>
      <c r="T238" s="145"/>
      <c r="U238" s="7"/>
      <c r="V238" s="76"/>
    </row>
    <row r="239" spans="10:22" s="1" customFormat="1" x14ac:dyDescent="0.15">
      <c r="J239" s="6"/>
      <c r="K239" s="149"/>
      <c r="L239" s="110" t="s">
        <v>115</v>
      </c>
      <c r="M239" s="113">
        <f>SUMIF($L$240:$L$241,"&lt;&gt;【*】",$M$240:$M$241)</f>
        <v>0</v>
      </c>
      <c r="N239" s="112"/>
      <c r="O239" s="112"/>
      <c r="P239" s="112"/>
      <c r="Q239" s="112"/>
      <c r="R239" s="103"/>
      <c r="S239" s="112"/>
      <c r="T239" s="145"/>
      <c r="U239" s="7"/>
      <c r="V239" s="76"/>
    </row>
    <row r="240" spans="10:22" s="1" customFormat="1" x14ac:dyDescent="0.15">
      <c r="J240" s="6"/>
      <c r="K240" s="149"/>
      <c r="L240" s="100" t="s">
        <v>95</v>
      </c>
      <c r="M240" s="101">
        <f>SUMIF($G$11:$G$120,$L$240,$E$11:$E$120)</f>
        <v>0</v>
      </c>
      <c r="N240" s="109"/>
      <c r="O240" s="109"/>
      <c r="P240" s="109"/>
      <c r="Q240" s="109"/>
      <c r="R240" s="103"/>
      <c r="S240" s="109"/>
      <c r="T240" s="145"/>
      <c r="U240" s="7"/>
      <c r="V240" s="76"/>
    </row>
    <row r="241" spans="10:22" s="1" customFormat="1" x14ac:dyDescent="0.15">
      <c r="J241" s="6"/>
      <c r="K241" s="149"/>
      <c r="L241" s="100" t="s">
        <v>247</v>
      </c>
      <c r="M241" s="101">
        <f>SUMIF($G$11:$G$120,$L$241,$E$11:$E$120)</f>
        <v>0</v>
      </c>
      <c r="N241" s="109"/>
      <c r="O241" s="109"/>
      <c r="P241" s="109"/>
      <c r="Q241" s="109"/>
      <c r="R241" s="103"/>
      <c r="S241" s="109"/>
      <c r="T241" s="145"/>
      <c r="U241" s="7"/>
      <c r="V241" s="76"/>
    </row>
    <row r="242" spans="10:22" s="1" customFormat="1" x14ac:dyDescent="0.15">
      <c r="J242" s="6"/>
      <c r="K242" s="151" t="s">
        <v>100</v>
      </c>
      <c r="L242" s="114" t="s">
        <v>99</v>
      </c>
      <c r="M242" s="115">
        <f>SUM(M243)</f>
        <v>0</v>
      </c>
      <c r="N242" s="116"/>
      <c r="O242" s="116"/>
      <c r="P242" s="116"/>
      <c r="Q242" s="116"/>
      <c r="R242" s="103"/>
      <c r="S242" s="116"/>
      <c r="T242" s="145"/>
      <c r="U242" s="7"/>
      <c r="V242" s="76"/>
    </row>
    <row r="243" spans="10:22" s="1" customFormat="1" x14ac:dyDescent="0.15">
      <c r="J243" s="6"/>
      <c r="K243" s="149"/>
      <c r="L243" s="114" t="s">
        <v>116</v>
      </c>
      <c r="M243" s="117">
        <f>SUMIF($L$244:$L$244,"&lt;&gt;【*】",$M$244:$M$244)</f>
        <v>0</v>
      </c>
      <c r="N243" s="116"/>
      <c r="O243" s="116"/>
      <c r="P243" s="116"/>
      <c r="Q243" s="116"/>
      <c r="R243" s="103"/>
      <c r="S243" s="116"/>
      <c r="T243" s="145"/>
      <c r="U243" s="7"/>
      <c r="V243" s="76"/>
    </row>
    <row r="244" spans="10:22" s="1" customFormat="1" x14ac:dyDescent="0.15">
      <c r="J244" s="6"/>
      <c r="K244" s="149"/>
      <c r="L244" s="100" t="s">
        <v>98</v>
      </c>
      <c r="M244" s="101">
        <f>SUMIF($G$11:$G$120,$L$244,$E$11:$E$120)</f>
        <v>0</v>
      </c>
      <c r="N244" s="109"/>
      <c r="O244" s="109"/>
      <c r="P244" s="109"/>
      <c r="Q244" s="109"/>
      <c r="R244" s="103"/>
      <c r="S244" s="109"/>
      <c r="T244" s="145"/>
      <c r="U244" s="7"/>
      <c r="V244" s="76"/>
    </row>
    <row r="245" spans="10:22" s="1" customFormat="1" x14ac:dyDescent="0.15">
      <c r="J245" s="6"/>
      <c r="K245"/>
      <c r="L245"/>
      <c r="M245"/>
      <c r="N245"/>
      <c r="O245"/>
      <c r="P245"/>
      <c r="Q245"/>
      <c r="R245"/>
      <c r="S245" s="7"/>
      <c r="T245" s="7"/>
      <c r="U245" s="7"/>
      <c r="V245" s="76"/>
    </row>
    <row r="246" spans="10:22" s="1" customFormat="1" x14ac:dyDescent="0.15">
      <c r="J246" s="6"/>
      <c r="K246"/>
      <c r="L246"/>
      <c r="M246"/>
      <c r="N246"/>
      <c r="O246"/>
      <c r="P246"/>
      <c r="Q246"/>
      <c r="R246"/>
      <c r="S246" s="7"/>
      <c r="T246" s="7"/>
      <c r="U246" s="7"/>
      <c r="V246" s="76"/>
    </row>
    <row r="247" spans="10:22" s="1" customFormat="1" x14ac:dyDescent="0.15">
      <c r="J247" s="6"/>
      <c r="K247"/>
      <c r="L247"/>
      <c r="M247"/>
      <c r="N247"/>
      <c r="O247"/>
      <c r="P247"/>
      <c r="Q247"/>
      <c r="R247"/>
      <c r="S247" s="7"/>
      <c r="T247" s="7"/>
      <c r="U247" s="7"/>
      <c r="V247" s="76"/>
    </row>
    <row r="248" spans="10:22" s="1" customFormat="1" x14ac:dyDescent="0.15">
      <c r="J248" s="6"/>
      <c r="K248"/>
      <c r="L248"/>
      <c r="M248"/>
      <c r="N248"/>
      <c r="O248"/>
      <c r="P248"/>
      <c r="Q248"/>
      <c r="R248"/>
      <c r="S248" s="7"/>
      <c r="T248" s="7"/>
      <c r="U248" s="7"/>
      <c r="V248" s="76"/>
    </row>
    <row r="249" spans="10:22" s="1" customFormat="1" x14ac:dyDescent="0.15">
      <c r="J249" s="6"/>
      <c r="K249"/>
      <c r="L249"/>
      <c r="M249"/>
      <c r="N249"/>
      <c r="O249"/>
      <c r="P249"/>
      <c r="Q249"/>
      <c r="R249"/>
      <c r="S249" s="7"/>
      <c r="T249" s="7"/>
      <c r="U249" s="7"/>
      <c r="V249" s="76"/>
    </row>
    <row r="250" spans="10:22" s="1" customFormat="1" x14ac:dyDescent="0.15">
      <c r="J250" s="6"/>
      <c r="K250"/>
      <c r="L250"/>
      <c r="M250"/>
      <c r="N250"/>
      <c r="O250"/>
      <c r="P250"/>
      <c r="Q250"/>
      <c r="R250"/>
      <c r="S250" s="7"/>
      <c r="T250" s="7"/>
      <c r="U250" s="7"/>
      <c r="V250" s="76"/>
    </row>
    <row r="251" spans="10:22" s="1" customFormat="1" x14ac:dyDescent="0.15">
      <c r="J251" s="6"/>
      <c r="K251"/>
      <c r="L251"/>
      <c r="M251"/>
      <c r="N251"/>
      <c r="O251"/>
      <c r="P251"/>
      <c r="Q251"/>
      <c r="R251"/>
      <c r="S251" s="7"/>
      <c r="T251" s="7"/>
      <c r="U251" s="7"/>
      <c r="V251" s="76"/>
    </row>
    <row r="252" spans="10:22" s="1" customFormat="1" x14ac:dyDescent="0.15">
      <c r="J252" s="6"/>
      <c r="K252"/>
      <c r="L252"/>
      <c r="M252"/>
      <c r="N252"/>
      <c r="O252"/>
      <c r="P252"/>
      <c r="Q252"/>
      <c r="R252"/>
      <c r="S252" s="7"/>
      <c r="T252" s="7"/>
      <c r="U252" s="7"/>
      <c r="V252" s="76"/>
    </row>
    <row r="253" spans="10:22" s="1" customFormat="1" x14ac:dyDescent="0.15">
      <c r="J253" s="6"/>
      <c r="K253"/>
      <c r="L253"/>
      <c r="M253"/>
      <c r="N253"/>
      <c r="O253"/>
      <c r="P253"/>
      <c r="Q253"/>
      <c r="R253"/>
      <c r="S253" s="7"/>
      <c r="T253" s="7"/>
      <c r="U253" s="7"/>
      <c r="V253" s="76"/>
    </row>
    <row r="254" spans="10:22" s="1" customFormat="1" ht="13.5" customHeight="1" x14ac:dyDescent="0.15">
      <c r="J254" s="6"/>
      <c r="K254"/>
      <c r="L254"/>
      <c r="M254"/>
      <c r="N254"/>
      <c r="O254"/>
      <c r="P254"/>
      <c r="Q254"/>
      <c r="R254"/>
      <c r="S254" s="7"/>
      <c r="T254" s="7"/>
      <c r="U254" s="7"/>
      <c r="V254" s="76"/>
    </row>
    <row r="255" spans="10:22" s="1" customFormat="1" ht="13.5" customHeight="1" x14ac:dyDescent="0.15">
      <c r="J255" s="6"/>
      <c r="K255"/>
      <c r="L255"/>
      <c r="M255"/>
      <c r="N255"/>
      <c r="O255"/>
      <c r="P255"/>
      <c r="Q255"/>
      <c r="R255"/>
      <c r="S255" s="7"/>
      <c r="T255" s="7"/>
      <c r="U255" s="7"/>
      <c r="V255" s="71"/>
    </row>
    <row r="256" spans="10:22" s="1" customFormat="1" x14ac:dyDescent="0.15">
      <c r="J256" s="6"/>
      <c r="K256"/>
      <c r="L256"/>
      <c r="M256"/>
      <c r="N256"/>
      <c r="O256"/>
      <c r="P256"/>
      <c r="Q256"/>
      <c r="R256"/>
      <c r="S256" s="78"/>
      <c r="T256" s="7"/>
      <c r="U256" s="7"/>
      <c r="V256" s="71"/>
    </row>
    <row r="257" spans="10:22" s="1" customFormat="1" x14ac:dyDescent="0.15">
      <c r="J257" s="6"/>
      <c r="K257"/>
      <c r="L257"/>
      <c r="M257"/>
      <c r="N257"/>
      <c r="O257"/>
      <c r="P257"/>
      <c r="Q257"/>
      <c r="R257"/>
      <c r="S257" s="78"/>
      <c r="T257" s="7"/>
      <c r="U257" s="7"/>
      <c r="V257" s="71"/>
    </row>
    <row r="258" spans="10:22" s="1" customFormat="1" x14ac:dyDescent="0.15">
      <c r="J258" s="6"/>
      <c r="K258"/>
      <c r="L258"/>
      <c r="M258"/>
      <c r="N258"/>
      <c r="O258"/>
      <c r="P258"/>
      <c r="Q258"/>
      <c r="R258"/>
      <c r="S258" s="78"/>
      <c r="T258" s="7"/>
      <c r="U258" s="7"/>
      <c r="V258" s="71"/>
    </row>
    <row r="259" spans="10:22" s="1" customFormat="1" x14ac:dyDescent="0.15">
      <c r="J259" s="6"/>
      <c r="K259"/>
      <c r="L259"/>
      <c r="M259"/>
      <c r="N259"/>
      <c r="O259"/>
      <c r="P259"/>
      <c r="Q259"/>
      <c r="R259"/>
      <c r="S259" s="78"/>
      <c r="T259" s="7"/>
      <c r="U259" s="7"/>
      <c r="V259" s="71"/>
    </row>
    <row r="260" spans="10:22" s="1" customFormat="1" x14ac:dyDescent="0.15">
      <c r="J260" s="6"/>
      <c r="K260"/>
      <c r="L260"/>
      <c r="M260"/>
      <c r="N260"/>
      <c r="O260"/>
      <c r="P260"/>
      <c r="Q260"/>
      <c r="R260"/>
      <c r="S260" s="78"/>
      <c r="T260" s="7"/>
      <c r="U260" s="7"/>
      <c r="V260" s="71"/>
    </row>
    <row r="261" spans="10:22" s="1" customFormat="1" x14ac:dyDescent="0.15">
      <c r="J261" s="6"/>
      <c r="K261"/>
      <c r="L261"/>
      <c r="M261"/>
      <c r="N261"/>
      <c r="O261"/>
      <c r="P261"/>
      <c r="Q261"/>
      <c r="R261"/>
      <c r="S261" s="78"/>
      <c r="T261" s="7"/>
      <c r="U261" s="7"/>
      <c r="V261" s="71"/>
    </row>
    <row r="262" spans="10:22" s="1" customFormat="1" x14ac:dyDescent="0.15">
      <c r="J262" s="6"/>
      <c r="K262"/>
      <c r="L262"/>
      <c r="M262"/>
      <c r="N262"/>
      <c r="O262"/>
      <c r="P262"/>
      <c r="Q262"/>
      <c r="R262"/>
      <c r="S262" s="78"/>
      <c r="T262" s="7"/>
      <c r="U262" s="7"/>
      <c r="V262" s="71"/>
    </row>
    <row r="263" spans="10:22" s="1" customFormat="1" x14ac:dyDescent="0.15">
      <c r="J263" s="6"/>
      <c r="K263"/>
      <c r="L263"/>
      <c r="M263"/>
      <c r="N263"/>
      <c r="O263"/>
      <c r="P263"/>
      <c r="Q263"/>
      <c r="R263"/>
      <c r="S263" s="78"/>
      <c r="T263" s="7"/>
      <c r="U263" s="7"/>
      <c r="V263" s="71"/>
    </row>
    <row r="264" spans="10:22" s="1" customFormat="1" x14ac:dyDescent="0.15">
      <c r="J264" s="6"/>
      <c r="K264"/>
      <c r="L264"/>
      <c r="M264"/>
      <c r="N264"/>
      <c r="O264"/>
      <c r="P264"/>
      <c r="Q264"/>
      <c r="R264"/>
      <c r="S264" s="78"/>
      <c r="T264" s="7"/>
      <c r="U264" s="7"/>
      <c r="V264" s="71"/>
    </row>
    <row r="265" spans="10:22" s="1" customFormat="1" x14ac:dyDescent="0.15">
      <c r="J265" s="6"/>
      <c r="K265"/>
      <c r="L265"/>
      <c r="M265"/>
      <c r="N265"/>
      <c r="O265"/>
      <c r="P265"/>
      <c r="Q265"/>
      <c r="R265"/>
      <c r="S265" s="78"/>
      <c r="T265" s="7"/>
      <c r="U265" s="7"/>
      <c r="V265" s="71"/>
    </row>
    <row r="266" spans="10:22" s="1" customFormat="1" x14ac:dyDescent="0.15">
      <c r="J266" s="6"/>
      <c r="K266"/>
      <c r="L266"/>
      <c r="M266"/>
      <c r="N266"/>
      <c r="O266"/>
      <c r="P266"/>
      <c r="Q266"/>
      <c r="R266"/>
      <c r="S266" s="78"/>
      <c r="T266" s="7"/>
      <c r="U266" s="7"/>
      <c r="V266" s="71"/>
    </row>
    <row r="267" spans="10:22" s="1" customFormat="1" x14ac:dyDescent="0.15">
      <c r="J267" s="6"/>
      <c r="K267"/>
      <c r="L267"/>
      <c r="M267"/>
      <c r="N267"/>
      <c r="O267"/>
      <c r="P267"/>
      <c r="Q267"/>
      <c r="R267"/>
      <c r="S267" s="78"/>
      <c r="T267" s="7"/>
      <c r="U267" s="7"/>
      <c r="V267" s="71"/>
    </row>
    <row r="268" spans="10:22" s="1" customFormat="1" x14ac:dyDescent="0.15">
      <c r="J268" s="6"/>
      <c r="K268"/>
      <c r="L268"/>
      <c r="M268"/>
      <c r="N268"/>
      <c r="O268"/>
      <c r="P268"/>
      <c r="Q268"/>
      <c r="R268"/>
      <c r="S268" s="78"/>
      <c r="T268" s="7"/>
      <c r="U268" s="7"/>
      <c r="V268" s="71"/>
    </row>
    <row r="269" spans="10:22" s="1" customFormat="1" x14ac:dyDescent="0.15">
      <c r="J269" s="6"/>
      <c r="K269"/>
      <c r="L269"/>
      <c r="M269"/>
      <c r="N269"/>
      <c r="O269"/>
      <c r="P269"/>
      <c r="Q269"/>
      <c r="R269"/>
      <c r="S269" s="78"/>
      <c r="T269" s="7"/>
      <c r="U269" s="7"/>
      <c r="V269" s="71"/>
    </row>
    <row r="270" spans="10:22" s="1" customFormat="1" x14ac:dyDescent="0.15">
      <c r="J270" s="6"/>
      <c r="K270"/>
      <c r="L270"/>
      <c r="M270"/>
      <c r="N270"/>
      <c r="O270"/>
      <c r="P270"/>
      <c r="Q270"/>
      <c r="R270"/>
      <c r="S270" s="78"/>
      <c r="T270" s="7"/>
      <c r="U270" s="7"/>
      <c r="V270" s="71"/>
    </row>
    <row r="271" spans="10:22" s="1" customFormat="1" x14ac:dyDescent="0.15">
      <c r="J271" s="6"/>
      <c r="K271"/>
      <c r="L271"/>
      <c r="M271"/>
      <c r="N271"/>
      <c r="O271"/>
      <c r="P271"/>
      <c r="Q271"/>
      <c r="R271"/>
      <c r="S271" s="78"/>
      <c r="T271" s="7"/>
      <c r="U271" s="7"/>
      <c r="V271" s="71"/>
    </row>
    <row r="272" spans="10:22" s="1" customFormat="1" x14ac:dyDescent="0.15">
      <c r="J272" s="6"/>
      <c r="K272"/>
      <c r="L272"/>
      <c r="M272"/>
      <c r="N272"/>
      <c r="O272"/>
      <c r="P272"/>
      <c r="Q272"/>
      <c r="R272"/>
      <c r="S272" s="78"/>
      <c r="T272" s="7"/>
      <c r="U272" s="7"/>
      <c r="V272" s="71"/>
    </row>
    <row r="273" spans="10:22" s="1" customFormat="1" x14ac:dyDescent="0.15">
      <c r="J273" s="6"/>
      <c r="K273"/>
      <c r="L273"/>
      <c r="M273"/>
      <c r="N273"/>
      <c r="O273"/>
      <c r="P273"/>
      <c r="Q273"/>
      <c r="R273"/>
      <c r="S273" s="78"/>
      <c r="T273" s="7"/>
      <c r="U273" s="7"/>
      <c r="V273" s="71"/>
    </row>
    <row r="274" spans="10:22" s="1" customFormat="1" x14ac:dyDescent="0.15">
      <c r="J274" s="6"/>
      <c r="K274"/>
      <c r="L274"/>
      <c r="M274"/>
      <c r="N274"/>
      <c r="O274"/>
      <c r="P274"/>
      <c r="Q274"/>
      <c r="R274"/>
      <c r="S274" s="78"/>
      <c r="T274" s="7"/>
      <c r="U274" s="7"/>
      <c r="V274" s="71"/>
    </row>
    <row r="275" spans="10:22" s="1" customFormat="1" x14ac:dyDescent="0.15">
      <c r="J275" s="6"/>
      <c r="K275"/>
      <c r="L275"/>
      <c r="M275"/>
      <c r="N275"/>
      <c r="O275"/>
      <c r="P275"/>
      <c r="Q275"/>
      <c r="R275"/>
      <c r="S275" s="78"/>
      <c r="T275" s="7"/>
      <c r="U275" s="7"/>
      <c r="V275" s="71"/>
    </row>
    <row r="276" spans="10:22" s="1" customFormat="1" ht="13.5" customHeight="1" x14ac:dyDescent="0.15">
      <c r="J276" s="6"/>
      <c r="K276"/>
      <c r="L276"/>
      <c r="M276"/>
      <c r="N276"/>
      <c r="O276"/>
      <c r="P276"/>
      <c r="Q276"/>
      <c r="R276"/>
      <c r="S276" s="78"/>
      <c r="T276" s="7"/>
      <c r="U276" s="7"/>
      <c r="V276" s="71"/>
    </row>
    <row r="277" spans="10:22" s="1" customFormat="1" ht="13.5" customHeight="1" x14ac:dyDescent="0.15">
      <c r="J277" s="6"/>
      <c r="K277"/>
      <c r="L277"/>
      <c r="M277"/>
      <c r="N277"/>
      <c r="O277"/>
      <c r="P277"/>
      <c r="Q277"/>
      <c r="R277"/>
      <c r="S277" s="78"/>
      <c r="T277" s="7"/>
      <c r="U277" s="7"/>
      <c r="V277" s="71"/>
    </row>
    <row r="278" spans="10:22" s="1" customFormat="1" x14ac:dyDescent="0.15">
      <c r="J278" s="6"/>
      <c r="K278"/>
      <c r="L278"/>
      <c r="M278"/>
      <c r="N278"/>
      <c r="O278"/>
      <c r="P278"/>
      <c r="Q278"/>
      <c r="R278"/>
      <c r="S278" s="78"/>
      <c r="T278" s="7"/>
      <c r="U278" s="7"/>
      <c r="V278" s="71"/>
    </row>
    <row r="279" spans="10:22" s="1" customFormat="1" x14ac:dyDescent="0.15">
      <c r="J279" s="6"/>
      <c r="K279"/>
      <c r="L279"/>
      <c r="M279"/>
      <c r="N279"/>
      <c r="O279"/>
      <c r="P279"/>
      <c r="Q279"/>
      <c r="R279"/>
      <c r="S279" s="78"/>
      <c r="T279" s="7"/>
      <c r="U279" s="7"/>
      <c r="V279" s="71"/>
    </row>
    <row r="280" spans="10:22" s="1" customFormat="1" x14ac:dyDescent="0.15">
      <c r="J280" s="6"/>
      <c r="K280"/>
      <c r="L280"/>
      <c r="M280"/>
      <c r="N280"/>
      <c r="O280"/>
      <c r="P280"/>
      <c r="Q280"/>
      <c r="R280"/>
      <c r="S280" s="78"/>
      <c r="T280" s="7"/>
      <c r="U280" s="7"/>
      <c r="V280" s="71"/>
    </row>
    <row r="281" spans="10:22" s="1" customFormat="1" ht="13.5" customHeight="1" x14ac:dyDescent="0.15">
      <c r="J281" s="6"/>
      <c r="K281"/>
      <c r="L281"/>
      <c r="M281"/>
      <c r="N281"/>
      <c r="O281"/>
      <c r="P281"/>
      <c r="Q281"/>
      <c r="R281"/>
      <c r="S281" s="78"/>
      <c r="T281" s="7"/>
      <c r="U281" s="7"/>
      <c r="V281" s="71"/>
    </row>
    <row r="282" spans="10:22" s="1" customFormat="1" x14ac:dyDescent="0.15">
      <c r="J282" s="6"/>
      <c r="K282"/>
      <c r="L282"/>
      <c r="M282"/>
      <c r="N282"/>
      <c r="O282"/>
      <c r="P282"/>
      <c r="Q282"/>
      <c r="R282"/>
      <c r="S282" s="78"/>
      <c r="T282" s="7"/>
      <c r="U282" s="7"/>
      <c r="V282" s="71"/>
    </row>
    <row r="283" spans="10:22" s="1" customFormat="1" x14ac:dyDescent="0.15">
      <c r="J283" s="6"/>
      <c r="K283"/>
      <c r="L283"/>
      <c r="M283"/>
      <c r="N283"/>
      <c r="O283"/>
      <c r="P283"/>
      <c r="Q283"/>
      <c r="R283"/>
      <c r="S283" s="78"/>
      <c r="T283" s="7"/>
      <c r="U283" s="7"/>
      <c r="V283" s="71"/>
    </row>
    <row r="284" spans="10:22" s="1" customFormat="1" x14ac:dyDescent="0.15">
      <c r="J284" s="6"/>
      <c r="K284"/>
      <c r="L284"/>
      <c r="M284"/>
      <c r="N284"/>
      <c r="O284"/>
      <c r="P284"/>
      <c r="Q284"/>
      <c r="R284"/>
      <c r="S284" s="78"/>
      <c r="T284" s="7"/>
      <c r="U284" s="7"/>
      <c r="V284" s="71"/>
    </row>
    <row r="285" spans="10:22" s="1" customFormat="1" x14ac:dyDescent="0.15">
      <c r="J285" s="6"/>
      <c r="K285"/>
      <c r="L285"/>
      <c r="M285"/>
      <c r="N285"/>
      <c r="O285"/>
      <c r="P285"/>
      <c r="Q285"/>
      <c r="R285"/>
      <c r="S285" s="78"/>
      <c r="T285" s="7"/>
      <c r="U285" s="7"/>
      <c r="V285" s="71"/>
    </row>
    <row r="286" spans="10:22" s="1" customFormat="1" x14ac:dyDescent="0.15">
      <c r="J286" s="6"/>
      <c r="K286"/>
      <c r="L286"/>
      <c r="M286"/>
      <c r="N286"/>
      <c r="O286"/>
      <c r="P286"/>
      <c r="Q286"/>
      <c r="R286"/>
      <c r="S286" s="78"/>
      <c r="T286" s="7"/>
      <c r="U286" s="7"/>
      <c r="V286" s="71"/>
    </row>
    <row r="287" spans="10:22" s="1" customFormat="1" x14ac:dyDescent="0.15">
      <c r="J287" s="6"/>
      <c r="K287"/>
      <c r="L287"/>
      <c r="M287"/>
      <c r="N287"/>
      <c r="O287"/>
      <c r="P287"/>
      <c r="Q287"/>
      <c r="R287"/>
      <c r="S287" s="78"/>
      <c r="T287" s="7"/>
      <c r="U287" s="7"/>
      <c r="V287" s="71"/>
    </row>
    <row r="288" spans="10:22" s="1" customFormat="1" x14ac:dyDescent="0.15">
      <c r="J288" s="6"/>
      <c r="K288"/>
      <c r="L288"/>
      <c r="M288"/>
      <c r="N288"/>
      <c r="O288"/>
      <c r="P288"/>
      <c r="Q288"/>
      <c r="R288"/>
      <c r="S288" s="78"/>
      <c r="T288" s="7"/>
      <c r="U288" s="7"/>
      <c r="V288" s="71"/>
    </row>
    <row r="289" spans="10:22" s="1" customFormat="1" x14ac:dyDescent="0.15">
      <c r="J289" s="6"/>
      <c r="K289"/>
      <c r="L289"/>
      <c r="M289"/>
      <c r="N289"/>
      <c r="O289"/>
      <c r="P289"/>
      <c r="Q289"/>
      <c r="R289"/>
      <c r="S289" s="78"/>
      <c r="T289" s="7"/>
      <c r="U289" s="7"/>
      <c r="V289" s="71"/>
    </row>
    <row r="290" spans="10:22" s="1" customFormat="1" x14ac:dyDescent="0.15">
      <c r="J290" s="6"/>
      <c r="K290"/>
      <c r="L290"/>
      <c r="M290"/>
      <c r="N290"/>
      <c r="O290"/>
      <c r="P290"/>
      <c r="Q290"/>
      <c r="R290"/>
      <c r="S290" s="78"/>
      <c r="T290" s="7"/>
      <c r="U290" s="7"/>
      <c r="V290" s="71"/>
    </row>
    <row r="291" spans="10:22" s="1" customFormat="1" x14ac:dyDescent="0.15">
      <c r="J291" s="6"/>
      <c r="K291"/>
      <c r="L291"/>
      <c r="M291"/>
      <c r="N291"/>
      <c r="O291"/>
      <c r="P291"/>
      <c r="Q291"/>
      <c r="R291"/>
      <c r="S291" s="78"/>
      <c r="T291" s="7"/>
      <c r="U291" s="7"/>
      <c r="V291" s="71"/>
    </row>
    <row r="292" spans="10:22" s="1" customFormat="1" x14ac:dyDescent="0.15">
      <c r="J292" s="6"/>
      <c r="K292"/>
      <c r="L292"/>
      <c r="M292"/>
      <c r="N292"/>
      <c r="O292"/>
      <c r="P292"/>
      <c r="Q292"/>
      <c r="R292"/>
      <c r="S292" s="78"/>
      <c r="T292" s="7"/>
      <c r="U292" s="7"/>
      <c r="V292" s="71"/>
    </row>
    <row r="293" spans="10:22" s="1" customFormat="1" x14ac:dyDescent="0.15">
      <c r="J293" s="6"/>
      <c r="K293"/>
      <c r="L293"/>
      <c r="M293"/>
      <c r="N293"/>
      <c r="O293"/>
      <c r="P293"/>
      <c r="Q293"/>
      <c r="R293"/>
      <c r="S293" s="78"/>
      <c r="T293" s="7"/>
      <c r="U293" s="7"/>
      <c r="V293" s="71"/>
    </row>
    <row r="294" spans="10:22" s="1" customFormat="1" x14ac:dyDescent="0.15">
      <c r="J294" s="6"/>
      <c r="K294"/>
      <c r="L294"/>
      <c r="M294"/>
      <c r="N294"/>
      <c r="O294"/>
      <c r="P294"/>
      <c r="Q294"/>
      <c r="R294"/>
      <c r="S294" s="78"/>
      <c r="T294" s="7"/>
      <c r="U294" s="7"/>
      <c r="V294" s="71"/>
    </row>
    <row r="295" spans="10:22" s="1" customFormat="1" x14ac:dyDescent="0.15">
      <c r="J295" s="6"/>
      <c r="K295"/>
      <c r="L295"/>
      <c r="M295"/>
      <c r="N295"/>
      <c r="O295"/>
      <c r="P295"/>
      <c r="Q295"/>
      <c r="R295"/>
      <c r="S295" s="78"/>
      <c r="T295" s="7"/>
      <c r="U295" s="7"/>
      <c r="V295" s="71"/>
    </row>
    <row r="296" spans="10:22" s="1" customFormat="1" ht="13.5" customHeight="1" x14ac:dyDescent="0.15">
      <c r="J296" s="6"/>
      <c r="K296"/>
      <c r="L296"/>
      <c r="M296"/>
      <c r="N296"/>
      <c r="O296"/>
      <c r="P296"/>
      <c r="Q296"/>
      <c r="R296"/>
      <c r="S296" s="78"/>
      <c r="T296" s="7"/>
      <c r="U296" s="7"/>
      <c r="V296" s="71"/>
    </row>
    <row r="297" spans="10:22" s="1" customFormat="1" x14ac:dyDescent="0.15">
      <c r="J297" s="6"/>
      <c r="K297"/>
      <c r="L297"/>
      <c r="M297"/>
      <c r="N297"/>
      <c r="O297"/>
      <c r="P297"/>
      <c r="Q297"/>
      <c r="R297"/>
      <c r="S297" s="78"/>
      <c r="T297" s="7"/>
      <c r="U297" s="7"/>
      <c r="V297" s="71"/>
    </row>
    <row r="298" spans="10:22" s="1" customFormat="1" x14ac:dyDescent="0.15">
      <c r="J298" s="6"/>
      <c r="K298"/>
      <c r="L298"/>
      <c r="M298"/>
      <c r="N298"/>
      <c r="O298"/>
      <c r="P298"/>
      <c r="Q298"/>
      <c r="R298"/>
      <c r="S298" s="78"/>
      <c r="T298" s="7"/>
      <c r="U298" s="7"/>
      <c r="V298" s="71"/>
    </row>
    <row r="299" spans="10:22" s="1" customFormat="1" ht="13.5" customHeight="1" x14ac:dyDescent="0.15">
      <c r="J299" s="6"/>
      <c r="K299"/>
      <c r="L299"/>
      <c r="M299"/>
      <c r="N299"/>
      <c r="O299"/>
      <c r="P299"/>
      <c r="Q299"/>
      <c r="R299"/>
      <c r="S299" s="78"/>
      <c r="T299" s="7"/>
      <c r="U299" s="7"/>
      <c r="V299" s="71"/>
    </row>
    <row r="300" spans="10:22" s="1" customFormat="1" ht="13.5" customHeight="1" x14ac:dyDescent="0.15">
      <c r="J300" s="6"/>
      <c r="K300"/>
      <c r="L300"/>
      <c r="M300"/>
      <c r="N300"/>
      <c r="O300"/>
      <c r="P300"/>
      <c r="Q300"/>
      <c r="R300"/>
      <c r="S300" s="78"/>
      <c r="T300" s="7"/>
      <c r="U300" s="7"/>
      <c r="V300" s="71"/>
    </row>
    <row r="301" spans="10:22" s="1" customFormat="1" x14ac:dyDescent="0.15">
      <c r="J301" s="6"/>
      <c r="K301"/>
      <c r="L301"/>
      <c r="M301"/>
      <c r="N301"/>
      <c r="O301"/>
      <c r="P301"/>
      <c r="Q301"/>
      <c r="R301"/>
      <c r="S301" s="78"/>
      <c r="T301" s="7"/>
      <c r="U301" s="7"/>
      <c r="V301" s="71"/>
    </row>
    <row r="302" spans="10:22" s="1" customFormat="1" ht="13.5" customHeight="1" x14ac:dyDescent="0.15">
      <c r="J302" s="6"/>
      <c r="K302"/>
      <c r="L302"/>
      <c r="M302"/>
      <c r="N302"/>
      <c r="O302"/>
      <c r="P302"/>
      <c r="Q302"/>
      <c r="R302"/>
      <c r="S302" s="78"/>
      <c r="T302" s="7"/>
      <c r="U302" s="7"/>
      <c r="V302" s="71"/>
    </row>
    <row r="303" spans="10:22" s="1" customFormat="1" x14ac:dyDescent="0.15">
      <c r="J303" s="6"/>
      <c r="K303"/>
      <c r="L303"/>
      <c r="M303"/>
      <c r="N303"/>
      <c r="O303"/>
      <c r="P303"/>
      <c r="Q303"/>
      <c r="R303"/>
      <c r="S303" s="78"/>
      <c r="T303" s="78"/>
      <c r="U303" s="78"/>
      <c r="V303" s="78"/>
    </row>
    <row r="304" spans="10:22" s="1" customFormat="1" x14ac:dyDescent="0.15">
      <c r="J304" s="6"/>
      <c r="K304"/>
      <c r="L304"/>
      <c r="M304"/>
      <c r="N304"/>
      <c r="O304"/>
      <c r="P304"/>
      <c r="Q304"/>
      <c r="R304"/>
      <c r="S304" s="78"/>
      <c r="T304" s="7"/>
      <c r="U304" s="7"/>
      <c r="V304" s="7"/>
    </row>
    <row r="305" spans="10:22" s="1" customFormat="1" x14ac:dyDescent="0.15">
      <c r="J305" s="6"/>
      <c r="K305"/>
      <c r="L305"/>
      <c r="M305"/>
      <c r="N305"/>
      <c r="O305"/>
      <c r="P305"/>
      <c r="Q305"/>
      <c r="R305"/>
      <c r="S305" s="7"/>
      <c r="T305" s="7"/>
      <c r="U305" s="7"/>
      <c r="V305" s="7"/>
    </row>
    <row r="306" spans="10:22" s="1" customFormat="1" x14ac:dyDescent="0.15">
      <c r="J306" s="6"/>
      <c r="K306"/>
      <c r="L306"/>
      <c r="M306"/>
      <c r="N306"/>
      <c r="O306"/>
      <c r="P306"/>
      <c r="Q306"/>
      <c r="R306"/>
      <c r="S306" s="7"/>
      <c r="T306" s="7"/>
      <c r="U306" s="7"/>
      <c r="V306" s="7"/>
    </row>
    <row r="307" spans="10:22" s="1" customFormat="1" x14ac:dyDescent="0.15">
      <c r="J307" s="6"/>
      <c r="K307"/>
      <c r="L307"/>
      <c r="M307"/>
      <c r="N307"/>
      <c r="O307"/>
      <c r="P307"/>
      <c r="Q307"/>
      <c r="R307"/>
      <c r="S307" s="7"/>
      <c r="T307" s="7"/>
      <c r="U307" s="7"/>
      <c r="V307" s="7"/>
    </row>
    <row r="308" spans="10:22" s="1" customFormat="1" x14ac:dyDescent="0.15">
      <c r="J308" s="6"/>
      <c r="K308"/>
      <c r="L308"/>
      <c r="M308"/>
      <c r="N308"/>
      <c r="O308"/>
      <c r="P308"/>
      <c r="Q308"/>
      <c r="R308"/>
      <c r="S308" s="7"/>
      <c r="T308" s="7"/>
      <c r="U308" s="7"/>
      <c r="V308" s="7"/>
    </row>
    <row r="309" spans="10:22" s="1" customFormat="1" x14ac:dyDescent="0.15">
      <c r="J309" s="6"/>
      <c r="K309"/>
      <c r="L309"/>
      <c r="M309"/>
      <c r="N309"/>
      <c r="O309"/>
      <c r="P309"/>
      <c r="Q309"/>
      <c r="R309"/>
      <c r="S309" s="7"/>
      <c r="T309" s="7"/>
      <c r="U309" s="7"/>
      <c r="V309" s="7"/>
    </row>
    <row r="310" spans="10:22" s="1" customFormat="1" x14ac:dyDescent="0.15">
      <c r="J310" s="6"/>
      <c r="K310"/>
      <c r="L310"/>
      <c r="M310"/>
      <c r="N310"/>
      <c r="O310"/>
      <c r="P310"/>
      <c r="Q310"/>
      <c r="R310"/>
      <c r="S310" s="7"/>
      <c r="T310" s="7"/>
      <c r="U310" s="7"/>
      <c r="V310" s="7"/>
    </row>
    <row r="311" spans="10:22" s="1" customFormat="1" x14ac:dyDescent="0.15">
      <c r="J311" s="6"/>
      <c r="K311"/>
      <c r="L311"/>
      <c r="M311"/>
      <c r="N311"/>
      <c r="O311"/>
      <c r="P311"/>
      <c r="Q311"/>
      <c r="R311"/>
      <c r="S311" s="7"/>
      <c r="T311" s="7"/>
      <c r="U311" s="7"/>
      <c r="V311" s="7"/>
    </row>
    <row r="312" spans="10:22" s="1" customFormat="1" x14ac:dyDescent="0.15">
      <c r="J312" s="6"/>
      <c r="K312"/>
      <c r="L312"/>
      <c r="M312"/>
      <c r="N312"/>
      <c r="O312"/>
      <c r="P312"/>
      <c r="Q312"/>
      <c r="R312"/>
      <c r="S312" s="7"/>
      <c r="T312" s="7"/>
      <c r="U312" s="7"/>
      <c r="V312" s="7"/>
    </row>
    <row r="313" spans="10:22" s="1" customFormat="1" x14ac:dyDescent="0.15">
      <c r="J313" s="6"/>
      <c r="K313"/>
      <c r="L313"/>
      <c r="M313"/>
      <c r="N313"/>
      <c r="O313"/>
      <c r="P313"/>
      <c r="Q313"/>
      <c r="R313"/>
      <c r="S313" s="7"/>
      <c r="T313" s="7"/>
      <c r="U313" s="7"/>
      <c r="V313" s="7"/>
    </row>
    <row r="314" spans="10:22" s="1" customFormat="1" x14ac:dyDescent="0.15">
      <c r="J314" s="6"/>
      <c r="K314"/>
      <c r="L314"/>
      <c r="M314"/>
      <c r="N314"/>
      <c r="O314"/>
      <c r="P314"/>
      <c r="Q314"/>
      <c r="R314"/>
      <c r="S314" s="7"/>
      <c r="T314" s="7"/>
      <c r="U314" s="7"/>
      <c r="V314" s="7"/>
    </row>
    <row r="315" spans="10:22" s="1" customFormat="1" x14ac:dyDescent="0.15">
      <c r="J315" s="6"/>
      <c r="K315"/>
      <c r="L315"/>
      <c r="M315"/>
      <c r="N315"/>
      <c r="O315"/>
      <c r="P315"/>
      <c r="Q315"/>
      <c r="R315"/>
      <c r="S315" s="7"/>
      <c r="T315" s="7"/>
      <c r="U315" s="7"/>
      <c r="V315" s="7"/>
    </row>
    <row r="316" spans="10:22" s="1" customFormat="1" x14ac:dyDescent="0.15">
      <c r="J316" s="6"/>
      <c r="K316"/>
      <c r="L316"/>
      <c r="M316"/>
      <c r="N316"/>
      <c r="O316"/>
      <c r="P316"/>
      <c r="Q316"/>
      <c r="R316"/>
      <c r="S316" s="7"/>
      <c r="T316" s="7"/>
      <c r="U316" s="7"/>
      <c r="V316" s="7"/>
    </row>
    <row r="317" spans="10:22" s="1" customFormat="1" ht="13.5" customHeight="1" x14ac:dyDescent="0.15">
      <c r="J317" s="6"/>
      <c r="K317"/>
      <c r="L317"/>
      <c r="M317"/>
      <c r="N317"/>
      <c r="O317"/>
      <c r="P317"/>
      <c r="Q317"/>
      <c r="R317"/>
      <c r="S317" s="7"/>
      <c r="T317" s="7"/>
      <c r="U317" s="7"/>
      <c r="V317" s="7"/>
    </row>
    <row r="318" spans="10:22" s="1" customFormat="1" x14ac:dyDescent="0.15">
      <c r="J318" s="6"/>
      <c r="K318"/>
      <c r="L318"/>
      <c r="M318"/>
      <c r="N318"/>
      <c r="O318"/>
      <c r="P318"/>
      <c r="Q318"/>
      <c r="R318"/>
      <c r="S318" s="7"/>
      <c r="T318" s="7"/>
      <c r="U318" s="7"/>
      <c r="V318" s="7"/>
    </row>
    <row r="319" spans="10:22" s="1" customFormat="1" x14ac:dyDescent="0.15">
      <c r="J319" s="6"/>
      <c r="K319"/>
      <c r="L319"/>
      <c r="M319"/>
      <c r="N319"/>
      <c r="O319"/>
      <c r="P319"/>
      <c r="Q319"/>
      <c r="R319"/>
      <c r="S319" s="7"/>
      <c r="T319" s="7"/>
      <c r="U319" s="7"/>
      <c r="V319" s="7"/>
    </row>
    <row r="320" spans="10:22" s="1" customFormat="1" x14ac:dyDescent="0.15">
      <c r="J320" s="6"/>
      <c r="K320"/>
      <c r="L320"/>
      <c r="M320"/>
      <c r="N320"/>
      <c r="O320"/>
      <c r="P320"/>
      <c r="Q320"/>
      <c r="R320"/>
      <c r="S320" s="7"/>
      <c r="T320" s="7"/>
      <c r="U320" s="7"/>
      <c r="V320" s="7"/>
    </row>
    <row r="321" spans="10:22" s="1" customFormat="1" ht="13.5" customHeight="1" x14ac:dyDescent="0.15">
      <c r="J321" s="6"/>
      <c r="K321"/>
      <c r="L321"/>
      <c r="M321"/>
      <c r="N321"/>
      <c r="O321"/>
      <c r="P321"/>
      <c r="Q321"/>
      <c r="R321"/>
      <c r="S321" s="7"/>
      <c r="T321" s="7"/>
      <c r="U321" s="7"/>
      <c r="V321" s="7"/>
    </row>
    <row r="322" spans="10:22" s="1" customFormat="1" ht="13.5" customHeight="1" x14ac:dyDescent="0.15">
      <c r="J322" s="6"/>
      <c r="K322"/>
      <c r="L322"/>
      <c r="M322"/>
      <c r="N322"/>
      <c r="O322"/>
      <c r="P322"/>
      <c r="Q322"/>
      <c r="R322"/>
      <c r="S322" s="7"/>
      <c r="T322" s="7"/>
      <c r="U322" s="7"/>
      <c r="V322" s="7"/>
    </row>
    <row r="323" spans="10:22" s="1" customFormat="1" x14ac:dyDescent="0.15">
      <c r="J323" s="6"/>
      <c r="K323"/>
      <c r="L323"/>
      <c r="M323"/>
      <c r="N323"/>
      <c r="O323"/>
      <c r="P323"/>
      <c r="Q323"/>
      <c r="R323"/>
      <c r="S323" s="7"/>
      <c r="T323" s="7"/>
      <c r="U323" s="7"/>
      <c r="V323" s="7"/>
    </row>
    <row r="324" spans="10:22" s="1" customFormat="1" x14ac:dyDescent="0.15">
      <c r="J324" s="7"/>
      <c r="K324"/>
      <c r="L324"/>
      <c r="M324"/>
      <c r="N324"/>
      <c r="O324"/>
      <c r="P324"/>
      <c r="Q324"/>
      <c r="R324" s="7"/>
      <c r="S324" s="7"/>
      <c r="T324" s="7"/>
      <c r="U324" s="7"/>
    </row>
    <row r="325" spans="10:22" s="1" customFormat="1" x14ac:dyDescent="0.15">
      <c r="J325" s="7"/>
      <c r="K325"/>
      <c r="L325"/>
      <c r="M325"/>
      <c r="N325"/>
      <c r="O325"/>
      <c r="P325"/>
      <c r="Q325"/>
      <c r="R325" s="7"/>
      <c r="S325" s="7"/>
      <c r="T325" s="7"/>
      <c r="U325" s="7"/>
    </row>
    <row r="326" spans="10:22" s="1" customFormat="1" x14ac:dyDescent="0.15">
      <c r="J326" s="7"/>
      <c r="K326" s="2"/>
      <c r="M326" s="3"/>
      <c r="N326" s="8"/>
      <c r="O326" s="8"/>
      <c r="P326" s="8"/>
      <c r="Q326" s="8"/>
      <c r="R326" s="7"/>
      <c r="S326" s="7"/>
      <c r="T326" s="7"/>
      <c r="U326" s="7"/>
    </row>
    <row r="327" spans="10:22" s="1" customFormat="1" x14ac:dyDescent="0.15">
      <c r="J327" s="7"/>
      <c r="K327" s="2"/>
      <c r="M327" s="3"/>
      <c r="N327" s="8"/>
      <c r="O327" s="8"/>
      <c r="P327" s="8"/>
      <c r="Q327" s="8"/>
      <c r="R327" s="7"/>
      <c r="S327" s="7"/>
      <c r="T327" s="7"/>
      <c r="U327" s="7"/>
    </row>
    <row r="328" spans="10:22" s="1" customFormat="1" x14ac:dyDescent="0.15">
      <c r="J328" s="7"/>
      <c r="K328" s="2"/>
      <c r="M328" s="3"/>
      <c r="N328" s="8"/>
      <c r="O328" s="8"/>
      <c r="P328" s="8"/>
      <c r="Q328" s="8"/>
      <c r="R328" s="7"/>
      <c r="S328" s="7"/>
      <c r="T328" s="7"/>
      <c r="U328" s="7"/>
    </row>
    <row r="329" spans="10:22" s="1" customFormat="1" x14ac:dyDescent="0.15">
      <c r="J329" s="7"/>
      <c r="K329" s="2"/>
      <c r="M329" s="3"/>
      <c r="N329" s="8"/>
      <c r="O329" s="8"/>
      <c r="P329" s="8"/>
      <c r="Q329" s="8"/>
      <c r="R329" s="7"/>
      <c r="S329" s="7"/>
      <c r="T329" s="7"/>
      <c r="U329" s="7"/>
    </row>
    <row r="330" spans="10:22" s="1" customFormat="1" x14ac:dyDescent="0.15">
      <c r="J330" s="7"/>
      <c r="K330" s="2"/>
      <c r="M330" s="3"/>
      <c r="N330" s="8"/>
      <c r="O330" s="8"/>
      <c r="P330" s="8"/>
      <c r="Q330" s="8"/>
      <c r="R330" s="7"/>
      <c r="S330" s="7"/>
      <c r="T330" s="7"/>
      <c r="U330" s="7"/>
    </row>
    <row r="331" spans="10:22" s="1" customFormat="1" x14ac:dyDescent="0.15">
      <c r="J331" s="7"/>
      <c r="K331" s="2"/>
      <c r="M331" s="3"/>
      <c r="N331" s="8"/>
      <c r="O331" s="8"/>
      <c r="P331" s="8"/>
      <c r="Q331" s="8"/>
      <c r="R331" s="7"/>
      <c r="S331" s="7"/>
      <c r="T331" s="7"/>
      <c r="U331" s="7"/>
    </row>
    <row r="332" spans="10:22" s="1" customFormat="1" x14ac:dyDescent="0.15">
      <c r="J332" s="7"/>
      <c r="K332" s="2"/>
      <c r="M332" s="3"/>
      <c r="N332" s="8"/>
      <c r="O332" s="8"/>
      <c r="P332" s="8"/>
      <c r="Q332" s="8"/>
      <c r="R332" s="7"/>
      <c r="S332" s="7"/>
      <c r="T332" s="7"/>
      <c r="U332" s="7"/>
    </row>
    <row r="333" spans="10:22" s="1" customFormat="1" x14ac:dyDescent="0.15">
      <c r="J333" s="7"/>
      <c r="K333" s="2"/>
      <c r="M333" s="3"/>
      <c r="N333" s="8"/>
      <c r="O333" s="8"/>
      <c r="P333" s="8"/>
      <c r="Q333" s="8"/>
      <c r="R333" s="7"/>
      <c r="S333" s="7"/>
      <c r="T333" s="7"/>
      <c r="U333" s="7"/>
    </row>
    <row r="334" spans="10:22" s="1" customFormat="1" x14ac:dyDescent="0.15">
      <c r="J334" s="7"/>
      <c r="K334" s="2"/>
      <c r="M334" s="3"/>
      <c r="N334" s="8"/>
      <c r="O334" s="8"/>
      <c r="P334" s="8"/>
      <c r="Q334" s="8"/>
      <c r="R334" s="7"/>
      <c r="S334" s="7"/>
      <c r="T334" s="7"/>
      <c r="U334" s="7"/>
    </row>
    <row r="335" spans="10:22" s="1" customFormat="1" x14ac:dyDescent="0.15">
      <c r="J335" s="7"/>
      <c r="K335" s="2"/>
      <c r="M335" s="3"/>
      <c r="N335" s="8"/>
      <c r="O335" s="8"/>
      <c r="P335" s="8"/>
      <c r="Q335" s="8"/>
      <c r="R335" s="7"/>
      <c r="S335" s="7"/>
      <c r="T335" s="7"/>
      <c r="U335" s="7"/>
    </row>
    <row r="336" spans="10:22" s="1" customFormat="1" x14ac:dyDescent="0.15">
      <c r="J336" s="7"/>
      <c r="K336" s="2"/>
      <c r="M336" s="3"/>
      <c r="N336" s="8"/>
      <c r="O336" s="8"/>
      <c r="P336" s="8"/>
      <c r="Q336" s="8"/>
      <c r="R336" s="7"/>
      <c r="S336" s="7"/>
      <c r="T336" s="7"/>
      <c r="U336" s="7"/>
    </row>
    <row r="337" spans="18:21" s="1" customFormat="1" x14ac:dyDescent="0.15">
      <c r="R337" s="7"/>
      <c r="S337" s="7"/>
      <c r="T337" s="7"/>
      <c r="U337" s="7"/>
    </row>
    <row r="338" spans="18:21" s="1" customFormat="1" x14ac:dyDescent="0.15">
      <c r="R338" s="7"/>
      <c r="S338" s="7"/>
      <c r="T338" s="7"/>
      <c r="U338" s="7"/>
    </row>
    <row r="339" spans="18:21" s="1" customFormat="1" x14ac:dyDescent="0.15">
      <c r="R339" s="7"/>
      <c r="S339" s="7"/>
      <c r="T339" s="7"/>
      <c r="U339" s="7"/>
    </row>
    <row r="340" spans="18:21" s="1" customFormat="1" x14ac:dyDescent="0.15">
      <c r="R340" s="7"/>
      <c r="S340" s="7"/>
      <c r="T340" s="7"/>
      <c r="U340" s="7"/>
    </row>
    <row r="341" spans="18:21" s="1" customFormat="1" x14ac:dyDescent="0.15">
      <c r="R341" s="7"/>
      <c r="S341" s="7"/>
      <c r="T341" s="7"/>
      <c r="U341" s="7"/>
    </row>
    <row r="342" spans="18:21" s="1" customFormat="1" x14ac:dyDescent="0.15">
      <c r="R342" s="7"/>
      <c r="S342" s="7"/>
      <c r="T342" s="7"/>
      <c r="U342" s="7"/>
    </row>
    <row r="343" spans="18:21" s="1" customFormat="1" x14ac:dyDescent="0.15">
      <c r="R343" s="7"/>
      <c r="S343" s="7"/>
      <c r="T343" s="7"/>
      <c r="U343" s="7"/>
    </row>
    <row r="344" spans="18:21" s="1" customFormat="1" x14ac:dyDescent="0.15">
      <c r="R344" s="7"/>
      <c r="S344" s="7"/>
      <c r="T344" s="7"/>
      <c r="U344" s="7"/>
    </row>
    <row r="345" spans="18:21" s="1" customFormat="1" x14ac:dyDescent="0.15">
      <c r="R345" s="7"/>
      <c r="S345" s="7"/>
      <c r="T345" s="7"/>
      <c r="U345" s="7"/>
    </row>
    <row r="346" spans="18:21" s="1" customFormat="1" x14ac:dyDescent="0.15">
      <c r="R346" s="7"/>
      <c r="S346" s="7"/>
      <c r="T346" s="7"/>
      <c r="U346" s="7"/>
    </row>
    <row r="347" spans="18:21" s="1" customFormat="1" x14ac:dyDescent="0.15">
      <c r="R347" s="7"/>
      <c r="S347" s="7"/>
      <c r="T347" s="7"/>
      <c r="U347" s="7"/>
    </row>
    <row r="348" spans="18:21" s="1" customFormat="1" x14ac:dyDescent="0.15">
      <c r="R348" s="7"/>
      <c r="S348" s="7"/>
      <c r="T348" s="7"/>
      <c r="U348" s="7"/>
    </row>
    <row r="349" spans="18:21" s="1" customFormat="1" x14ac:dyDescent="0.15">
      <c r="R349" s="7"/>
      <c r="S349" s="7"/>
      <c r="T349" s="7"/>
      <c r="U349" s="7"/>
    </row>
    <row r="350" spans="18:21" s="1" customFormat="1" x14ac:dyDescent="0.15">
      <c r="R350" s="7"/>
      <c r="S350" s="7"/>
      <c r="T350" s="7"/>
      <c r="U350" s="7"/>
    </row>
    <row r="351" spans="18:21" s="1" customFormat="1" x14ac:dyDescent="0.15">
      <c r="R351" s="7"/>
      <c r="S351" s="7"/>
      <c r="T351" s="7"/>
      <c r="U351" s="7"/>
    </row>
    <row r="352" spans="18:21" s="1" customFormat="1" x14ac:dyDescent="0.15">
      <c r="R352" s="7"/>
      <c r="S352" s="7"/>
      <c r="T352" s="7"/>
      <c r="U352" s="7"/>
    </row>
    <row r="353" spans="18:21" s="1" customFormat="1" x14ac:dyDescent="0.15">
      <c r="R353" s="7"/>
      <c r="S353" s="7"/>
      <c r="T353" s="7"/>
      <c r="U353" s="7"/>
    </row>
    <row r="354" spans="18:21" s="1" customFormat="1" x14ac:dyDescent="0.15">
      <c r="R354" s="7"/>
      <c r="S354" s="7"/>
      <c r="T354" s="7"/>
      <c r="U354" s="7"/>
    </row>
    <row r="355" spans="18:21" s="1" customFormat="1" x14ac:dyDescent="0.15">
      <c r="R355" s="7"/>
      <c r="S355" s="7"/>
      <c r="T355" s="7"/>
      <c r="U355" s="7"/>
    </row>
    <row r="356" spans="18:21" s="1" customFormat="1" x14ac:dyDescent="0.15">
      <c r="R356" s="7"/>
      <c r="S356" s="7"/>
      <c r="T356" s="7"/>
      <c r="U356" s="7"/>
    </row>
    <row r="357" spans="18:21" s="1" customFormat="1" x14ac:dyDescent="0.15">
      <c r="R357" s="7"/>
      <c r="S357" s="7"/>
      <c r="T357" s="7"/>
      <c r="U357" s="7"/>
    </row>
    <row r="358" spans="18:21" s="1" customFormat="1" x14ac:dyDescent="0.15">
      <c r="R358" s="7"/>
      <c r="S358" s="7"/>
      <c r="T358" s="7"/>
      <c r="U358" s="7"/>
    </row>
    <row r="359" spans="18:21" s="1" customFormat="1" x14ac:dyDescent="0.15">
      <c r="R359" s="7"/>
      <c r="S359" s="7"/>
      <c r="T359" s="7"/>
      <c r="U359" s="7"/>
    </row>
    <row r="360" spans="18:21" s="1" customFormat="1" x14ac:dyDescent="0.15">
      <c r="R360" s="7"/>
      <c r="S360" s="7"/>
      <c r="T360" s="7"/>
      <c r="U360" s="7"/>
    </row>
    <row r="361" spans="18:21" s="1" customFormat="1" x14ac:dyDescent="0.15">
      <c r="R361" s="7"/>
      <c r="S361" s="7"/>
      <c r="T361" s="7"/>
      <c r="U361" s="7"/>
    </row>
    <row r="362" spans="18:21" s="1" customFormat="1" x14ac:dyDescent="0.15">
      <c r="R362" s="7"/>
      <c r="S362" s="7"/>
      <c r="T362" s="7"/>
      <c r="U362" s="7"/>
    </row>
    <row r="363" spans="18:21" s="1" customFormat="1" x14ac:dyDescent="0.15">
      <c r="R363" s="7"/>
      <c r="S363" s="7"/>
      <c r="T363" s="7"/>
      <c r="U363" s="7"/>
    </row>
    <row r="364" spans="18:21" s="1" customFormat="1" x14ac:dyDescent="0.15">
      <c r="R364" s="7"/>
      <c r="S364" s="7"/>
      <c r="T364" s="7"/>
      <c r="U364" s="7"/>
    </row>
    <row r="365" spans="18:21" s="1" customFormat="1" x14ac:dyDescent="0.15">
      <c r="R365" s="7"/>
      <c r="S365" s="7"/>
      <c r="T365" s="7"/>
      <c r="U365" s="7"/>
    </row>
    <row r="366" spans="18:21" s="1" customFormat="1" x14ac:dyDescent="0.15">
      <c r="R366" s="7"/>
      <c r="S366" s="7"/>
      <c r="T366" s="7"/>
      <c r="U366" s="7"/>
    </row>
    <row r="367" spans="18:21" s="1" customFormat="1" x14ac:dyDescent="0.15">
      <c r="R367" s="7"/>
      <c r="S367" s="7"/>
      <c r="T367" s="7"/>
      <c r="U367" s="7"/>
    </row>
    <row r="368" spans="18:21" s="1" customFormat="1" x14ac:dyDescent="0.15">
      <c r="R368" s="7"/>
      <c r="S368" s="7"/>
      <c r="T368" s="7"/>
      <c r="U368" s="7"/>
    </row>
    <row r="369" spans="18:21" s="1" customFormat="1" x14ac:dyDescent="0.15">
      <c r="R369" s="7"/>
      <c r="S369" s="7"/>
      <c r="T369" s="7"/>
      <c r="U369" s="7"/>
    </row>
    <row r="370" spans="18:21" s="1" customFormat="1" x14ac:dyDescent="0.15">
      <c r="R370" s="7"/>
      <c r="S370" s="7"/>
      <c r="T370" s="7"/>
      <c r="U370" s="7"/>
    </row>
    <row r="371" spans="18:21" s="1" customFormat="1" x14ac:dyDescent="0.15">
      <c r="R371" s="7"/>
      <c r="S371" s="7"/>
      <c r="T371" s="7"/>
      <c r="U371" s="7"/>
    </row>
    <row r="372" spans="18:21" s="1" customFormat="1" x14ac:dyDescent="0.15">
      <c r="R372" s="7"/>
      <c r="S372" s="7"/>
      <c r="T372" s="7"/>
      <c r="U372" s="7"/>
    </row>
    <row r="373" spans="18:21" s="1" customFormat="1" x14ac:dyDescent="0.15">
      <c r="R373" s="7"/>
      <c r="S373" s="7"/>
      <c r="T373" s="7"/>
      <c r="U373" s="7"/>
    </row>
    <row r="374" spans="18:21" s="1" customFormat="1" x14ac:dyDescent="0.15">
      <c r="R374" s="7"/>
      <c r="S374" s="7"/>
      <c r="T374" s="7"/>
      <c r="U374" s="7"/>
    </row>
    <row r="375" spans="18:21" s="1" customFormat="1" x14ac:dyDescent="0.15">
      <c r="R375" s="7"/>
      <c r="S375" s="7"/>
      <c r="T375" s="7"/>
      <c r="U375" s="7"/>
    </row>
    <row r="376" spans="18:21" s="1" customFormat="1" x14ac:dyDescent="0.15">
      <c r="R376" s="7"/>
      <c r="S376" s="7"/>
      <c r="T376" s="7"/>
      <c r="U376" s="7"/>
    </row>
    <row r="377" spans="18:21" s="1" customFormat="1" x14ac:dyDescent="0.15">
      <c r="R377" s="7"/>
      <c r="S377" s="7"/>
      <c r="T377" s="7"/>
      <c r="U377" s="7"/>
    </row>
    <row r="378" spans="18:21" s="1" customFormat="1" x14ac:dyDescent="0.15">
      <c r="R378" s="7"/>
      <c r="S378" s="7"/>
      <c r="T378" s="7"/>
      <c r="U378" s="7"/>
    </row>
    <row r="379" spans="18:21" s="1" customFormat="1" x14ac:dyDescent="0.15">
      <c r="R379" s="7"/>
      <c r="S379" s="7"/>
      <c r="T379" s="7"/>
      <c r="U379" s="7"/>
    </row>
    <row r="380" spans="18:21" s="1" customFormat="1" x14ac:dyDescent="0.15">
      <c r="R380" s="7"/>
      <c r="S380" s="7"/>
      <c r="T380" s="7"/>
      <c r="U380" s="7"/>
    </row>
    <row r="381" spans="18:21" s="1" customFormat="1" x14ac:dyDescent="0.15">
      <c r="R381" s="7"/>
      <c r="S381" s="7"/>
      <c r="T381" s="7"/>
      <c r="U381" s="7"/>
    </row>
    <row r="382" spans="18:21" s="1" customFormat="1" x14ac:dyDescent="0.15">
      <c r="R382" s="7"/>
      <c r="S382" s="7"/>
      <c r="T382" s="7"/>
      <c r="U382" s="7"/>
    </row>
    <row r="383" spans="18:21" s="1" customFormat="1" x14ac:dyDescent="0.15">
      <c r="R383" s="7"/>
      <c r="S383" s="7"/>
      <c r="T383" s="7"/>
      <c r="U383" s="7"/>
    </row>
    <row r="384" spans="18:21" s="1" customFormat="1" x14ac:dyDescent="0.15">
      <c r="R384" s="7"/>
      <c r="S384" s="7"/>
      <c r="T384" s="7"/>
      <c r="U384" s="7"/>
    </row>
    <row r="385" spans="18:21" s="1" customFormat="1" x14ac:dyDescent="0.15">
      <c r="R385" s="7"/>
      <c r="S385" s="7"/>
      <c r="T385" s="7"/>
      <c r="U385" s="7"/>
    </row>
    <row r="386" spans="18:21" s="1" customFormat="1" x14ac:dyDescent="0.15">
      <c r="R386" s="7"/>
      <c r="S386" s="7"/>
      <c r="T386" s="7"/>
      <c r="U386" s="7"/>
    </row>
    <row r="387" spans="18:21" s="1" customFormat="1" x14ac:dyDescent="0.15">
      <c r="R387" s="7"/>
      <c r="S387" s="7"/>
      <c r="T387" s="7"/>
      <c r="U387" s="7"/>
    </row>
    <row r="388" spans="18:21" s="1" customFormat="1" x14ac:dyDescent="0.15">
      <c r="R388" s="7"/>
      <c r="S388" s="7"/>
      <c r="T388" s="7"/>
      <c r="U388" s="7"/>
    </row>
    <row r="389" spans="18:21" s="1" customFormat="1" x14ac:dyDescent="0.15">
      <c r="R389" s="7"/>
      <c r="S389" s="7"/>
      <c r="T389" s="7"/>
      <c r="U389" s="7"/>
    </row>
    <row r="390" spans="18:21" s="1" customFormat="1" x14ac:dyDescent="0.15">
      <c r="R390" s="7"/>
      <c r="S390" s="7"/>
      <c r="T390" s="7"/>
      <c r="U390" s="7"/>
    </row>
    <row r="391" spans="18:21" s="1" customFormat="1" x14ac:dyDescent="0.15">
      <c r="R391" s="7"/>
      <c r="S391" s="7"/>
      <c r="T391" s="7"/>
      <c r="U391" s="7"/>
    </row>
    <row r="392" spans="18:21" s="1" customFormat="1" x14ac:dyDescent="0.15">
      <c r="R392" s="7"/>
      <c r="S392" s="7"/>
      <c r="T392" s="7"/>
      <c r="U392" s="7"/>
    </row>
    <row r="393" spans="18:21" s="1" customFormat="1" x14ac:dyDescent="0.15">
      <c r="R393" s="7"/>
      <c r="S393" s="7"/>
      <c r="T393" s="7"/>
      <c r="U393" s="7"/>
    </row>
    <row r="394" spans="18:21" s="1" customFormat="1" x14ac:dyDescent="0.15">
      <c r="R394" s="7"/>
      <c r="S394" s="7"/>
      <c r="T394" s="7"/>
      <c r="U394" s="7"/>
    </row>
    <row r="395" spans="18:21" s="1" customFormat="1" x14ac:dyDescent="0.15">
      <c r="R395" s="7"/>
      <c r="S395" s="7"/>
      <c r="T395" s="7"/>
      <c r="U395" s="7"/>
    </row>
    <row r="396" spans="18:21" s="1" customFormat="1" x14ac:dyDescent="0.15">
      <c r="R396" s="7"/>
      <c r="S396" s="7"/>
      <c r="T396" s="7"/>
      <c r="U396" s="7"/>
    </row>
    <row r="397" spans="18:21" s="1" customFormat="1" x14ac:dyDescent="0.15">
      <c r="R397" s="7"/>
      <c r="S397" s="7"/>
      <c r="T397" s="7"/>
      <c r="U397" s="7"/>
    </row>
    <row r="398" spans="18:21" s="1" customFormat="1" x14ac:dyDescent="0.15">
      <c r="R398" s="7"/>
      <c r="S398" s="7"/>
      <c r="T398" s="7"/>
      <c r="U398" s="7"/>
    </row>
    <row r="399" spans="18:21" s="1" customFormat="1" x14ac:dyDescent="0.15">
      <c r="R399" s="7"/>
      <c r="S399" s="7"/>
      <c r="T399" s="7"/>
      <c r="U399" s="7"/>
    </row>
    <row r="400" spans="18:21" s="1" customFormat="1" x14ac:dyDescent="0.15">
      <c r="R400" s="7"/>
      <c r="S400" s="7"/>
      <c r="T400" s="7"/>
      <c r="U400" s="7"/>
    </row>
    <row r="401" spans="18:21" s="1" customFormat="1" x14ac:dyDescent="0.15">
      <c r="R401" s="7"/>
      <c r="S401" s="7"/>
      <c r="T401" s="7"/>
      <c r="U401" s="7"/>
    </row>
    <row r="402" spans="18:21" s="1" customFormat="1" x14ac:dyDescent="0.15">
      <c r="R402" s="7"/>
      <c r="S402" s="7"/>
      <c r="T402" s="7"/>
      <c r="U402" s="7"/>
    </row>
    <row r="403" spans="18:21" s="1" customFormat="1" x14ac:dyDescent="0.15">
      <c r="R403" s="7"/>
      <c r="S403" s="7"/>
      <c r="T403" s="7"/>
      <c r="U403" s="7"/>
    </row>
    <row r="404" spans="18:21" s="1" customFormat="1" x14ac:dyDescent="0.15">
      <c r="R404" s="7"/>
      <c r="S404" s="7"/>
      <c r="T404" s="7"/>
      <c r="U404" s="7"/>
    </row>
    <row r="405" spans="18:21" s="1" customFormat="1" x14ac:dyDescent="0.15">
      <c r="R405" s="7"/>
      <c r="S405" s="7"/>
      <c r="T405" s="7"/>
      <c r="U405" s="7"/>
    </row>
    <row r="406" spans="18:21" s="1" customFormat="1" x14ac:dyDescent="0.15">
      <c r="R406" s="7"/>
      <c r="S406" s="7"/>
      <c r="T406" s="7"/>
      <c r="U406" s="7"/>
    </row>
    <row r="407" spans="18:21" s="1" customFormat="1" x14ac:dyDescent="0.15">
      <c r="R407" s="7"/>
      <c r="S407" s="7"/>
      <c r="T407" s="7"/>
      <c r="U407" s="7"/>
    </row>
    <row r="408" spans="18:21" s="1" customFormat="1" x14ac:dyDescent="0.15">
      <c r="R408" s="7"/>
      <c r="S408" s="7"/>
      <c r="T408" s="7"/>
      <c r="U408" s="7"/>
    </row>
    <row r="409" spans="18:21" s="1" customFormat="1" x14ac:dyDescent="0.15">
      <c r="R409" s="7"/>
      <c r="S409" s="7"/>
      <c r="T409" s="7"/>
      <c r="U409" s="7"/>
    </row>
    <row r="410" spans="18:21" s="1" customFormat="1" x14ac:dyDescent="0.15">
      <c r="R410" s="7"/>
      <c r="S410" s="7"/>
      <c r="T410" s="7"/>
      <c r="U410" s="7"/>
    </row>
    <row r="411" spans="18:21" s="1" customFormat="1" x14ac:dyDescent="0.15">
      <c r="R411" s="7"/>
      <c r="S411" s="7"/>
      <c r="T411" s="7"/>
      <c r="U411" s="7"/>
    </row>
    <row r="412" spans="18:21" s="1" customFormat="1" x14ac:dyDescent="0.15">
      <c r="R412" s="7"/>
      <c r="S412" s="7"/>
      <c r="T412" s="7"/>
      <c r="U412" s="7"/>
    </row>
    <row r="413" spans="18:21" s="1" customFormat="1" x14ac:dyDescent="0.15">
      <c r="R413" s="7"/>
      <c r="S413" s="7"/>
      <c r="T413" s="7"/>
      <c r="U413" s="7"/>
    </row>
    <row r="414" spans="18:21" s="1" customFormat="1" x14ac:dyDescent="0.15">
      <c r="R414" s="7"/>
      <c r="S414" s="7"/>
      <c r="T414" s="7"/>
      <c r="U414" s="7"/>
    </row>
    <row r="415" spans="18:21" s="1" customFormat="1" x14ac:dyDescent="0.15">
      <c r="R415" s="7"/>
      <c r="S415" s="7"/>
      <c r="T415" s="7"/>
      <c r="U415" s="7"/>
    </row>
    <row r="416" spans="18:21" s="1" customFormat="1" x14ac:dyDescent="0.15">
      <c r="R416" s="7"/>
      <c r="S416" s="7"/>
      <c r="T416" s="7"/>
      <c r="U416" s="7"/>
    </row>
    <row r="417" spans="18:21" s="1" customFormat="1" x14ac:dyDescent="0.15">
      <c r="R417" s="7"/>
      <c r="S417" s="7"/>
      <c r="T417" s="7"/>
      <c r="U417" s="7"/>
    </row>
    <row r="418" spans="18:21" s="1" customFormat="1" x14ac:dyDescent="0.15">
      <c r="R418" s="7"/>
      <c r="S418" s="7"/>
      <c r="T418" s="7"/>
      <c r="U418" s="7"/>
    </row>
    <row r="419" spans="18:21" s="1" customFormat="1" x14ac:dyDescent="0.15">
      <c r="R419" s="7"/>
      <c r="S419" s="7"/>
      <c r="T419" s="7"/>
      <c r="U419" s="7"/>
    </row>
    <row r="420" spans="18:21" s="1" customFormat="1" x14ac:dyDescent="0.15">
      <c r="R420" s="7"/>
      <c r="S420" s="7"/>
      <c r="T420" s="7"/>
      <c r="U420" s="7"/>
    </row>
    <row r="421" spans="18:21" s="1" customFormat="1" x14ac:dyDescent="0.15">
      <c r="R421" s="7"/>
      <c r="S421" s="7"/>
      <c r="T421" s="7"/>
      <c r="U421" s="7"/>
    </row>
    <row r="422" spans="18:21" s="1" customFormat="1" x14ac:dyDescent="0.15">
      <c r="R422" s="7"/>
      <c r="S422" s="7"/>
      <c r="T422" s="7"/>
      <c r="U422" s="7"/>
    </row>
    <row r="423" spans="18:21" s="1" customFormat="1" x14ac:dyDescent="0.15">
      <c r="R423" s="7"/>
      <c r="S423" s="7"/>
      <c r="T423" s="7"/>
      <c r="U423" s="7"/>
    </row>
    <row r="424" spans="18:21" s="1" customFormat="1" x14ac:dyDescent="0.15">
      <c r="R424" s="7"/>
      <c r="S424" s="7"/>
      <c r="T424" s="7"/>
      <c r="U424" s="7"/>
    </row>
    <row r="425" spans="18:21" s="1" customFormat="1" x14ac:dyDescent="0.15">
      <c r="R425" s="7"/>
      <c r="S425" s="7"/>
      <c r="T425" s="7"/>
      <c r="U425" s="7"/>
    </row>
    <row r="426" spans="18:21" s="1" customFormat="1" x14ac:dyDescent="0.15">
      <c r="R426" s="7"/>
      <c r="S426" s="7"/>
      <c r="T426" s="7"/>
      <c r="U426" s="7"/>
    </row>
    <row r="427" spans="18:21" s="1" customFormat="1" x14ac:dyDescent="0.15">
      <c r="R427" s="7"/>
      <c r="S427" s="7"/>
      <c r="T427" s="7"/>
      <c r="U427" s="7"/>
    </row>
    <row r="428" spans="18:21" s="1" customFormat="1" x14ac:dyDescent="0.15">
      <c r="R428" s="7"/>
      <c r="S428" s="7"/>
      <c r="T428" s="7"/>
      <c r="U428" s="7"/>
    </row>
    <row r="429" spans="18:21" s="1" customFormat="1" x14ac:dyDescent="0.15">
      <c r="R429" s="7"/>
      <c r="S429" s="7"/>
      <c r="T429" s="7"/>
      <c r="U429" s="7"/>
    </row>
    <row r="430" spans="18:21" s="1" customFormat="1" x14ac:dyDescent="0.15">
      <c r="R430" s="7"/>
      <c r="S430" s="7"/>
      <c r="T430" s="7"/>
      <c r="U430" s="7"/>
    </row>
    <row r="431" spans="18:21" s="1" customFormat="1" x14ac:dyDescent="0.15">
      <c r="R431" s="7"/>
      <c r="S431" s="7"/>
      <c r="T431" s="7"/>
      <c r="U431" s="7"/>
    </row>
    <row r="432" spans="18:21" s="1" customFormat="1" x14ac:dyDescent="0.15">
      <c r="R432" s="7"/>
      <c r="S432" s="7"/>
      <c r="T432" s="7"/>
      <c r="U432" s="7"/>
    </row>
    <row r="433" spans="18:21" s="1" customFormat="1" x14ac:dyDescent="0.15">
      <c r="R433" s="7"/>
      <c r="S433" s="7"/>
      <c r="T433" s="7"/>
      <c r="U433" s="7"/>
    </row>
    <row r="434" spans="18:21" s="1" customFormat="1" x14ac:dyDescent="0.15">
      <c r="R434" s="7"/>
      <c r="S434" s="7"/>
      <c r="T434" s="7"/>
      <c r="U434" s="7"/>
    </row>
    <row r="435" spans="18:21" s="1" customFormat="1" x14ac:dyDescent="0.15">
      <c r="R435" s="7"/>
      <c r="S435" s="7"/>
      <c r="T435" s="7"/>
      <c r="U435" s="7"/>
    </row>
    <row r="436" spans="18:21" s="1" customFormat="1" x14ac:dyDescent="0.15">
      <c r="R436" s="7"/>
      <c r="S436" s="7"/>
      <c r="T436" s="7"/>
      <c r="U436" s="7"/>
    </row>
    <row r="437" spans="18:21" s="1" customFormat="1" x14ac:dyDescent="0.15">
      <c r="R437" s="7"/>
      <c r="S437" s="7"/>
      <c r="T437" s="7"/>
      <c r="U437" s="7"/>
    </row>
    <row r="438" spans="18:21" s="1" customFormat="1" x14ac:dyDescent="0.15">
      <c r="R438" s="7"/>
      <c r="S438" s="7"/>
      <c r="T438" s="7"/>
      <c r="U438" s="7"/>
    </row>
    <row r="439" spans="18:21" s="1" customFormat="1" x14ac:dyDescent="0.15">
      <c r="R439" s="7"/>
      <c r="S439" s="7"/>
      <c r="T439" s="7"/>
      <c r="U439" s="7"/>
    </row>
    <row r="440" spans="18:21" s="1" customFormat="1" x14ac:dyDescent="0.15">
      <c r="R440" s="7"/>
      <c r="S440" s="7"/>
      <c r="T440" s="7"/>
      <c r="U440" s="7"/>
    </row>
    <row r="441" spans="18:21" s="1" customFormat="1" x14ac:dyDescent="0.15">
      <c r="R441" s="7"/>
      <c r="S441" s="7"/>
      <c r="T441" s="7"/>
      <c r="U441" s="7"/>
    </row>
    <row r="442" spans="18:21" s="1" customFormat="1" x14ac:dyDescent="0.15">
      <c r="R442" s="7"/>
      <c r="S442" s="7"/>
      <c r="T442" s="7"/>
      <c r="U442" s="7"/>
    </row>
    <row r="443" spans="18:21" s="1" customFormat="1" x14ac:dyDescent="0.15">
      <c r="R443" s="7"/>
      <c r="S443" s="7"/>
      <c r="T443" s="7"/>
      <c r="U443" s="7"/>
    </row>
    <row r="444" spans="18:21" s="1" customFormat="1" x14ac:dyDescent="0.15">
      <c r="R444" s="7"/>
      <c r="S444" s="7"/>
      <c r="T444" s="7"/>
      <c r="U444" s="7"/>
    </row>
    <row r="445" spans="18:21" s="1" customFormat="1" x14ac:dyDescent="0.15">
      <c r="R445" s="7"/>
      <c r="S445" s="7"/>
      <c r="T445" s="7"/>
      <c r="U445" s="7"/>
    </row>
    <row r="446" spans="18:21" s="1" customFormat="1" x14ac:dyDescent="0.15">
      <c r="R446" s="7"/>
      <c r="S446" s="7"/>
      <c r="T446" s="7"/>
      <c r="U446" s="7"/>
    </row>
    <row r="447" spans="18:21" s="1" customFormat="1" x14ac:dyDescent="0.15">
      <c r="R447" s="7"/>
      <c r="S447" s="7"/>
      <c r="T447" s="7"/>
      <c r="U447" s="7"/>
    </row>
    <row r="448" spans="18:21" s="1" customFormat="1" x14ac:dyDescent="0.15">
      <c r="R448" s="7"/>
      <c r="S448" s="7"/>
      <c r="T448" s="7"/>
      <c r="U448" s="7"/>
    </row>
    <row r="449" spans="18:21" s="1" customFormat="1" x14ac:dyDescent="0.15">
      <c r="R449" s="7"/>
      <c r="S449" s="7"/>
      <c r="T449" s="7"/>
      <c r="U449" s="7"/>
    </row>
    <row r="450" spans="18:21" s="1" customFormat="1" x14ac:dyDescent="0.15">
      <c r="R450" s="7"/>
      <c r="S450" s="7"/>
      <c r="T450" s="7"/>
      <c r="U450" s="7"/>
    </row>
    <row r="451" spans="18:21" s="1" customFormat="1" x14ac:dyDescent="0.15">
      <c r="R451" s="7"/>
      <c r="S451" s="7"/>
      <c r="T451" s="7"/>
      <c r="U451" s="7"/>
    </row>
    <row r="452" spans="18:21" s="1" customFormat="1" x14ac:dyDescent="0.15">
      <c r="R452" s="7"/>
      <c r="S452" s="7"/>
      <c r="T452" s="7"/>
      <c r="U452" s="7"/>
    </row>
    <row r="453" spans="18:21" s="1" customFormat="1" x14ac:dyDescent="0.15">
      <c r="R453" s="7"/>
      <c r="S453" s="7"/>
      <c r="T453" s="7"/>
      <c r="U453" s="7"/>
    </row>
    <row r="454" spans="18:21" s="1" customFormat="1" x14ac:dyDescent="0.15">
      <c r="R454" s="7"/>
      <c r="S454" s="7"/>
      <c r="T454" s="7"/>
      <c r="U454" s="7"/>
    </row>
    <row r="455" spans="18:21" s="1" customFormat="1" x14ac:dyDescent="0.15">
      <c r="R455" s="7"/>
      <c r="S455" s="7"/>
      <c r="T455" s="7"/>
      <c r="U455" s="7"/>
    </row>
    <row r="456" spans="18:21" s="1" customFormat="1" x14ac:dyDescent="0.15">
      <c r="R456" s="7"/>
      <c r="S456" s="7"/>
      <c r="T456" s="7"/>
      <c r="U456" s="7"/>
    </row>
    <row r="457" spans="18:21" s="1" customFormat="1" x14ac:dyDescent="0.15">
      <c r="R457" s="7"/>
      <c r="S457" s="7"/>
      <c r="T457" s="7"/>
      <c r="U457" s="7"/>
    </row>
    <row r="458" spans="18:21" s="1" customFormat="1" x14ac:dyDescent="0.15">
      <c r="R458" s="7"/>
      <c r="S458" s="7"/>
      <c r="T458" s="7"/>
      <c r="U458" s="7"/>
    </row>
    <row r="459" spans="18:21" s="1" customFormat="1" x14ac:dyDescent="0.15">
      <c r="R459" s="7"/>
      <c r="S459" s="7"/>
      <c r="T459" s="7"/>
      <c r="U459" s="7"/>
    </row>
    <row r="460" spans="18:21" s="1" customFormat="1" x14ac:dyDescent="0.15">
      <c r="R460" s="7"/>
      <c r="S460" s="7"/>
      <c r="T460" s="7"/>
      <c r="U460" s="7"/>
    </row>
    <row r="461" spans="18:21" s="1" customFormat="1" x14ac:dyDescent="0.15">
      <c r="R461" s="7"/>
      <c r="S461" s="7"/>
      <c r="T461" s="7"/>
      <c r="U461" s="7"/>
    </row>
    <row r="462" spans="18:21" s="1" customFormat="1" x14ac:dyDescent="0.15">
      <c r="R462" s="7"/>
      <c r="S462" s="7"/>
      <c r="T462" s="7"/>
      <c r="U462" s="7"/>
    </row>
    <row r="463" spans="18:21" s="1" customFormat="1" x14ac:dyDescent="0.15">
      <c r="R463" s="7"/>
      <c r="S463" s="7"/>
      <c r="T463" s="7"/>
      <c r="U463" s="7"/>
    </row>
    <row r="464" spans="18:21" s="1" customFormat="1" x14ac:dyDescent="0.15">
      <c r="R464" s="7"/>
      <c r="S464" s="7"/>
      <c r="T464" s="7"/>
      <c r="U464" s="7"/>
    </row>
    <row r="465" spans="18:21" s="1" customFormat="1" x14ac:dyDescent="0.15">
      <c r="R465" s="7"/>
      <c r="S465" s="7"/>
      <c r="T465" s="7"/>
      <c r="U465" s="7"/>
    </row>
    <row r="466" spans="18:21" s="1" customFormat="1" x14ac:dyDescent="0.15">
      <c r="R466" s="7"/>
      <c r="S466" s="7"/>
      <c r="T466" s="7"/>
      <c r="U466" s="7"/>
    </row>
    <row r="467" spans="18:21" s="1" customFormat="1" x14ac:dyDescent="0.15">
      <c r="R467" s="7"/>
      <c r="S467" s="7"/>
      <c r="T467" s="7"/>
      <c r="U467" s="7"/>
    </row>
    <row r="468" spans="18:21" s="1" customFormat="1" x14ac:dyDescent="0.15">
      <c r="R468" s="7"/>
      <c r="S468" s="7"/>
      <c r="T468" s="7"/>
      <c r="U468" s="7"/>
    </row>
    <row r="469" spans="18:21" s="1" customFormat="1" x14ac:dyDescent="0.15">
      <c r="R469" s="7"/>
      <c r="S469" s="7"/>
      <c r="T469" s="7"/>
      <c r="U469" s="7"/>
    </row>
    <row r="470" spans="18:21" s="1" customFormat="1" x14ac:dyDescent="0.15">
      <c r="R470" s="7"/>
      <c r="S470" s="7"/>
      <c r="T470" s="7"/>
      <c r="U470" s="7"/>
    </row>
    <row r="471" spans="18:21" s="1" customFormat="1" x14ac:dyDescent="0.15">
      <c r="R471" s="7"/>
      <c r="S471" s="7"/>
      <c r="T471" s="7"/>
      <c r="U471" s="7"/>
    </row>
    <row r="472" spans="18:21" s="1" customFormat="1" x14ac:dyDescent="0.15">
      <c r="R472" s="7"/>
      <c r="S472" s="7"/>
      <c r="T472" s="7"/>
      <c r="U472" s="7"/>
    </row>
    <row r="473" spans="18:21" s="1" customFormat="1" x14ac:dyDescent="0.15">
      <c r="R473" s="7"/>
      <c r="S473" s="7"/>
      <c r="T473" s="7"/>
      <c r="U473" s="7"/>
    </row>
    <row r="474" spans="18:21" s="1" customFormat="1" x14ac:dyDescent="0.15">
      <c r="R474" s="7"/>
      <c r="S474" s="7"/>
      <c r="T474" s="7"/>
      <c r="U474" s="7"/>
    </row>
    <row r="475" spans="18:21" s="1" customFormat="1" x14ac:dyDescent="0.15">
      <c r="R475" s="7"/>
      <c r="S475" s="7"/>
      <c r="T475" s="7"/>
      <c r="U475" s="7"/>
    </row>
    <row r="476" spans="18:21" s="1" customFormat="1" x14ac:dyDescent="0.15">
      <c r="R476" s="7"/>
      <c r="S476" s="7"/>
      <c r="T476" s="7"/>
      <c r="U476" s="7"/>
    </row>
    <row r="477" spans="18:21" s="1" customFormat="1" x14ac:dyDescent="0.15">
      <c r="R477" s="7"/>
      <c r="S477" s="7"/>
      <c r="T477" s="7"/>
      <c r="U477" s="7"/>
    </row>
    <row r="478" spans="18:21" s="1" customFormat="1" x14ac:dyDescent="0.15">
      <c r="R478" s="7"/>
      <c r="S478" s="7"/>
      <c r="T478" s="7"/>
      <c r="U478" s="7"/>
    </row>
    <row r="479" spans="18:21" s="1" customFormat="1" x14ac:dyDescent="0.15">
      <c r="R479" s="7"/>
      <c r="S479" s="7"/>
      <c r="T479" s="7"/>
      <c r="U479" s="7"/>
    </row>
    <row r="480" spans="18:21" s="1" customFormat="1" x14ac:dyDescent="0.15">
      <c r="R480" s="7"/>
      <c r="S480" s="7"/>
      <c r="T480" s="7"/>
      <c r="U480" s="7"/>
    </row>
    <row r="481" spans="18:21" s="1" customFormat="1" x14ac:dyDescent="0.15">
      <c r="R481" s="7"/>
      <c r="S481" s="7"/>
      <c r="T481" s="7"/>
      <c r="U481" s="7"/>
    </row>
    <row r="482" spans="18:21" s="1" customFormat="1" x14ac:dyDescent="0.15">
      <c r="R482" s="7"/>
      <c r="S482" s="7"/>
      <c r="T482" s="7"/>
      <c r="U482" s="7"/>
    </row>
    <row r="483" spans="18:21" s="1" customFormat="1" x14ac:dyDescent="0.15">
      <c r="R483" s="7"/>
      <c r="S483" s="7"/>
      <c r="T483" s="7"/>
      <c r="U483" s="7"/>
    </row>
    <row r="484" spans="18:21" s="1" customFormat="1" x14ac:dyDescent="0.15">
      <c r="R484" s="7"/>
      <c r="S484" s="7"/>
      <c r="T484" s="7"/>
      <c r="U484" s="7"/>
    </row>
    <row r="485" spans="18:21" s="1" customFormat="1" x14ac:dyDescent="0.15">
      <c r="R485" s="7"/>
      <c r="S485" s="7"/>
      <c r="T485" s="7"/>
      <c r="U485" s="7"/>
    </row>
    <row r="486" spans="18:21" s="1" customFormat="1" x14ac:dyDescent="0.15">
      <c r="R486" s="7"/>
      <c r="S486" s="7"/>
      <c r="T486" s="7"/>
      <c r="U486" s="7"/>
    </row>
    <row r="487" spans="18:21" s="1" customFormat="1" x14ac:dyDescent="0.15">
      <c r="R487" s="7"/>
      <c r="S487" s="7"/>
      <c r="T487" s="7"/>
      <c r="U487" s="7"/>
    </row>
    <row r="488" spans="18:21" s="1" customFormat="1" x14ac:dyDescent="0.15">
      <c r="R488" s="7"/>
      <c r="S488" s="7"/>
      <c r="T488" s="7"/>
      <c r="U488" s="7"/>
    </row>
    <row r="489" spans="18:21" s="1" customFormat="1" x14ac:dyDescent="0.15">
      <c r="R489" s="7"/>
      <c r="S489" s="7"/>
      <c r="T489" s="7"/>
      <c r="U489" s="7"/>
    </row>
    <row r="490" spans="18:21" s="1" customFormat="1" x14ac:dyDescent="0.15">
      <c r="R490" s="7"/>
      <c r="S490" s="7"/>
      <c r="T490" s="7"/>
      <c r="U490" s="7"/>
    </row>
    <row r="491" spans="18:21" s="1" customFormat="1" x14ac:dyDescent="0.15">
      <c r="R491" s="7"/>
      <c r="S491" s="7"/>
      <c r="T491" s="7"/>
      <c r="U491" s="7"/>
    </row>
    <row r="492" spans="18:21" s="1" customFormat="1" x14ac:dyDescent="0.15">
      <c r="R492" s="7"/>
      <c r="S492" s="7"/>
      <c r="T492" s="7"/>
      <c r="U492" s="7"/>
    </row>
    <row r="493" spans="18:21" s="1" customFormat="1" x14ac:dyDescent="0.15">
      <c r="R493" s="7"/>
      <c r="S493" s="7"/>
      <c r="T493" s="7"/>
      <c r="U493" s="7"/>
    </row>
    <row r="494" spans="18:21" s="1" customFormat="1" x14ac:dyDescent="0.15">
      <c r="R494" s="7"/>
      <c r="S494" s="7"/>
      <c r="T494" s="7"/>
      <c r="U494" s="7"/>
    </row>
    <row r="495" spans="18:21" s="1" customFormat="1" x14ac:dyDescent="0.15">
      <c r="R495" s="7"/>
      <c r="S495" s="7"/>
      <c r="T495" s="7"/>
      <c r="U495" s="7"/>
    </row>
    <row r="496" spans="18:21" s="1" customFormat="1" x14ac:dyDescent="0.15">
      <c r="R496" s="7"/>
      <c r="S496" s="7"/>
      <c r="T496" s="7"/>
      <c r="U496" s="7"/>
    </row>
    <row r="497" spans="18:21" s="1" customFormat="1" x14ac:dyDescent="0.15">
      <c r="R497" s="7"/>
      <c r="S497" s="7"/>
      <c r="T497" s="7"/>
      <c r="U497" s="7"/>
    </row>
    <row r="498" spans="18:21" s="1" customFormat="1" x14ac:dyDescent="0.15">
      <c r="R498" s="7"/>
      <c r="S498" s="7"/>
      <c r="T498" s="7"/>
      <c r="U498" s="7"/>
    </row>
    <row r="499" spans="18:21" s="1" customFormat="1" x14ac:dyDescent="0.15">
      <c r="R499" s="7"/>
      <c r="S499" s="7"/>
      <c r="T499" s="7"/>
      <c r="U499" s="7"/>
    </row>
    <row r="500" spans="18:21" s="1" customFormat="1" x14ac:dyDescent="0.15">
      <c r="R500" s="7"/>
      <c r="S500" s="7"/>
      <c r="T500" s="7"/>
      <c r="U500" s="7"/>
    </row>
    <row r="501" spans="18:21" s="1" customFormat="1" x14ac:dyDescent="0.15">
      <c r="R501" s="7"/>
      <c r="S501" s="7"/>
      <c r="T501" s="7"/>
      <c r="U501" s="7"/>
    </row>
    <row r="502" spans="18:21" s="1" customFormat="1" x14ac:dyDescent="0.15">
      <c r="R502" s="7"/>
      <c r="S502" s="7"/>
      <c r="T502" s="7"/>
      <c r="U502" s="7"/>
    </row>
    <row r="503" spans="18:21" s="1" customFormat="1" x14ac:dyDescent="0.15">
      <c r="R503" s="7"/>
      <c r="S503" s="7"/>
      <c r="T503" s="7"/>
      <c r="U503" s="7"/>
    </row>
    <row r="504" spans="18:21" s="1" customFormat="1" x14ac:dyDescent="0.15">
      <c r="R504" s="7"/>
      <c r="S504" s="7"/>
      <c r="T504" s="7"/>
      <c r="U504" s="7"/>
    </row>
    <row r="505" spans="18:21" s="1" customFormat="1" x14ac:dyDescent="0.15">
      <c r="R505" s="7"/>
      <c r="S505" s="7"/>
      <c r="T505" s="7"/>
      <c r="U505" s="7"/>
    </row>
    <row r="506" spans="18:21" s="1" customFormat="1" x14ac:dyDescent="0.15">
      <c r="R506" s="7"/>
      <c r="S506" s="7"/>
      <c r="T506" s="7"/>
      <c r="U506" s="7"/>
    </row>
    <row r="507" spans="18:21" s="1" customFormat="1" x14ac:dyDescent="0.15">
      <c r="R507" s="7"/>
      <c r="S507" s="7"/>
      <c r="T507" s="7"/>
      <c r="U507" s="7"/>
    </row>
    <row r="508" spans="18:21" s="1" customFormat="1" x14ac:dyDescent="0.15">
      <c r="R508" s="7"/>
      <c r="S508" s="7"/>
      <c r="T508" s="7"/>
      <c r="U508" s="7"/>
    </row>
    <row r="509" spans="18:21" s="1" customFormat="1" x14ac:dyDescent="0.15">
      <c r="R509" s="7"/>
      <c r="S509" s="7"/>
      <c r="T509" s="7"/>
      <c r="U509" s="7"/>
    </row>
    <row r="510" spans="18:21" s="1" customFormat="1" x14ac:dyDescent="0.15">
      <c r="R510" s="7"/>
      <c r="S510" s="7"/>
      <c r="T510" s="7"/>
      <c r="U510" s="7"/>
    </row>
    <row r="511" spans="18:21" s="1" customFormat="1" x14ac:dyDescent="0.15">
      <c r="R511" s="7"/>
      <c r="S511" s="7"/>
      <c r="T511" s="7"/>
      <c r="U511" s="7"/>
    </row>
    <row r="512" spans="18:21" s="1" customFormat="1" x14ac:dyDescent="0.15">
      <c r="R512" s="7"/>
      <c r="S512" s="7"/>
      <c r="T512" s="7"/>
      <c r="U512" s="7"/>
    </row>
    <row r="513" spans="18:21" s="1" customFormat="1" x14ac:dyDescent="0.15">
      <c r="R513" s="7"/>
      <c r="S513" s="7"/>
      <c r="T513" s="7"/>
      <c r="U513" s="7"/>
    </row>
    <row r="514" spans="18:21" s="1" customFormat="1" x14ac:dyDescent="0.15">
      <c r="R514" s="7"/>
      <c r="S514" s="7"/>
      <c r="T514" s="7"/>
      <c r="U514" s="7"/>
    </row>
    <row r="515" spans="18:21" s="1" customFormat="1" x14ac:dyDescent="0.15">
      <c r="R515" s="7"/>
      <c r="S515" s="7"/>
      <c r="T515" s="7"/>
      <c r="U515" s="7"/>
    </row>
    <row r="516" spans="18:21" s="1" customFormat="1" x14ac:dyDescent="0.15">
      <c r="R516" s="7"/>
      <c r="S516" s="7"/>
      <c r="T516" s="7"/>
      <c r="U516" s="7"/>
    </row>
    <row r="517" spans="18:21" s="1" customFormat="1" x14ac:dyDescent="0.15">
      <c r="R517" s="7"/>
      <c r="S517" s="7"/>
      <c r="T517" s="7"/>
      <c r="U517" s="7"/>
    </row>
    <row r="518" spans="18:21" s="1" customFormat="1" x14ac:dyDescent="0.15">
      <c r="R518" s="7"/>
      <c r="S518" s="7"/>
      <c r="T518" s="7"/>
      <c r="U518" s="7"/>
    </row>
    <row r="519" spans="18:21" s="1" customFormat="1" x14ac:dyDescent="0.15">
      <c r="R519" s="7"/>
      <c r="S519" s="7"/>
      <c r="T519" s="7"/>
      <c r="U519" s="7"/>
    </row>
    <row r="520" spans="18:21" s="1" customFormat="1" x14ac:dyDescent="0.15">
      <c r="R520" s="7"/>
      <c r="S520" s="7"/>
      <c r="T520" s="7"/>
      <c r="U520" s="7"/>
    </row>
    <row r="521" spans="18:21" s="1" customFormat="1" x14ac:dyDescent="0.15">
      <c r="R521" s="7"/>
      <c r="S521" s="7"/>
      <c r="T521" s="7"/>
      <c r="U521" s="7"/>
    </row>
    <row r="522" spans="18:21" s="1" customFormat="1" x14ac:dyDescent="0.15">
      <c r="R522" s="7"/>
      <c r="S522" s="7"/>
      <c r="T522" s="7"/>
      <c r="U522" s="7"/>
    </row>
    <row r="523" spans="18:21" s="1" customFormat="1" x14ac:dyDescent="0.15">
      <c r="R523" s="7"/>
      <c r="S523" s="7"/>
      <c r="T523" s="7"/>
      <c r="U523" s="7"/>
    </row>
    <row r="524" spans="18:21" s="1" customFormat="1" x14ac:dyDescent="0.15">
      <c r="R524" s="7"/>
      <c r="S524" s="7"/>
      <c r="T524" s="7"/>
      <c r="U524" s="7"/>
    </row>
    <row r="525" spans="18:21" s="1" customFormat="1" x14ac:dyDescent="0.15">
      <c r="R525" s="7"/>
      <c r="S525" s="7"/>
      <c r="T525" s="7"/>
      <c r="U525" s="7"/>
    </row>
    <row r="526" spans="18:21" s="1" customFormat="1" x14ac:dyDescent="0.15">
      <c r="R526" s="7"/>
      <c r="S526" s="7"/>
      <c r="T526" s="7"/>
      <c r="U526" s="7"/>
    </row>
    <row r="527" spans="18:21" s="1" customFormat="1" x14ac:dyDescent="0.15">
      <c r="R527" s="7"/>
      <c r="S527" s="7"/>
      <c r="T527" s="7"/>
      <c r="U527" s="7"/>
    </row>
    <row r="528" spans="18:21" s="1" customFormat="1" x14ac:dyDescent="0.15">
      <c r="R528" s="7"/>
      <c r="S528" s="7"/>
      <c r="T528" s="7"/>
      <c r="U528" s="7"/>
    </row>
    <row r="529" spans="18:21" s="1" customFormat="1" x14ac:dyDescent="0.15">
      <c r="R529" s="7"/>
      <c r="S529" s="7"/>
      <c r="T529" s="7"/>
      <c r="U529" s="7"/>
    </row>
    <row r="530" spans="18:21" s="1" customFormat="1" x14ac:dyDescent="0.15">
      <c r="R530" s="7"/>
      <c r="S530" s="7"/>
      <c r="T530" s="7"/>
      <c r="U530" s="7"/>
    </row>
    <row r="531" spans="18:21" s="1" customFormat="1" x14ac:dyDescent="0.15">
      <c r="R531" s="7"/>
      <c r="S531" s="7"/>
      <c r="T531" s="7"/>
      <c r="U531" s="7"/>
    </row>
    <row r="532" spans="18:21" s="1" customFormat="1" x14ac:dyDescent="0.15">
      <c r="R532" s="7"/>
      <c r="S532" s="7"/>
      <c r="T532" s="7"/>
      <c r="U532" s="7"/>
    </row>
    <row r="533" spans="18:21" s="1" customFormat="1" x14ac:dyDescent="0.15">
      <c r="R533" s="7"/>
      <c r="S533" s="7"/>
      <c r="T533" s="7"/>
      <c r="U533" s="7"/>
    </row>
    <row r="534" spans="18:21" s="1" customFormat="1" x14ac:dyDescent="0.15">
      <c r="R534" s="7"/>
      <c r="S534" s="7"/>
      <c r="T534" s="7"/>
      <c r="U534" s="7"/>
    </row>
    <row r="535" spans="18:21" s="1" customFormat="1" x14ac:dyDescent="0.15">
      <c r="R535" s="7"/>
      <c r="S535" s="7"/>
      <c r="T535" s="7"/>
      <c r="U535" s="7"/>
    </row>
    <row r="536" spans="18:21" s="1" customFormat="1" x14ac:dyDescent="0.15">
      <c r="R536" s="7"/>
      <c r="S536" s="7"/>
      <c r="T536" s="7"/>
      <c r="U536" s="7"/>
    </row>
    <row r="537" spans="18:21" s="1" customFormat="1" x14ac:dyDescent="0.15">
      <c r="R537" s="7"/>
      <c r="S537" s="7"/>
      <c r="T537" s="7"/>
      <c r="U537" s="7"/>
    </row>
    <row r="538" spans="18:21" s="1" customFormat="1" x14ac:dyDescent="0.15">
      <c r="R538" s="7"/>
      <c r="S538" s="7"/>
      <c r="T538" s="7"/>
      <c r="U538" s="7"/>
    </row>
    <row r="539" spans="18:21" s="1" customFormat="1" x14ac:dyDescent="0.15">
      <c r="R539" s="7"/>
      <c r="S539" s="7"/>
      <c r="T539" s="7"/>
      <c r="U539" s="7"/>
    </row>
    <row r="540" spans="18:21" s="1" customFormat="1" x14ac:dyDescent="0.15">
      <c r="R540" s="7"/>
      <c r="S540" s="7"/>
      <c r="T540" s="7"/>
      <c r="U540" s="7"/>
    </row>
    <row r="541" spans="18:21" s="1" customFormat="1" x14ac:dyDescent="0.15">
      <c r="R541" s="7"/>
      <c r="S541" s="7"/>
      <c r="T541" s="7"/>
      <c r="U541" s="7"/>
    </row>
    <row r="542" spans="18:21" s="1" customFormat="1" x14ac:dyDescent="0.15">
      <c r="R542" s="7"/>
      <c r="S542" s="7"/>
      <c r="T542" s="7"/>
      <c r="U542" s="7"/>
    </row>
    <row r="543" spans="18:21" s="1" customFormat="1" x14ac:dyDescent="0.15">
      <c r="R543" s="7"/>
      <c r="S543" s="7"/>
      <c r="T543" s="7"/>
      <c r="U543" s="7"/>
    </row>
    <row r="544" spans="18:21" s="1" customFormat="1" x14ac:dyDescent="0.15">
      <c r="R544" s="7"/>
      <c r="S544" s="7"/>
      <c r="T544" s="7"/>
      <c r="U544" s="7"/>
    </row>
    <row r="545" spans="18:21" s="1" customFormat="1" x14ac:dyDescent="0.15">
      <c r="R545" s="7"/>
      <c r="S545" s="7"/>
      <c r="T545" s="7"/>
      <c r="U545" s="7"/>
    </row>
    <row r="546" spans="18:21" s="1" customFormat="1" x14ac:dyDescent="0.15">
      <c r="R546" s="7"/>
      <c r="S546" s="7"/>
      <c r="T546" s="7"/>
      <c r="U546" s="7"/>
    </row>
    <row r="547" spans="18:21" s="1" customFormat="1" x14ac:dyDescent="0.15">
      <c r="R547" s="7"/>
      <c r="S547" s="7"/>
      <c r="T547" s="7"/>
      <c r="U547" s="7"/>
    </row>
    <row r="548" spans="18:21" s="1" customFormat="1" x14ac:dyDescent="0.15">
      <c r="R548" s="7"/>
      <c r="S548" s="7"/>
      <c r="T548" s="7"/>
      <c r="U548" s="7"/>
    </row>
    <row r="549" spans="18:21" s="1" customFormat="1" x14ac:dyDescent="0.15">
      <c r="R549" s="7"/>
      <c r="S549" s="7"/>
      <c r="T549" s="7"/>
      <c r="U549" s="7"/>
    </row>
    <row r="550" spans="18:21" s="1" customFormat="1" x14ac:dyDescent="0.15">
      <c r="R550" s="7"/>
      <c r="S550" s="7"/>
      <c r="T550" s="7"/>
      <c r="U550" s="7"/>
    </row>
    <row r="551" spans="18:21" s="1" customFormat="1" x14ac:dyDescent="0.15">
      <c r="R551" s="7"/>
      <c r="S551" s="7"/>
      <c r="T551" s="7"/>
      <c r="U551" s="7"/>
    </row>
    <row r="552" spans="18:21" s="1" customFormat="1" x14ac:dyDescent="0.15">
      <c r="R552" s="7"/>
      <c r="S552" s="7"/>
      <c r="T552" s="7"/>
      <c r="U552" s="7"/>
    </row>
    <row r="553" spans="18:21" s="1" customFormat="1" x14ac:dyDescent="0.15">
      <c r="R553" s="7"/>
      <c r="S553" s="7"/>
      <c r="T553" s="7"/>
      <c r="U553" s="7"/>
    </row>
    <row r="554" spans="18:21" s="1" customFormat="1" x14ac:dyDescent="0.15">
      <c r="R554" s="7"/>
      <c r="S554" s="7"/>
      <c r="T554" s="7"/>
      <c r="U554" s="7"/>
    </row>
    <row r="555" spans="18:21" s="1" customFormat="1" x14ac:dyDescent="0.15">
      <c r="R555" s="7"/>
      <c r="S555" s="7"/>
      <c r="T555" s="7"/>
      <c r="U555" s="7"/>
    </row>
    <row r="556" spans="18:21" s="1" customFormat="1" x14ac:dyDescent="0.15">
      <c r="R556" s="7"/>
      <c r="S556" s="7"/>
      <c r="T556" s="7"/>
      <c r="U556" s="7"/>
    </row>
    <row r="557" spans="18:21" s="1" customFormat="1" x14ac:dyDescent="0.15">
      <c r="R557" s="7"/>
      <c r="S557" s="7"/>
      <c r="T557" s="7"/>
      <c r="U557" s="7"/>
    </row>
    <row r="558" spans="18:21" s="1" customFormat="1" x14ac:dyDescent="0.15">
      <c r="R558" s="7"/>
      <c r="S558" s="7"/>
      <c r="T558" s="7"/>
      <c r="U558" s="7"/>
    </row>
    <row r="559" spans="18:21" s="1" customFormat="1" x14ac:dyDescent="0.15">
      <c r="R559" s="7"/>
      <c r="S559" s="7"/>
      <c r="T559" s="7"/>
      <c r="U559" s="7"/>
    </row>
    <row r="560" spans="18:21" s="1" customFormat="1" x14ac:dyDescent="0.15">
      <c r="R560" s="7"/>
      <c r="S560" s="7"/>
      <c r="T560" s="7"/>
      <c r="U560" s="7"/>
    </row>
    <row r="561" spans="18:21" s="1" customFormat="1" x14ac:dyDescent="0.15">
      <c r="R561" s="7"/>
      <c r="S561" s="7"/>
      <c r="T561" s="7"/>
      <c r="U561" s="7"/>
    </row>
    <row r="562" spans="18:21" s="1" customFormat="1" x14ac:dyDescent="0.15">
      <c r="R562" s="7"/>
      <c r="S562" s="7"/>
      <c r="T562" s="7"/>
      <c r="U562" s="7"/>
    </row>
    <row r="563" spans="18:21" s="1" customFormat="1" x14ac:dyDescent="0.15">
      <c r="R563" s="7"/>
      <c r="S563" s="7"/>
      <c r="T563" s="7"/>
      <c r="U563" s="7"/>
    </row>
    <row r="564" spans="18:21" s="1" customFormat="1" x14ac:dyDescent="0.15">
      <c r="R564" s="7"/>
      <c r="S564" s="7"/>
      <c r="T564" s="7"/>
      <c r="U564" s="7"/>
    </row>
    <row r="565" spans="18:21" s="1" customFormat="1" x14ac:dyDescent="0.15">
      <c r="R565" s="7"/>
      <c r="S565" s="7"/>
      <c r="T565" s="7"/>
      <c r="U565" s="7"/>
    </row>
    <row r="566" spans="18:21" s="1" customFormat="1" x14ac:dyDescent="0.15">
      <c r="R566" s="7"/>
      <c r="S566" s="7"/>
      <c r="T566" s="7"/>
      <c r="U566" s="7"/>
    </row>
    <row r="567" spans="18:21" s="1" customFormat="1" x14ac:dyDescent="0.15">
      <c r="R567" s="7"/>
      <c r="S567" s="7"/>
      <c r="T567" s="7"/>
      <c r="U567" s="7"/>
    </row>
    <row r="568" spans="18:21" s="1" customFormat="1" x14ac:dyDescent="0.15">
      <c r="R568" s="7"/>
      <c r="S568" s="7"/>
      <c r="T568" s="7"/>
      <c r="U568" s="7"/>
    </row>
    <row r="569" spans="18:21" s="1" customFormat="1" x14ac:dyDescent="0.15">
      <c r="R569" s="7"/>
      <c r="S569" s="7"/>
      <c r="T569" s="7"/>
      <c r="U569" s="7"/>
    </row>
    <row r="570" spans="18:21" s="1" customFormat="1" x14ac:dyDescent="0.15">
      <c r="R570" s="7"/>
      <c r="S570" s="7"/>
      <c r="T570" s="7"/>
      <c r="U570" s="7"/>
    </row>
    <row r="571" spans="18:21" s="1" customFormat="1" x14ac:dyDescent="0.15">
      <c r="R571" s="7"/>
      <c r="S571" s="7"/>
      <c r="T571" s="7"/>
      <c r="U571" s="7"/>
    </row>
    <row r="572" spans="18:21" s="1" customFormat="1" x14ac:dyDescent="0.15">
      <c r="R572" s="7"/>
      <c r="S572" s="7"/>
      <c r="T572" s="7"/>
      <c r="U572" s="7"/>
    </row>
    <row r="573" spans="18:21" s="1" customFormat="1" x14ac:dyDescent="0.15">
      <c r="R573" s="7"/>
      <c r="S573" s="7"/>
      <c r="T573" s="7"/>
      <c r="U573" s="7"/>
    </row>
    <row r="574" spans="18:21" s="1" customFormat="1" x14ac:dyDescent="0.15">
      <c r="R574" s="7"/>
      <c r="S574" s="7"/>
      <c r="T574" s="7"/>
      <c r="U574" s="7"/>
    </row>
    <row r="575" spans="18:21" s="1" customFormat="1" x14ac:dyDescent="0.15">
      <c r="R575" s="7"/>
      <c r="S575" s="7"/>
      <c r="T575" s="7"/>
      <c r="U575" s="7"/>
    </row>
    <row r="576" spans="18:21" s="1" customFormat="1" x14ac:dyDescent="0.15">
      <c r="R576" s="7"/>
      <c r="S576" s="7"/>
      <c r="T576" s="7"/>
      <c r="U576" s="7"/>
    </row>
    <row r="577" spans="18:21" s="1" customFormat="1" x14ac:dyDescent="0.15">
      <c r="R577" s="7"/>
      <c r="S577" s="7"/>
      <c r="T577" s="7"/>
      <c r="U577" s="7"/>
    </row>
    <row r="578" spans="18:21" s="1" customFormat="1" x14ac:dyDescent="0.15">
      <c r="R578" s="7"/>
      <c r="S578" s="7"/>
      <c r="T578" s="7"/>
      <c r="U578" s="7"/>
    </row>
    <row r="579" spans="18:21" s="1" customFormat="1" x14ac:dyDescent="0.15">
      <c r="R579" s="7"/>
      <c r="S579" s="7"/>
      <c r="T579" s="7"/>
      <c r="U579" s="7"/>
    </row>
    <row r="580" spans="18:21" s="1" customFormat="1" x14ac:dyDescent="0.15">
      <c r="R580" s="7"/>
      <c r="S580" s="7"/>
      <c r="T580" s="7"/>
      <c r="U580" s="7"/>
    </row>
    <row r="581" spans="18:21" s="1" customFormat="1" x14ac:dyDescent="0.15">
      <c r="R581" s="7"/>
      <c r="S581" s="7"/>
      <c r="T581" s="7"/>
      <c r="U581" s="7"/>
    </row>
    <row r="582" spans="18:21" s="1" customFormat="1" x14ac:dyDescent="0.15">
      <c r="R582" s="7"/>
      <c r="S582" s="7"/>
      <c r="T582" s="7"/>
      <c r="U582" s="7"/>
    </row>
    <row r="583" spans="18:21" s="1" customFormat="1" x14ac:dyDescent="0.15">
      <c r="R583" s="7"/>
      <c r="S583" s="7"/>
      <c r="T583" s="7"/>
      <c r="U583" s="7"/>
    </row>
    <row r="584" spans="18:21" s="1" customFormat="1" x14ac:dyDescent="0.15">
      <c r="R584" s="7"/>
      <c r="S584" s="7"/>
      <c r="T584" s="7"/>
      <c r="U584" s="7"/>
    </row>
    <row r="585" spans="18:21" s="1" customFormat="1" x14ac:dyDescent="0.15">
      <c r="R585" s="7"/>
      <c r="S585" s="7"/>
      <c r="T585" s="7"/>
      <c r="U585" s="7"/>
    </row>
    <row r="586" spans="18:21" s="1" customFormat="1" x14ac:dyDescent="0.15">
      <c r="R586" s="7"/>
      <c r="S586" s="7"/>
      <c r="T586" s="7"/>
      <c r="U586" s="7"/>
    </row>
    <row r="587" spans="18:21" s="1" customFormat="1" x14ac:dyDescent="0.15">
      <c r="R587" s="7"/>
      <c r="S587" s="7"/>
      <c r="T587" s="7"/>
      <c r="U587" s="7"/>
    </row>
    <row r="588" spans="18:21" s="1" customFormat="1" x14ac:dyDescent="0.15">
      <c r="R588" s="7"/>
      <c r="S588" s="7"/>
      <c r="T588" s="7"/>
      <c r="U588" s="7"/>
    </row>
    <row r="589" spans="18:21" s="1" customFormat="1" x14ac:dyDescent="0.15">
      <c r="R589" s="7"/>
      <c r="S589" s="7"/>
      <c r="T589" s="7"/>
      <c r="U589" s="7"/>
    </row>
    <row r="590" spans="18:21" s="1" customFormat="1" x14ac:dyDescent="0.15">
      <c r="R590" s="7"/>
      <c r="S590" s="7"/>
      <c r="T590" s="7"/>
      <c r="U590" s="7"/>
    </row>
    <row r="591" spans="18:21" s="1" customFormat="1" x14ac:dyDescent="0.15">
      <c r="R591" s="7"/>
      <c r="S591" s="7"/>
      <c r="T591" s="7"/>
      <c r="U591" s="7"/>
    </row>
  </sheetData>
  <dataConsolidate/>
  <mergeCells count="12">
    <mergeCell ref="K226:K237"/>
    <mergeCell ref="K238:K241"/>
    <mergeCell ref="K242:K244"/>
    <mergeCell ref="C6:E6"/>
    <mergeCell ref="C2:E2"/>
    <mergeCell ref="C3:E3"/>
    <mergeCell ref="F2:G2"/>
    <mergeCell ref="C5:E5"/>
    <mergeCell ref="F3:G3"/>
    <mergeCell ref="K5:L5"/>
    <mergeCell ref="K6:L6"/>
    <mergeCell ref="K11:K225"/>
  </mergeCells>
  <phoneticPr fontId="3"/>
  <conditionalFormatting sqref="F121:F65523 F1">
    <cfRule type="cellIs" dxfId="0" priority="1" stopIfTrue="1" operator="equal">
      <formula>0</formula>
    </cfRule>
  </conditionalFormatting>
  <printOptions horizontalCentered="1"/>
  <pageMargins left="0.19685039370078741" right="0.19685039370078741" top="0.59055118110236227" bottom="0.19685039370078741" header="0.51181102362204722" footer="0.51181102362204722"/>
  <pageSetup paperSize="8" scale="11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5858" r:id="rId4" name="CommandButton3">
          <controlPr defaultSize="0" print="0" autoLine="0" r:id="rId5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9525</xdr:colOff>
                <xdr:row>8</xdr:row>
                <xdr:rowOff>38100</xdr:rowOff>
              </to>
            </anchor>
          </controlPr>
        </control>
      </mc:Choice>
      <mc:Fallback>
        <control shapeId="115858" r:id="rId4" name="CommandButton3"/>
      </mc:Fallback>
    </mc:AlternateContent>
    <mc:AlternateContent xmlns:mc="http://schemas.openxmlformats.org/markup-compatibility/2006">
      <mc:Choice Requires="x14">
        <control shapeId="115856" r:id="rId6" name="CommandButton2">
          <controlPr defaultSize="0" print="0" autoLine="0" r:id="rId7">
            <anchor moveWithCells="1">
              <from>
                <xdr:col>8</xdr:col>
                <xdr:colOff>0</xdr:colOff>
                <xdr:row>4</xdr:row>
                <xdr:rowOff>104775</xdr:rowOff>
              </from>
              <to>
                <xdr:col>9</xdr:col>
                <xdr:colOff>0</xdr:colOff>
                <xdr:row>5</xdr:row>
                <xdr:rowOff>114300</xdr:rowOff>
              </to>
            </anchor>
          </controlPr>
        </control>
      </mc:Choice>
      <mc:Fallback>
        <control shapeId="115856" r:id="rId6" name="CommandButton2"/>
      </mc:Fallback>
    </mc:AlternateContent>
    <mc:AlternateContent xmlns:mc="http://schemas.openxmlformats.org/markup-compatibility/2006">
      <mc:Choice Requires="x14">
        <control shapeId="115853" r:id="rId8" name="CommandButton1">
          <controlPr defaultSize="0" print="0" autoLine="0" r:id="rId9">
            <anchor moveWithCells="1">
              <from>
                <xdr:col>10</xdr:col>
                <xdr:colOff>0</xdr:colOff>
                <xdr:row>0</xdr:row>
                <xdr:rowOff>76200</xdr:rowOff>
              </from>
              <to>
                <xdr:col>11</xdr:col>
                <xdr:colOff>1181100</xdr:colOff>
                <xdr:row>2</xdr:row>
                <xdr:rowOff>0</xdr:rowOff>
              </to>
            </anchor>
          </controlPr>
        </control>
      </mc:Choice>
      <mc:Fallback>
        <control shapeId="115853" r:id="rId8" name="CommandButton1"/>
      </mc:Fallback>
    </mc:AlternateContent>
    <mc:AlternateContent xmlns:mc="http://schemas.openxmlformats.org/markup-compatibility/2006">
      <mc:Choice Requires="x14">
        <control shapeId="115981" r:id="rId10" name="CommandButton4">
          <controlPr defaultSize="0" print="0" autoLine="0" r:id="rId11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5981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3:Y272"/>
  <sheetViews>
    <sheetView topLeftCell="A52" zoomScale="70" zoomScaleNormal="70" workbookViewId="0">
      <selection activeCell="D14" sqref="D14"/>
    </sheetView>
  </sheetViews>
  <sheetFormatPr defaultRowHeight="13.5" x14ac:dyDescent="0.15"/>
  <cols>
    <col min="1" max="1" width="2.875" style="26" customWidth="1"/>
    <col min="2" max="3" width="3" style="26" customWidth="1"/>
    <col min="4" max="4" width="44.875" style="26" customWidth="1"/>
    <col min="5" max="5" width="63.875" style="26" bestFit="1" customWidth="1"/>
    <col min="6" max="6" width="68.875" style="26" bestFit="1" customWidth="1"/>
    <col min="7" max="7" width="41.375" style="26" bestFit="1" customWidth="1"/>
    <col min="8" max="8" width="28.5" style="26" customWidth="1"/>
    <col min="9" max="9" width="40.625" style="26" customWidth="1"/>
    <col min="10" max="10" width="49.375" style="26" customWidth="1"/>
    <col min="11" max="11" width="68" style="26" customWidth="1"/>
    <col min="12" max="12" width="55.625" style="26" bestFit="1" customWidth="1"/>
    <col min="13" max="13" width="40.875" style="26" bestFit="1" customWidth="1"/>
    <col min="14" max="14" width="30.875" style="26" bestFit="1" customWidth="1"/>
    <col min="15" max="15" width="29.75" style="26" bestFit="1" customWidth="1"/>
    <col min="16" max="16" width="34.375" style="26" bestFit="1" customWidth="1"/>
    <col min="17" max="17" width="46.5" style="26" bestFit="1" customWidth="1"/>
    <col min="18" max="18" width="46" style="26" bestFit="1" customWidth="1"/>
    <col min="19" max="19" width="35.125" style="26" bestFit="1" customWidth="1"/>
    <col min="20" max="20" width="46" style="26" bestFit="1" customWidth="1"/>
    <col min="21" max="21" width="26.375" style="26" bestFit="1" customWidth="1"/>
    <col min="22" max="22" width="38.875" style="26" bestFit="1" customWidth="1"/>
    <col min="23" max="23" width="22.625" style="26" bestFit="1" customWidth="1"/>
    <col min="24" max="24" width="8.75" style="26" bestFit="1" customWidth="1"/>
    <col min="25" max="25" width="7.5" style="26" bestFit="1" customWidth="1"/>
    <col min="26" max="16384" width="9" style="26"/>
  </cols>
  <sheetData>
    <row r="3" spans="4:11" ht="27.75" customHeight="1" x14ac:dyDescent="0.15">
      <c r="D3" s="42" t="s">
        <v>15</v>
      </c>
    </row>
    <row r="5" spans="4:11" ht="27.75" customHeight="1" x14ac:dyDescent="0.15">
      <c r="D5" s="42" t="s">
        <v>16</v>
      </c>
    </row>
    <row r="7" spans="4:11" ht="27.75" customHeight="1" x14ac:dyDescent="0.15">
      <c r="D7" s="42" t="s">
        <v>17</v>
      </c>
    </row>
    <row r="8" spans="4:11" ht="13.5" customHeight="1" x14ac:dyDescent="0.15">
      <c r="D8" s="42"/>
      <c r="E8" s="79"/>
    </row>
    <row r="9" spans="4:11" ht="27.75" customHeight="1" x14ac:dyDescent="0.15">
      <c r="D9" s="42" t="s">
        <v>18</v>
      </c>
    </row>
    <row r="10" spans="4:11" ht="13.5" customHeight="1" x14ac:dyDescent="0.15">
      <c r="D10" s="42"/>
    </row>
    <row r="11" spans="4:11" ht="27.75" customHeight="1" x14ac:dyDescent="0.15">
      <c r="D11" s="42" t="s">
        <v>19</v>
      </c>
    </row>
    <row r="12" spans="4:11" ht="13.5" customHeight="1" x14ac:dyDescent="0.15">
      <c r="D12" s="42"/>
    </row>
    <row r="13" spans="4:11" ht="27.75" customHeight="1" x14ac:dyDescent="0.15">
      <c r="D13" s="42" t="s">
        <v>82</v>
      </c>
    </row>
    <row r="14" spans="4:11" ht="27.75" customHeight="1" x14ac:dyDescent="0.15">
      <c r="D14" s="42"/>
    </row>
    <row r="16" spans="4:11" ht="17.25" x14ac:dyDescent="0.2">
      <c r="D16" s="43" t="s">
        <v>20</v>
      </c>
      <c r="K16" s="44"/>
    </row>
    <row r="17" spans="4:11" ht="24" customHeight="1" x14ac:dyDescent="0.15">
      <c r="D17" s="45" t="s">
        <v>61</v>
      </c>
      <c r="E17" s="45" t="s">
        <v>21</v>
      </c>
      <c r="F17" s="45" t="s">
        <v>22</v>
      </c>
      <c r="G17" s="45" t="s">
        <v>23</v>
      </c>
      <c r="K17" s="44"/>
    </row>
    <row r="18" spans="4:11" ht="66" customHeight="1" x14ac:dyDescent="0.15">
      <c r="D18" s="64" t="s">
        <v>24</v>
      </c>
      <c r="E18" s="46" t="s">
        <v>25</v>
      </c>
      <c r="F18" s="47" t="s">
        <v>62</v>
      </c>
      <c r="G18" s="48" t="s">
        <v>26</v>
      </c>
      <c r="K18" s="44"/>
    </row>
    <row r="19" spans="4:11" ht="17.25" customHeight="1" x14ac:dyDescent="0.15">
      <c r="D19" s="166" t="s">
        <v>27</v>
      </c>
      <c r="E19" s="46" t="s">
        <v>28</v>
      </c>
      <c r="F19" s="46" t="s">
        <v>29</v>
      </c>
      <c r="G19" s="49"/>
      <c r="K19" s="50"/>
    </row>
    <row r="20" spans="4:11" ht="17.25" customHeight="1" x14ac:dyDescent="0.15">
      <c r="D20" s="166"/>
      <c r="E20" s="51" t="s">
        <v>30</v>
      </c>
      <c r="F20" s="46" t="s">
        <v>63</v>
      </c>
      <c r="G20" s="49"/>
      <c r="K20" s="50"/>
    </row>
    <row r="21" spans="4:11" ht="17.25" customHeight="1" x14ac:dyDescent="0.15">
      <c r="D21" s="166"/>
      <c r="E21" s="51" t="s">
        <v>76</v>
      </c>
      <c r="F21" s="46" t="s">
        <v>77</v>
      </c>
      <c r="G21" s="49"/>
      <c r="K21" s="50"/>
    </row>
    <row r="22" spans="4:11" ht="17.25" x14ac:dyDescent="0.15">
      <c r="D22" s="166"/>
      <c r="E22" s="51" t="s">
        <v>31</v>
      </c>
      <c r="F22" s="51" t="s">
        <v>65</v>
      </c>
      <c r="G22" s="49"/>
      <c r="K22" s="52"/>
    </row>
    <row r="23" spans="4:11" ht="17.25" x14ac:dyDescent="0.15">
      <c r="D23" s="166"/>
      <c r="E23" s="51" t="s">
        <v>32</v>
      </c>
      <c r="F23" s="51" t="s">
        <v>64</v>
      </c>
      <c r="G23" s="49"/>
      <c r="K23" s="52"/>
    </row>
    <row r="24" spans="4:11" ht="17.25" x14ac:dyDescent="0.15">
      <c r="D24" s="166"/>
      <c r="E24" s="51" t="s">
        <v>33</v>
      </c>
      <c r="F24" s="51" t="s">
        <v>66</v>
      </c>
      <c r="G24" s="49"/>
      <c r="K24" s="52"/>
    </row>
    <row r="25" spans="4:11" ht="17.25" x14ac:dyDescent="0.15">
      <c r="D25" s="166"/>
      <c r="E25" s="51" t="s">
        <v>34</v>
      </c>
      <c r="F25" s="51" t="s">
        <v>74</v>
      </c>
      <c r="G25" s="49"/>
      <c r="K25" s="52"/>
    </row>
    <row r="26" spans="4:11" ht="17.25" x14ac:dyDescent="0.15">
      <c r="D26" s="166"/>
      <c r="E26" s="51" t="s">
        <v>70</v>
      </c>
      <c r="F26" s="51" t="s">
        <v>71</v>
      </c>
      <c r="G26" s="49"/>
      <c r="K26" s="52"/>
    </row>
    <row r="27" spans="4:11" ht="17.25" x14ac:dyDescent="0.15">
      <c r="D27" s="166"/>
      <c r="E27" s="51" t="s">
        <v>35</v>
      </c>
      <c r="F27" s="51">
        <v>11</v>
      </c>
      <c r="G27" s="49"/>
      <c r="K27" s="52"/>
    </row>
    <row r="28" spans="4:11" ht="17.25" x14ac:dyDescent="0.15">
      <c r="D28" s="167"/>
      <c r="E28" s="51" t="s">
        <v>36</v>
      </c>
      <c r="F28" s="51">
        <v>120</v>
      </c>
      <c r="G28" s="49"/>
      <c r="K28" s="52"/>
    </row>
    <row r="29" spans="4:11" ht="17.25" x14ac:dyDescent="0.15">
      <c r="D29" s="168" t="s">
        <v>37</v>
      </c>
      <c r="E29" s="53" t="s">
        <v>38</v>
      </c>
      <c r="F29" s="51" t="s">
        <v>75</v>
      </c>
      <c r="G29" s="49"/>
      <c r="K29" s="52"/>
    </row>
    <row r="30" spans="4:11" ht="77.25" customHeight="1" x14ac:dyDescent="0.15">
      <c r="D30" s="168"/>
      <c r="E30" s="53" t="s">
        <v>39</v>
      </c>
      <c r="F30" s="51" t="s">
        <v>388</v>
      </c>
      <c r="G30" s="48" t="s">
        <v>40</v>
      </c>
      <c r="K30" s="52"/>
    </row>
    <row r="31" spans="4:11" ht="17.25" x14ac:dyDescent="0.15">
      <c r="D31" s="168"/>
      <c r="E31" s="53" t="s">
        <v>85</v>
      </c>
      <c r="F31" s="89"/>
      <c r="G31" s="48"/>
      <c r="K31" s="52"/>
    </row>
    <row r="32" spans="4:11" ht="17.25" x14ac:dyDescent="0.15">
      <c r="D32" s="168"/>
      <c r="E32" s="53" t="s">
        <v>41</v>
      </c>
      <c r="F32" s="54"/>
      <c r="G32" s="48"/>
      <c r="K32" s="52"/>
    </row>
    <row r="33" spans="4:11" ht="17.25" x14ac:dyDescent="0.15">
      <c r="D33" s="168"/>
      <c r="E33" s="53" t="s">
        <v>84</v>
      </c>
      <c r="F33" s="88"/>
      <c r="G33" s="49"/>
      <c r="K33" s="52"/>
    </row>
    <row r="34" spans="4:11" ht="17.25" x14ac:dyDescent="0.15">
      <c r="D34" s="168"/>
      <c r="E34" s="53" t="s">
        <v>42</v>
      </c>
      <c r="F34" s="83"/>
      <c r="G34" s="49"/>
      <c r="K34" s="52"/>
    </row>
    <row r="35" spans="4:11" ht="17.25" x14ac:dyDescent="0.15">
      <c r="D35" s="168"/>
      <c r="E35" s="53" t="s">
        <v>43</v>
      </c>
      <c r="F35" s="87"/>
      <c r="G35" s="49"/>
      <c r="K35" s="52"/>
    </row>
    <row r="36" spans="4:11" ht="17.25" x14ac:dyDescent="0.15">
      <c r="D36" s="168"/>
      <c r="E36" s="53" t="s">
        <v>44</v>
      </c>
      <c r="F36" s="84"/>
      <c r="G36" s="49"/>
      <c r="K36" s="52"/>
    </row>
    <row r="37" spans="4:11" ht="17.25" x14ac:dyDescent="0.15">
      <c r="D37" s="168"/>
      <c r="E37" s="53" t="s">
        <v>45</v>
      </c>
      <c r="F37" s="85"/>
      <c r="G37" s="49"/>
      <c r="K37" s="52"/>
    </row>
    <row r="38" spans="4:11" ht="17.25" x14ac:dyDescent="0.15">
      <c r="D38" s="168"/>
      <c r="E38" s="53" t="s">
        <v>46</v>
      </c>
      <c r="F38" s="86"/>
      <c r="G38" s="49"/>
      <c r="K38" s="52"/>
    </row>
    <row r="39" spans="4:11" ht="17.25" x14ac:dyDescent="0.15">
      <c r="D39" s="168"/>
      <c r="E39" s="53" t="s">
        <v>47</v>
      </c>
      <c r="F39" s="55"/>
      <c r="G39" s="49"/>
      <c r="K39" s="52"/>
    </row>
    <row r="40" spans="4:11" ht="17.25" x14ac:dyDescent="0.15">
      <c r="D40" s="168"/>
      <c r="E40" s="53" t="s">
        <v>48</v>
      </c>
      <c r="F40" s="51" t="s">
        <v>49</v>
      </c>
      <c r="G40" s="49"/>
      <c r="K40" s="52"/>
    </row>
    <row r="41" spans="4:11" ht="17.25" x14ac:dyDescent="0.15">
      <c r="D41" s="168"/>
      <c r="E41" s="53" t="s">
        <v>50</v>
      </c>
      <c r="F41" s="51" t="s">
        <v>51</v>
      </c>
      <c r="G41" s="49"/>
      <c r="K41" s="52"/>
    </row>
    <row r="42" spans="4:11" ht="17.25" x14ac:dyDescent="0.15">
      <c r="D42" s="168"/>
      <c r="E42" s="53" t="s">
        <v>52</v>
      </c>
      <c r="F42" s="51" t="s">
        <v>382</v>
      </c>
      <c r="G42" s="49"/>
      <c r="K42" s="52"/>
    </row>
    <row r="43" spans="4:11" ht="94.5" customHeight="1" x14ac:dyDescent="0.15">
      <c r="D43" s="168"/>
      <c r="E43" s="53" t="s">
        <v>53</v>
      </c>
      <c r="F43" s="56" t="s">
        <v>67</v>
      </c>
      <c r="G43" s="48" t="s">
        <v>54</v>
      </c>
      <c r="K43" s="52"/>
    </row>
    <row r="44" spans="4:11" x14ac:dyDescent="0.15">
      <c r="K44" s="52"/>
    </row>
    <row r="45" spans="4:11" ht="80.25" customHeight="1" x14ac:dyDescent="0.15">
      <c r="D45" s="169" t="s">
        <v>80</v>
      </c>
      <c r="E45" s="169"/>
      <c r="F45" s="169"/>
      <c r="G45" s="80" t="s">
        <v>79</v>
      </c>
      <c r="K45" s="52"/>
    </row>
    <row r="46" spans="4:11" ht="92.25" customHeight="1" x14ac:dyDescent="0.15">
      <c r="D46" s="169" t="s">
        <v>81</v>
      </c>
      <c r="E46" s="169"/>
      <c r="F46" s="169"/>
      <c r="G46" s="80" t="s">
        <v>79</v>
      </c>
      <c r="K46" s="52"/>
    </row>
    <row r="47" spans="4:11" ht="17.25" x14ac:dyDescent="0.15">
      <c r="D47" s="57" t="s">
        <v>55</v>
      </c>
      <c r="E47" s="58"/>
      <c r="F47" s="58"/>
      <c r="K47" s="52"/>
    </row>
    <row r="48" spans="4:11" ht="17.25" x14ac:dyDescent="0.15">
      <c r="D48" s="57" t="s">
        <v>56</v>
      </c>
      <c r="E48" s="58"/>
      <c r="F48" s="58"/>
      <c r="K48" s="52"/>
    </row>
    <row r="49" spans="4:25" ht="17.25" x14ac:dyDescent="0.15">
      <c r="D49" s="57" t="s">
        <v>57</v>
      </c>
      <c r="E49" s="58"/>
      <c r="F49" s="58"/>
      <c r="K49" s="52"/>
    </row>
    <row r="50" spans="4:25" ht="44.25" customHeight="1" x14ac:dyDescent="0.15">
      <c r="D50" s="169" t="s">
        <v>58</v>
      </c>
      <c r="E50" s="169"/>
      <c r="F50" s="169"/>
      <c r="K50" s="52"/>
    </row>
    <row r="51" spans="4:25" ht="17.25" x14ac:dyDescent="0.15">
      <c r="D51" s="57"/>
      <c r="E51" s="58"/>
      <c r="F51" s="58"/>
      <c r="K51" s="52"/>
    </row>
    <row r="52" spans="4:25" ht="17.25" x14ac:dyDescent="0.15">
      <c r="D52" s="57"/>
      <c r="E52" s="58"/>
      <c r="F52" s="58"/>
      <c r="K52" s="52"/>
    </row>
    <row r="53" spans="4:25" ht="17.25" x14ac:dyDescent="0.2">
      <c r="D53" s="59"/>
      <c r="K53" s="52"/>
    </row>
    <row r="54" spans="4:25" ht="17.25" x14ac:dyDescent="0.2">
      <c r="D54" s="43" t="s">
        <v>59</v>
      </c>
      <c r="K54" s="52"/>
    </row>
    <row r="55" spans="4:25" ht="31.5" customHeight="1" x14ac:dyDescent="0.15">
      <c r="D55" s="60" t="s">
        <v>383</v>
      </c>
      <c r="E55" s="120" t="s">
        <v>389</v>
      </c>
      <c r="F55" s="120" t="s">
        <v>390</v>
      </c>
      <c r="G55" s="120" t="s">
        <v>391</v>
      </c>
      <c r="H55" s="120" t="s">
        <v>392</v>
      </c>
      <c r="I55" s="120" t="s">
        <v>393</v>
      </c>
      <c r="J55" s="120" t="s">
        <v>394</v>
      </c>
      <c r="K55" s="120" t="s">
        <v>395</v>
      </c>
      <c r="L55" s="120" t="s">
        <v>396</v>
      </c>
      <c r="M55" s="120" t="s">
        <v>397</v>
      </c>
      <c r="N55" s="120" t="s">
        <v>398</v>
      </c>
      <c r="O55" s="120" t="s">
        <v>399</v>
      </c>
      <c r="P55" s="120" t="s">
        <v>400</v>
      </c>
      <c r="Q55" s="124" t="s">
        <v>401</v>
      </c>
      <c r="R55" s="124" t="s">
        <v>402</v>
      </c>
      <c r="S55" s="124" t="s">
        <v>403</v>
      </c>
      <c r="T55" s="124" t="s">
        <v>404</v>
      </c>
      <c r="U55" s="124" t="s">
        <v>405</v>
      </c>
      <c r="V55" s="124" t="s">
        <v>406</v>
      </c>
      <c r="W55" s="121" t="s">
        <v>407</v>
      </c>
      <c r="X55" s="122" t="s">
        <v>408</v>
      </c>
      <c r="Y55" s="123" t="s">
        <v>409</v>
      </c>
    </row>
    <row r="56" spans="4:25" ht="17.25" x14ac:dyDescent="0.15">
      <c r="D56" s="163" t="s">
        <v>60</v>
      </c>
      <c r="E56" s="91" t="s">
        <v>410</v>
      </c>
      <c r="F56" s="91" t="s">
        <v>411</v>
      </c>
      <c r="G56" s="91" t="s">
        <v>412</v>
      </c>
      <c r="H56" s="91" t="s">
        <v>413</v>
      </c>
      <c r="I56" s="91" t="s">
        <v>598</v>
      </c>
      <c r="J56" s="91" t="s">
        <v>595</v>
      </c>
      <c r="K56" s="91" t="s">
        <v>414</v>
      </c>
      <c r="L56" s="91" t="s">
        <v>415</v>
      </c>
      <c r="M56" s="54" t="s">
        <v>416</v>
      </c>
      <c r="N56" s="91" t="s">
        <v>606</v>
      </c>
      <c r="O56" s="88" t="s">
        <v>417</v>
      </c>
      <c r="P56" s="91" t="s">
        <v>418</v>
      </c>
      <c r="Q56" s="125" t="s">
        <v>419</v>
      </c>
      <c r="R56" s="126" t="s">
        <v>420</v>
      </c>
      <c r="S56" s="127" t="s">
        <v>421</v>
      </c>
      <c r="T56" s="128" t="s">
        <v>422</v>
      </c>
      <c r="U56" s="126" t="s">
        <v>423</v>
      </c>
      <c r="V56" s="129" t="s">
        <v>424</v>
      </c>
      <c r="W56" s="91" t="s">
        <v>425</v>
      </c>
      <c r="X56" s="91" t="s">
        <v>426</v>
      </c>
      <c r="Y56" s="91" t="s">
        <v>427</v>
      </c>
    </row>
    <row r="57" spans="4:25" ht="27" x14ac:dyDescent="0.15">
      <c r="D57" s="164"/>
      <c r="E57" s="91" t="s">
        <v>428</v>
      </c>
      <c r="F57" s="88" t="s">
        <v>429</v>
      </c>
      <c r="G57" s="88" t="s">
        <v>430</v>
      </c>
      <c r="H57" s="91" t="s">
        <v>431</v>
      </c>
      <c r="I57" s="91" t="s">
        <v>599</v>
      </c>
      <c r="J57" s="91" t="s">
        <v>596</v>
      </c>
      <c r="K57" s="91" t="s">
        <v>432</v>
      </c>
      <c r="L57" s="88" t="s">
        <v>433</v>
      </c>
      <c r="M57" s="54" t="s">
        <v>434</v>
      </c>
      <c r="N57" s="91" t="s">
        <v>607</v>
      </c>
      <c r="O57" s="88" t="s">
        <v>435</v>
      </c>
      <c r="P57" s="91" t="s">
        <v>436</v>
      </c>
      <c r="Q57" s="130" t="s">
        <v>437</v>
      </c>
      <c r="R57" s="131" t="s">
        <v>438</v>
      </c>
      <c r="S57" s="132" t="s">
        <v>439</v>
      </c>
      <c r="T57" s="131"/>
      <c r="U57" s="131"/>
      <c r="V57" s="133" t="s">
        <v>440</v>
      </c>
      <c r="W57" s="91" t="s">
        <v>441</v>
      </c>
      <c r="X57" s="91" t="s">
        <v>442</v>
      </c>
      <c r="Y57" s="91"/>
    </row>
    <row r="58" spans="4:25" ht="17.25" x14ac:dyDescent="0.15">
      <c r="D58" s="164"/>
      <c r="E58" s="88" t="s">
        <v>443</v>
      </c>
      <c r="F58" s="91" t="s">
        <v>444</v>
      </c>
      <c r="G58" s="91" t="s">
        <v>445</v>
      </c>
      <c r="H58" s="91" t="s">
        <v>446</v>
      </c>
      <c r="I58" s="91" t="s">
        <v>611</v>
      </c>
      <c r="J58" s="88" t="s">
        <v>597</v>
      </c>
      <c r="K58" s="91"/>
      <c r="L58" s="91" t="s">
        <v>447</v>
      </c>
      <c r="M58" s="91" t="s">
        <v>448</v>
      </c>
      <c r="N58" s="91" t="s">
        <v>608</v>
      </c>
      <c r="O58" s="88" t="s">
        <v>449</v>
      </c>
      <c r="P58" s="91" t="s">
        <v>450</v>
      </c>
      <c r="Q58" s="130" t="s">
        <v>451</v>
      </c>
      <c r="R58" s="131" t="s">
        <v>452</v>
      </c>
      <c r="S58" s="134" t="s">
        <v>453</v>
      </c>
      <c r="T58" s="131"/>
      <c r="U58" s="131"/>
      <c r="V58" s="135" t="s">
        <v>454</v>
      </c>
      <c r="W58" s="91" t="s">
        <v>455</v>
      </c>
      <c r="X58" s="91"/>
      <c r="Y58" s="91"/>
    </row>
    <row r="59" spans="4:25" ht="17.25" x14ac:dyDescent="0.15">
      <c r="D59" s="164"/>
      <c r="E59" s="88" t="s">
        <v>456</v>
      </c>
      <c r="F59" s="91" t="s">
        <v>457</v>
      </c>
      <c r="G59" s="91" t="s">
        <v>458</v>
      </c>
      <c r="H59" s="91" t="s">
        <v>459</v>
      </c>
      <c r="I59" s="91" t="s">
        <v>460</v>
      </c>
      <c r="J59" s="91"/>
      <c r="K59" s="91"/>
      <c r="L59" s="91" t="s">
        <v>461</v>
      </c>
      <c r="M59" s="125" t="s">
        <v>462</v>
      </c>
      <c r="N59" s="88" t="s">
        <v>609</v>
      </c>
      <c r="O59" s="91"/>
      <c r="P59" s="91" t="s">
        <v>463</v>
      </c>
      <c r="Q59" s="131" t="s">
        <v>464</v>
      </c>
      <c r="R59" s="131" t="s">
        <v>465</v>
      </c>
      <c r="S59" s="127" t="s">
        <v>466</v>
      </c>
      <c r="T59" s="131"/>
      <c r="U59" s="131"/>
      <c r="V59" s="135" t="s">
        <v>467</v>
      </c>
      <c r="W59" s="91" t="s">
        <v>468</v>
      </c>
      <c r="X59" s="91"/>
      <c r="Y59" s="91"/>
    </row>
    <row r="60" spans="4:25" ht="17.25" x14ac:dyDescent="0.15">
      <c r="D60" s="164"/>
      <c r="E60" s="91"/>
      <c r="F60" s="91" t="s">
        <v>469</v>
      </c>
      <c r="G60" s="91" t="s">
        <v>470</v>
      </c>
      <c r="H60" s="91" t="s">
        <v>471</v>
      </c>
      <c r="I60" s="91" t="s">
        <v>600</v>
      </c>
      <c r="J60" s="91"/>
      <c r="K60" s="91"/>
      <c r="L60" s="91" t="s">
        <v>472</v>
      </c>
      <c r="M60" s="91" t="s">
        <v>473</v>
      </c>
      <c r="N60" s="88" t="s">
        <v>610</v>
      </c>
      <c r="O60" s="91"/>
      <c r="P60" s="91" t="s">
        <v>474</v>
      </c>
      <c r="Q60" s="131" t="s">
        <v>475</v>
      </c>
      <c r="R60" s="131"/>
      <c r="S60" s="26" t="s">
        <v>476</v>
      </c>
      <c r="T60" s="131"/>
      <c r="U60" s="131"/>
      <c r="V60" s="136" t="s">
        <v>477</v>
      </c>
      <c r="W60" s="91" t="s">
        <v>478</v>
      </c>
      <c r="X60" s="91"/>
      <c r="Y60" s="91"/>
    </row>
    <row r="61" spans="4:25" ht="17.25" x14ac:dyDescent="0.15">
      <c r="D61" s="164"/>
      <c r="E61" s="91"/>
      <c r="F61" s="91" t="s">
        <v>479</v>
      </c>
      <c r="G61" s="91" t="s">
        <v>480</v>
      </c>
      <c r="H61" s="88" t="s">
        <v>481</v>
      </c>
      <c r="I61" s="91" t="s">
        <v>601</v>
      </c>
      <c r="J61" s="91"/>
      <c r="K61" s="91"/>
      <c r="L61" s="88" t="s">
        <v>482</v>
      </c>
      <c r="M61" s="131" t="s">
        <v>483</v>
      </c>
      <c r="N61" s="91"/>
      <c r="O61" s="91"/>
      <c r="P61" s="91" t="s">
        <v>484</v>
      </c>
      <c r="Q61" s="131" t="s">
        <v>485</v>
      </c>
      <c r="R61" s="131"/>
      <c r="S61" s="26" t="s">
        <v>486</v>
      </c>
      <c r="T61" s="131"/>
      <c r="U61" s="131"/>
      <c r="V61" s="133" t="s">
        <v>487</v>
      </c>
      <c r="W61" s="91" t="s">
        <v>488</v>
      </c>
      <c r="X61" s="91"/>
      <c r="Y61" s="91"/>
    </row>
    <row r="62" spans="4:25" ht="17.25" x14ac:dyDescent="0.15">
      <c r="D62" s="164"/>
      <c r="E62" s="91"/>
      <c r="F62" s="91" t="s">
        <v>489</v>
      </c>
      <c r="G62" s="91" t="s">
        <v>490</v>
      </c>
      <c r="H62" s="91"/>
      <c r="I62" s="88" t="s">
        <v>602</v>
      </c>
      <c r="J62" s="91"/>
      <c r="K62" s="91"/>
      <c r="L62" s="91" t="s">
        <v>491</v>
      </c>
      <c r="M62" s="54" t="s">
        <v>492</v>
      </c>
      <c r="N62" s="91"/>
      <c r="O62" s="91"/>
      <c r="P62" s="91" t="s">
        <v>493</v>
      </c>
      <c r="Q62" s="131" t="s">
        <v>494</v>
      </c>
      <c r="R62" s="131"/>
      <c r="S62" s="132" t="s">
        <v>495</v>
      </c>
      <c r="T62" s="131"/>
      <c r="U62" s="131"/>
      <c r="V62" s="133" t="s">
        <v>496</v>
      </c>
      <c r="W62" s="91" t="s">
        <v>497</v>
      </c>
      <c r="X62" s="91"/>
      <c r="Y62" s="91"/>
    </row>
    <row r="63" spans="4:25" ht="17.25" x14ac:dyDescent="0.15">
      <c r="D63" s="164"/>
      <c r="E63" s="91"/>
      <c r="F63" s="88" t="s">
        <v>498</v>
      </c>
      <c r="G63" s="91" t="s">
        <v>499</v>
      </c>
      <c r="H63" s="91"/>
      <c r="I63" s="91" t="s">
        <v>603</v>
      </c>
      <c r="J63" s="91"/>
      <c r="K63" s="91"/>
      <c r="L63" s="91" t="s">
        <v>500</v>
      </c>
      <c r="M63" s="91" t="s">
        <v>501</v>
      </c>
      <c r="N63" s="91"/>
      <c r="O63" s="91"/>
      <c r="P63" s="91" t="s">
        <v>502</v>
      </c>
      <c r="Q63" s="131" t="s">
        <v>503</v>
      </c>
      <c r="R63" s="131"/>
      <c r="S63" s="26" t="s">
        <v>504</v>
      </c>
      <c r="T63" s="131"/>
      <c r="U63" s="131"/>
      <c r="V63" s="133" t="s">
        <v>505</v>
      </c>
      <c r="W63" s="91" t="s">
        <v>506</v>
      </c>
      <c r="X63" s="91"/>
      <c r="Y63" s="91"/>
    </row>
    <row r="64" spans="4:25" ht="17.25" x14ac:dyDescent="0.15">
      <c r="D64" s="164"/>
      <c r="E64" s="91"/>
      <c r="F64" s="88" t="s">
        <v>507</v>
      </c>
      <c r="G64" s="91" t="s">
        <v>508</v>
      </c>
      <c r="H64" s="91"/>
      <c r="I64" s="91" t="s">
        <v>604</v>
      </c>
      <c r="J64" s="91"/>
      <c r="K64" s="91"/>
      <c r="L64" s="91" t="s">
        <v>509</v>
      </c>
      <c r="M64" s="91" t="s">
        <v>510</v>
      </c>
      <c r="N64" s="91"/>
      <c r="O64" s="91"/>
      <c r="P64" s="91" t="s">
        <v>511</v>
      </c>
      <c r="Q64" s="125" t="s">
        <v>512</v>
      </c>
      <c r="R64" s="131"/>
      <c r="S64" s="132" t="s">
        <v>513</v>
      </c>
      <c r="T64" s="131"/>
      <c r="U64" s="131"/>
      <c r="V64" s="133" t="s">
        <v>514</v>
      </c>
      <c r="W64" s="91" t="s">
        <v>515</v>
      </c>
      <c r="X64" s="91"/>
      <c r="Y64" s="91"/>
    </row>
    <row r="65" spans="4:25" ht="14.25" x14ac:dyDescent="0.15">
      <c r="D65" s="164"/>
      <c r="E65" s="91"/>
      <c r="F65" s="91" t="s">
        <v>516</v>
      </c>
      <c r="G65" s="91" t="s">
        <v>517</v>
      </c>
      <c r="H65" s="91"/>
      <c r="I65" s="91" t="s">
        <v>612</v>
      </c>
      <c r="J65" s="91"/>
      <c r="K65" s="91"/>
      <c r="L65" s="91" t="s">
        <v>518</v>
      </c>
      <c r="M65" s="91" t="s">
        <v>519</v>
      </c>
      <c r="N65" s="91"/>
      <c r="O65" s="91"/>
      <c r="P65" s="91" t="s">
        <v>520</v>
      </c>
      <c r="Q65" s="125" t="s">
        <v>521</v>
      </c>
      <c r="R65" s="131"/>
      <c r="S65" s="26" t="s">
        <v>522</v>
      </c>
      <c r="T65" s="131"/>
      <c r="U65" s="131"/>
      <c r="V65" s="131"/>
      <c r="W65" s="91" t="s">
        <v>523</v>
      </c>
      <c r="X65" s="91"/>
      <c r="Y65" s="91"/>
    </row>
    <row r="66" spans="4:25" ht="14.25" x14ac:dyDescent="0.15">
      <c r="D66" s="164"/>
      <c r="E66" s="91"/>
      <c r="F66" s="91" t="s">
        <v>524</v>
      </c>
      <c r="G66" s="91" t="s">
        <v>525</v>
      </c>
      <c r="H66" s="91"/>
      <c r="I66" s="91" t="s">
        <v>613</v>
      </c>
      <c r="J66" s="91"/>
      <c r="K66" s="91"/>
      <c r="L66" s="91"/>
      <c r="M66" s="91" t="s">
        <v>526</v>
      </c>
      <c r="N66" s="91"/>
      <c r="O66" s="91"/>
      <c r="P66" s="91" t="s">
        <v>527</v>
      </c>
      <c r="Q66" s="125" t="s">
        <v>528</v>
      </c>
      <c r="R66" s="131"/>
      <c r="S66" s="132" t="s">
        <v>529</v>
      </c>
      <c r="T66" s="131"/>
      <c r="U66" s="131"/>
      <c r="V66" s="131"/>
      <c r="W66" s="91"/>
      <c r="X66" s="91"/>
      <c r="Y66" s="91"/>
    </row>
    <row r="67" spans="4:25" ht="14.25" x14ac:dyDescent="0.15">
      <c r="D67" s="164"/>
      <c r="E67" s="91"/>
      <c r="F67" s="91" t="s">
        <v>530</v>
      </c>
      <c r="G67" s="91" t="s">
        <v>531</v>
      </c>
      <c r="H67" s="91"/>
      <c r="I67" s="91" t="s">
        <v>605</v>
      </c>
      <c r="J67" s="91"/>
      <c r="K67" s="91"/>
      <c r="L67" s="91"/>
      <c r="M67" s="91" t="s">
        <v>532</v>
      </c>
      <c r="N67" s="91"/>
      <c r="O67" s="91"/>
      <c r="P67" s="91" t="s">
        <v>533</v>
      </c>
      <c r="Q67" s="125" t="s">
        <v>534</v>
      </c>
      <c r="R67" s="131"/>
      <c r="S67" s="26" t="s">
        <v>535</v>
      </c>
      <c r="T67" s="131"/>
      <c r="U67" s="131"/>
      <c r="V67" s="131"/>
      <c r="W67" s="91"/>
      <c r="X67" s="91"/>
      <c r="Y67" s="91"/>
    </row>
    <row r="68" spans="4:25" ht="14.25" x14ac:dyDescent="0.15">
      <c r="D68" s="164"/>
      <c r="E68" s="91"/>
      <c r="F68" s="91" t="s">
        <v>536</v>
      </c>
      <c r="G68" s="91" t="s">
        <v>537</v>
      </c>
      <c r="H68" s="91"/>
      <c r="I68" s="91" t="s">
        <v>614</v>
      </c>
      <c r="J68" s="91"/>
      <c r="K68" s="91"/>
      <c r="L68" s="91"/>
      <c r="M68" s="91" t="s">
        <v>538</v>
      </c>
      <c r="N68" s="91"/>
      <c r="O68" s="91"/>
      <c r="P68" s="91" t="s">
        <v>539</v>
      </c>
      <c r="Q68" s="125" t="s">
        <v>540</v>
      </c>
      <c r="R68" s="131"/>
      <c r="S68" s="137" t="s">
        <v>541</v>
      </c>
      <c r="T68" s="131"/>
      <c r="U68" s="131"/>
      <c r="V68" s="131"/>
      <c r="W68" s="91"/>
      <c r="X68" s="91"/>
      <c r="Y68" s="91"/>
    </row>
    <row r="69" spans="4:25" ht="14.25" x14ac:dyDescent="0.15">
      <c r="D69" s="164"/>
      <c r="E69" s="91"/>
      <c r="F69" s="91" t="s">
        <v>542</v>
      </c>
      <c r="G69" s="91" t="s">
        <v>543</v>
      </c>
      <c r="H69" s="91"/>
      <c r="I69" s="91" t="s">
        <v>615</v>
      </c>
      <c r="J69" s="91"/>
      <c r="K69" s="91"/>
      <c r="L69" s="91"/>
      <c r="M69" s="91" t="s">
        <v>544</v>
      </c>
      <c r="N69" s="91"/>
      <c r="O69" s="91"/>
      <c r="P69" s="91" t="s">
        <v>545</v>
      </c>
      <c r="Q69" s="125" t="s">
        <v>546</v>
      </c>
      <c r="R69" s="131"/>
      <c r="S69" s="131" t="s">
        <v>547</v>
      </c>
      <c r="T69" s="131"/>
      <c r="U69" s="131"/>
      <c r="V69" s="131"/>
      <c r="W69" s="91"/>
      <c r="X69" s="91"/>
      <c r="Y69" s="91"/>
    </row>
    <row r="70" spans="4:25" ht="17.25" x14ac:dyDescent="0.15">
      <c r="D70" s="164"/>
      <c r="E70" s="91"/>
      <c r="F70" s="91" t="s">
        <v>548</v>
      </c>
      <c r="G70" s="88" t="s">
        <v>549</v>
      </c>
      <c r="H70" s="91"/>
      <c r="I70" s="91" t="s">
        <v>616</v>
      </c>
      <c r="J70" s="91"/>
      <c r="K70" s="91"/>
      <c r="L70" s="91"/>
      <c r="M70" s="91" t="s">
        <v>550</v>
      </c>
      <c r="N70" s="91"/>
      <c r="O70" s="91"/>
      <c r="P70" s="91" t="s">
        <v>551</v>
      </c>
      <c r="Q70" s="125" t="s">
        <v>552</v>
      </c>
      <c r="R70" s="131"/>
      <c r="S70" s="125" t="s">
        <v>553</v>
      </c>
      <c r="T70" s="131"/>
      <c r="U70" s="131"/>
      <c r="V70" s="131"/>
      <c r="W70" s="91"/>
      <c r="X70" s="91"/>
      <c r="Y70" s="91"/>
    </row>
    <row r="71" spans="4:25" ht="17.25" x14ac:dyDescent="0.15">
      <c r="D71" s="164"/>
      <c r="E71" s="91"/>
      <c r="F71" s="91" t="s">
        <v>554</v>
      </c>
      <c r="G71" s="88" t="s">
        <v>555</v>
      </c>
      <c r="H71" s="91"/>
      <c r="I71" s="88" t="s">
        <v>617</v>
      </c>
      <c r="J71" s="91"/>
      <c r="K71" s="91"/>
      <c r="L71" s="91"/>
      <c r="M71" s="125" t="s">
        <v>556</v>
      </c>
      <c r="N71" s="91"/>
      <c r="O71" s="91"/>
      <c r="P71" s="91" t="s">
        <v>557</v>
      </c>
      <c r="Q71" s="125" t="s">
        <v>558</v>
      </c>
      <c r="R71" s="131"/>
      <c r="S71" s="138" t="s">
        <v>559</v>
      </c>
      <c r="T71" s="131"/>
      <c r="U71" s="131"/>
      <c r="V71" s="131"/>
      <c r="W71" s="91"/>
      <c r="X71" s="91"/>
      <c r="Y71" s="91"/>
    </row>
    <row r="72" spans="4:25" ht="17.25" x14ac:dyDescent="0.15">
      <c r="D72" s="164"/>
      <c r="E72" s="91"/>
      <c r="F72" s="91" t="s">
        <v>560</v>
      </c>
      <c r="G72" s="91"/>
      <c r="H72" s="91"/>
      <c r="I72" s="88" t="s">
        <v>618</v>
      </c>
      <c r="J72" s="91"/>
      <c r="K72" s="91"/>
      <c r="L72" s="91"/>
      <c r="M72" s="61" t="s">
        <v>561</v>
      </c>
      <c r="N72" s="91"/>
      <c r="O72" s="91"/>
      <c r="P72" s="91" t="s">
        <v>562</v>
      </c>
      <c r="Q72" s="125" t="s">
        <v>563</v>
      </c>
      <c r="R72" s="131"/>
      <c r="S72" s="131" t="s">
        <v>564</v>
      </c>
      <c r="T72" s="131"/>
      <c r="U72" s="131"/>
      <c r="V72" s="131"/>
      <c r="W72" s="91"/>
      <c r="X72" s="91"/>
      <c r="Y72" s="91"/>
    </row>
    <row r="73" spans="4:25" ht="17.25" x14ac:dyDescent="0.15">
      <c r="D73" s="164"/>
      <c r="E73" s="91"/>
      <c r="F73" s="88" t="s">
        <v>565</v>
      </c>
      <c r="G73" s="91"/>
      <c r="H73" s="91"/>
      <c r="I73" s="91"/>
      <c r="J73" s="91"/>
      <c r="K73" s="91"/>
      <c r="L73" s="91"/>
      <c r="M73" s="91" t="s">
        <v>566</v>
      </c>
      <c r="N73" s="91"/>
      <c r="O73" s="91"/>
      <c r="P73" s="91" t="s">
        <v>567</v>
      </c>
      <c r="Q73" s="125" t="s">
        <v>568</v>
      </c>
      <c r="R73" s="131"/>
      <c r="S73" s="138" t="s">
        <v>569</v>
      </c>
      <c r="T73" s="131"/>
      <c r="U73" s="131"/>
      <c r="V73" s="131"/>
      <c r="W73" s="91"/>
      <c r="X73" s="91"/>
      <c r="Y73" s="91"/>
    </row>
    <row r="74" spans="4:25" ht="17.25" x14ac:dyDescent="0.15">
      <c r="D74" s="164"/>
      <c r="E74" s="91"/>
      <c r="F74" s="88" t="s">
        <v>570</v>
      </c>
      <c r="G74" s="91"/>
      <c r="H74" s="91"/>
      <c r="I74" s="91"/>
      <c r="J74" s="91"/>
      <c r="K74" s="91"/>
      <c r="L74" s="91"/>
      <c r="M74" s="91" t="s">
        <v>571</v>
      </c>
      <c r="N74" s="91"/>
      <c r="O74" s="91"/>
      <c r="P74" s="91" t="s">
        <v>572</v>
      </c>
      <c r="Q74" s="125" t="s">
        <v>573</v>
      </c>
      <c r="R74" s="131"/>
      <c r="S74" s="138" t="s">
        <v>574</v>
      </c>
      <c r="T74" s="131"/>
      <c r="U74" s="131"/>
      <c r="V74" s="131"/>
      <c r="W74" s="91"/>
      <c r="X74" s="91"/>
      <c r="Y74" s="91"/>
    </row>
    <row r="75" spans="4:25" ht="14.25" x14ac:dyDescent="0.15">
      <c r="D75" s="164"/>
      <c r="E75" s="91"/>
      <c r="F75" s="91"/>
      <c r="G75" s="91"/>
      <c r="H75" s="91"/>
      <c r="I75" s="91"/>
      <c r="J75" s="91"/>
      <c r="K75" s="91"/>
      <c r="L75" s="91"/>
      <c r="M75" s="91" t="s">
        <v>575</v>
      </c>
      <c r="N75" s="91"/>
      <c r="O75" s="91"/>
      <c r="P75" s="91" t="s">
        <v>576</v>
      </c>
      <c r="Q75" s="125" t="s">
        <v>577</v>
      </c>
      <c r="R75" s="131"/>
      <c r="S75" s="139" t="s">
        <v>578</v>
      </c>
      <c r="T75" s="131"/>
      <c r="U75" s="131"/>
      <c r="V75" s="131"/>
      <c r="W75" s="91"/>
      <c r="X75" s="91"/>
      <c r="Y75" s="91"/>
    </row>
    <row r="76" spans="4:25" ht="14.25" x14ac:dyDescent="0.15">
      <c r="D76" s="164"/>
      <c r="E76" s="91"/>
      <c r="F76" s="91"/>
      <c r="G76" s="91"/>
      <c r="H76" s="91"/>
      <c r="I76" s="91"/>
      <c r="J76" s="91"/>
      <c r="K76" s="91"/>
      <c r="L76" s="91"/>
      <c r="M76" s="91" t="s">
        <v>579</v>
      </c>
      <c r="N76" s="91"/>
      <c r="O76" s="91"/>
      <c r="P76" s="91" t="s">
        <v>580</v>
      </c>
      <c r="Q76" s="125" t="s">
        <v>581</v>
      </c>
      <c r="R76" s="131"/>
      <c r="S76" s="139" t="s">
        <v>582</v>
      </c>
      <c r="T76" s="131"/>
      <c r="U76" s="131"/>
      <c r="V76" s="131"/>
      <c r="W76" s="91"/>
      <c r="X76" s="91"/>
      <c r="Y76" s="91"/>
    </row>
    <row r="77" spans="4:25" ht="17.25" x14ac:dyDescent="0.15">
      <c r="D77" s="164"/>
      <c r="E77" s="91"/>
      <c r="F77" s="91"/>
      <c r="G77" s="91"/>
      <c r="H77" s="91"/>
      <c r="I77" s="91"/>
      <c r="J77" s="91"/>
      <c r="K77" s="91"/>
      <c r="L77" s="91"/>
      <c r="M77" s="91" t="s">
        <v>583</v>
      </c>
      <c r="N77" s="91"/>
      <c r="O77" s="91"/>
      <c r="P77" s="88" t="s">
        <v>584</v>
      </c>
      <c r="Q77" s="139" t="s">
        <v>585</v>
      </c>
      <c r="R77" s="131"/>
      <c r="S77" s="139" t="s">
        <v>586</v>
      </c>
      <c r="T77" s="131"/>
      <c r="U77" s="131"/>
      <c r="V77" s="131"/>
      <c r="W77" s="91"/>
      <c r="X77" s="91"/>
      <c r="Y77" s="91"/>
    </row>
    <row r="78" spans="4:25" ht="17.25" x14ac:dyDescent="0.15">
      <c r="D78" s="164"/>
      <c r="E78" s="91"/>
      <c r="F78" s="91"/>
      <c r="G78" s="91"/>
      <c r="H78" s="91"/>
      <c r="I78" s="91"/>
      <c r="J78" s="91"/>
      <c r="K78" s="91"/>
      <c r="L78" s="91"/>
      <c r="M78" s="88" t="s">
        <v>587</v>
      </c>
      <c r="N78" s="91"/>
      <c r="O78" s="91"/>
      <c r="P78" s="88" t="s">
        <v>588</v>
      </c>
      <c r="Q78" s="140" t="s">
        <v>589</v>
      </c>
      <c r="R78" s="91"/>
      <c r="S78" s="125" t="s">
        <v>590</v>
      </c>
      <c r="T78" s="91"/>
      <c r="U78" s="91"/>
      <c r="V78" s="91"/>
      <c r="W78" s="91"/>
      <c r="X78" s="91"/>
      <c r="Y78" s="91"/>
    </row>
    <row r="79" spans="4:25" ht="17.25" x14ac:dyDescent="0.15">
      <c r="D79" s="164"/>
      <c r="E79" s="61"/>
      <c r="F79" s="61"/>
      <c r="G79" s="61"/>
      <c r="H79" s="61"/>
      <c r="I79" s="61"/>
      <c r="J79" s="61"/>
      <c r="K79" s="61"/>
      <c r="L79" s="61"/>
      <c r="M79" s="54" t="s">
        <v>591</v>
      </c>
      <c r="N79" s="61"/>
      <c r="O79" s="61"/>
      <c r="P79" s="88" t="s">
        <v>592</v>
      </c>
      <c r="Q79" s="91"/>
      <c r="R79" s="91"/>
      <c r="S79" s="91"/>
      <c r="T79" s="91"/>
      <c r="U79" s="91"/>
      <c r="V79" s="91"/>
      <c r="W79" s="61"/>
      <c r="X79" s="61"/>
      <c r="Y79" s="61"/>
    </row>
    <row r="80" spans="4:25" ht="17.25" x14ac:dyDescent="0.15">
      <c r="D80" s="164"/>
      <c r="E80" s="61"/>
      <c r="F80" s="61"/>
      <c r="G80" s="61"/>
      <c r="H80" s="61"/>
      <c r="I80" s="61"/>
      <c r="J80" s="61"/>
      <c r="K80" s="61"/>
      <c r="L80" s="61"/>
      <c r="M80" s="88" t="s">
        <v>593</v>
      </c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</row>
    <row r="81" spans="4:25" ht="17.25" x14ac:dyDescent="0.15">
      <c r="D81" s="164"/>
      <c r="E81" s="61"/>
      <c r="F81" s="61"/>
      <c r="G81" s="61"/>
      <c r="H81" s="61"/>
      <c r="I81" s="61"/>
      <c r="J81" s="61"/>
      <c r="K81" s="61"/>
      <c r="L81" s="61"/>
      <c r="M81" s="88" t="s">
        <v>594</v>
      </c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</row>
    <row r="82" spans="4:25" x14ac:dyDescent="0.15">
      <c r="D82" s="164"/>
      <c r="E82" s="61"/>
      <c r="F82" s="61"/>
      <c r="G82" s="61"/>
      <c r="H82" s="61"/>
      <c r="I82" s="61"/>
      <c r="J82" s="61"/>
      <c r="K82" s="61"/>
      <c r="L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</row>
    <row r="83" spans="4:25" x14ac:dyDescent="0.15">
      <c r="D83" s="164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</row>
    <row r="84" spans="4:25" x14ac:dyDescent="0.15">
      <c r="D84" s="164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</row>
    <row r="85" spans="4:25" x14ac:dyDescent="0.15">
      <c r="D85" s="164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</row>
    <row r="86" spans="4:25" x14ac:dyDescent="0.15">
      <c r="D86" s="164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</row>
    <row r="87" spans="4:25" x14ac:dyDescent="0.15">
      <c r="D87" s="164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</row>
    <row r="88" spans="4:25" x14ac:dyDescent="0.15">
      <c r="D88" s="164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</row>
    <row r="89" spans="4:25" x14ac:dyDescent="0.15">
      <c r="D89" s="164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</row>
    <row r="90" spans="4:25" x14ac:dyDescent="0.15">
      <c r="D90" s="164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</row>
    <row r="91" spans="4:25" x14ac:dyDescent="0.15">
      <c r="D91" s="164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</row>
    <row r="92" spans="4:25" ht="13.5" customHeight="1" x14ac:dyDescent="0.15">
      <c r="D92" s="164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</row>
    <row r="93" spans="4:25" ht="13.5" customHeight="1" x14ac:dyDescent="0.15">
      <c r="D93" s="164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</row>
    <row r="94" spans="4:25" ht="13.5" customHeight="1" x14ac:dyDescent="0.15">
      <c r="D94" s="164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</row>
    <row r="95" spans="4:25" ht="13.5" customHeight="1" x14ac:dyDescent="0.15">
      <c r="D95" s="164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</row>
    <row r="96" spans="4:25" ht="13.5" customHeight="1" x14ac:dyDescent="0.15">
      <c r="D96" s="164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</row>
    <row r="97" spans="4:25" ht="13.5" customHeight="1" x14ac:dyDescent="0.15">
      <c r="D97" s="164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</row>
    <row r="98" spans="4:25" ht="13.5" customHeight="1" x14ac:dyDescent="0.15">
      <c r="D98" s="164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</row>
    <row r="99" spans="4:25" ht="13.5" customHeight="1" x14ac:dyDescent="0.15">
      <c r="D99" s="164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</row>
    <row r="100" spans="4:25" ht="13.5" customHeight="1" x14ac:dyDescent="0.15">
      <c r="D100" s="164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</row>
    <row r="101" spans="4:25" ht="13.5" customHeight="1" x14ac:dyDescent="0.15">
      <c r="D101" s="164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</row>
    <row r="102" spans="4:25" ht="13.5" customHeight="1" x14ac:dyDescent="0.15">
      <c r="D102" s="164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</row>
    <row r="103" spans="4:25" ht="13.5" customHeight="1" x14ac:dyDescent="0.15">
      <c r="D103" s="164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</row>
    <row r="104" spans="4:25" ht="13.5" customHeight="1" x14ac:dyDescent="0.15">
      <c r="D104" s="165"/>
      <c r="E104" s="62"/>
      <c r="F104" s="62"/>
      <c r="G104" s="62"/>
      <c r="H104" s="62"/>
      <c r="I104" s="62"/>
      <c r="J104" s="62"/>
      <c r="K104" s="62"/>
      <c r="L104" s="62"/>
      <c r="M104" s="61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</row>
    <row r="105" spans="4:25" ht="13.5" customHeight="1" x14ac:dyDescent="0.15">
      <c r="K105" s="52"/>
      <c r="L105" s="63"/>
    </row>
    <row r="106" spans="4:25" ht="13.5" customHeight="1" x14ac:dyDescent="0.15">
      <c r="K106" s="52"/>
      <c r="L106" s="63"/>
    </row>
    <row r="107" spans="4:25" ht="13.5" customHeight="1" x14ac:dyDescent="0.15">
      <c r="K107" s="52"/>
      <c r="L107" s="63"/>
    </row>
    <row r="108" spans="4:25" ht="13.5" customHeight="1" x14ac:dyDescent="0.15">
      <c r="K108" s="52"/>
      <c r="L108" s="63"/>
    </row>
    <row r="109" spans="4:25" ht="13.5" customHeight="1" x14ac:dyDescent="0.15">
      <c r="K109" s="52"/>
      <c r="L109" s="63"/>
    </row>
    <row r="110" spans="4:25" ht="13.5" customHeight="1" x14ac:dyDescent="0.15">
      <c r="K110" s="52"/>
      <c r="L110" s="63"/>
    </row>
    <row r="111" spans="4:25" ht="13.5" customHeight="1" x14ac:dyDescent="0.15">
      <c r="K111" s="52"/>
      <c r="L111" s="63"/>
    </row>
    <row r="112" spans="4:25" ht="14.25" x14ac:dyDescent="0.15">
      <c r="K112" s="52"/>
      <c r="L112" s="63"/>
    </row>
    <row r="113" spans="11:12" ht="14.25" x14ac:dyDescent="0.15">
      <c r="K113" s="52"/>
      <c r="L113" s="63"/>
    </row>
    <row r="114" spans="11:12" ht="13.5" customHeight="1" x14ac:dyDescent="0.15">
      <c r="K114" s="52"/>
      <c r="L114" s="63"/>
    </row>
    <row r="115" spans="11:12" ht="14.25" x14ac:dyDescent="0.15">
      <c r="K115" s="52"/>
      <c r="L115" s="63"/>
    </row>
    <row r="116" spans="11:12" ht="14.25" x14ac:dyDescent="0.15">
      <c r="K116" s="52"/>
      <c r="L116" s="63"/>
    </row>
    <row r="117" spans="11:12" ht="14.25" x14ac:dyDescent="0.15">
      <c r="K117" s="52"/>
      <c r="L117" s="63"/>
    </row>
    <row r="118" spans="11:12" x14ac:dyDescent="0.15">
      <c r="K118" s="52"/>
    </row>
    <row r="119" spans="11:12" x14ac:dyDescent="0.15">
      <c r="K119" s="52"/>
    </row>
    <row r="120" spans="11:12" x14ac:dyDescent="0.15">
      <c r="K120" s="52"/>
    </row>
    <row r="121" spans="11:12" x14ac:dyDescent="0.15">
      <c r="K121" s="52"/>
    </row>
    <row r="122" spans="11:12" x14ac:dyDescent="0.15">
      <c r="K122" s="52"/>
    </row>
    <row r="123" spans="11:12" x14ac:dyDescent="0.15">
      <c r="K123" s="52"/>
    </row>
    <row r="124" spans="11:12" x14ac:dyDescent="0.15">
      <c r="K124" s="52"/>
    </row>
    <row r="125" spans="11:12" x14ac:dyDescent="0.15">
      <c r="K125" s="52"/>
    </row>
    <row r="126" spans="11:12" x14ac:dyDescent="0.15">
      <c r="K126" s="52"/>
    </row>
    <row r="127" spans="11:12" x14ac:dyDescent="0.15">
      <c r="K127" s="52"/>
    </row>
    <row r="128" spans="11:12" x14ac:dyDescent="0.15">
      <c r="K128" s="52"/>
    </row>
    <row r="129" spans="11:11" x14ac:dyDescent="0.15">
      <c r="K129" s="52"/>
    </row>
    <row r="130" spans="11:11" x14ac:dyDescent="0.15">
      <c r="K130" s="52"/>
    </row>
    <row r="131" spans="11:11" x14ac:dyDescent="0.15">
      <c r="K131" s="52"/>
    </row>
    <row r="132" spans="11:11" x14ac:dyDescent="0.15">
      <c r="K132" s="52"/>
    </row>
    <row r="133" spans="11:11" x14ac:dyDescent="0.15">
      <c r="K133" s="52"/>
    </row>
    <row r="134" spans="11:11" x14ac:dyDescent="0.15">
      <c r="K134" s="52"/>
    </row>
    <row r="135" spans="11:11" x14ac:dyDescent="0.15">
      <c r="K135" s="52"/>
    </row>
    <row r="136" spans="11:11" x14ac:dyDescent="0.15">
      <c r="K136" s="52"/>
    </row>
    <row r="137" spans="11:11" x14ac:dyDescent="0.15">
      <c r="K137" s="52"/>
    </row>
    <row r="138" spans="11:11" x14ac:dyDescent="0.15">
      <c r="K138" s="52"/>
    </row>
    <row r="139" spans="11:11" x14ac:dyDescent="0.15">
      <c r="K139" s="52"/>
    </row>
    <row r="140" spans="11:11" x14ac:dyDescent="0.15">
      <c r="K140" s="52"/>
    </row>
    <row r="141" spans="11:11" x14ac:dyDescent="0.15">
      <c r="K141" s="52"/>
    </row>
    <row r="142" spans="11:11" x14ac:dyDescent="0.15">
      <c r="K142" s="52"/>
    </row>
    <row r="143" spans="11:11" x14ac:dyDescent="0.15">
      <c r="K143" s="52"/>
    </row>
    <row r="144" spans="11:11" x14ac:dyDescent="0.15">
      <c r="K144" s="52"/>
    </row>
    <row r="145" spans="11:11" x14ac:dyDescent="0.15">
      <c r="K145" s="52"/>
    </row>
    <row r="146" spans="11:11" x14ac:dyDescent="0.15">
      <c r="K146" s="52"/>
    </row>
    <row r="147" spans="11:11" x14ac:dyDescent="0.15">
      <c r="K147" s="52"/>
    </row>
    <row r="148" spans="11:11" x14ac:dyDescent="0.15">
      <c r="K148" s="52"/>
    </row>
    <row r="149" spans="11:11" x14ac:dyDescent="0.15">
      <c r="K149" s="52"/>
    </row>
    <row r="150" spans="11:11" x14ac:dyDescent="0.15">
      <c r="K150" s="52"/>
    </row>
    <row r="151" spans="11:11" x14ac:dyDescent="0.15">
      <c r="K151" s="52"/>
    </row>
    <row r="152" spans="11:11" x14ac:dyDescent="0.15">
      <c r="K152" s="52"/>
    </row>
    <row r="153" spans="11:11" x14ac:dyDescent="0.15">
      <c r="K153" s="52"/>
    </row>
    <row r="154" spans="11:11" x14ac:dyDescent="0.15">
      <c r="K154" s="52"/>
    </row>
    <row r="155" spans="11:11" x14ac:dyDescent="0.15">
      <c r="K155" s="52"/>
    </row>
    <row r="156" spans="11:11" x14ac:dyDescent="0.15">
      <c r="K156" s="52"/>
    </row>
    <row r="157" spans="11:11" x14ac:dyDescent="0.15">
      <c r="K157" s="52"/>
    </row>
    <row r="158" spans="11:11" x14ac:dyDescent="0.15">
      <c r="K158" s="52"/>
    </row>
    <row r="159" spans="11:11" x14ac:dyDescent="0.15">
      <c r="K159" s="52"/>
    </row>
    <row r="160" spans="11:11" x14ac:dyDescent="0.15">
      <c r="K160" s="52"/>
    </row>
    <row r="161" spans="11:11" x14ac:dyDescent="0.15">
      <c r="K161" s="52"/>
    </row>
    <row r="162" spans="11:11" x14ac:dyDescent="0.15">
      <c r="K162" s="52"/>
    </row>
    <row r="163" spans="11:11" x14ac:dyDescent="0.15">
      <c r="K163" s="52"/>
    </row>
    <row r="164" spans="11:11" x14ac:dyDescent="0.15">
      <c r="K164" s="52"/>
    </row>
    <row r="165" spans="11:11" x14ac:dyDescent="0.15">
      <c r="K165" s="52"/>
    </row>
    <row r="166" spans="11:11" x14ac:dyDescent="0.15">
      <c r="K166" s="52"/>
    </row>
    <row r="167" spans="11:11" x14ac:dyDescent="0.15">
      <c r="K167" s="52"/>
    </row>
    <row r="168" spans="11:11" x14ac:dyDescent="0.15">
      <c r="K168" s="52"/>
    </row>
    <row r="169" spans="11:11" x14ac:dyDescent="0.15">
      <c r="K169" s="52"/>
    </row>
    <row r="170" spans="11:11" x14ac:dyDescent="0.15">
      <c r="K170" s="52"/>
    </row>
    <row r="171" spans="11:11" x14ac:dyDescent="0.15">
      <c r="K171" s="52"/>
    </row>
    <row r="172" spans="11:11" x14ac:dyDescent="0.15">
      <c r="K172" s="52"/>
    </row>
    <row r="173" spans="11:11" x14ac:dyDescent="0.15">
      <c r="K173" s="52"/>
    </row>
    <row r="174" spans="11:11" x14ac:dyDescent="0.15">
      <c r="K174" s="52"/>
    </row>
    <row r="175" spans="11:11" x14ac:dyDescent="0.15">
      <c r="K175" s="52"/>
    </row>
    <row r="176" spans="11:11" x14ac:dyDescent="0.15">
      <c r="K176" s="52"/>
    </row>
    <row r="177" spans="11:11" x14ac:dyDescent="0.15">
      <c r="K177" s="52"/>
    </row>
    <row r="178" spans="11:11" x14ac:dyDescent="0.15">
      <c r="K178" s="52"/>
    </row>
    <row r="179" spans="11:11" x14ac:dyDescent="0.15">
      <c r="K179" s="52"/>
    </row>
    <row r="180" spans="11:11" x14ac:dyDescent="0.15">
      <c r="K180" s="52"/>
    </row>
    <row r="181" spans="11:11" x14ac:dyDescent="0.15">
      <c r="K181" s="52"/>
    </row>
    <row r="182" spans="11:11" x14ac:dyDescent="0.15">
      <c r="K182" s="52"/>
    </row>
    <row r="183" spans="11:11" x14ac:dyDescent="0.15">
      <c r="K183" s="52"/>
    </row>
    <row r="184" spans="11:11" x14ac:dyDescent="0.15">
      <c r="K184" s="52"/>
    </row>
    <row r="185" spans="11:11" x14ac:dyDescent="0.15">
      <c r="K185" s="52"/>
    </row>
    <row r="186" spans="11:11" x14ac:dyDescent="0.15">
      <c r="K186" s="52"/>
    </row>
    <row r="187" spans="11:11" x14ac:dyDescent="0.15">
      <c r="K187" s="52"/>
    </row>
    <row r="188" spans="11:11" x14ac:dyDescent="0.15">
      <c r="K188" s="52"/>
    </row>
    <row r="189" spans="11:11" x14ac:dyDescent="0.15">
      <c r="K189" s="52"/>
    </row>
    <row r="190" spans="11:11" x14ac:dyDescent="0.15">
      <c r="K190" s="52"/>
    </row>
    <row r="191" spans="11:11" x14ac:dyDescent="0.15">
      <c r="K191" s="52"/>
    </row>
    <row r="192" spans="11:11" x14ac:dyDescent="0.15">
      <c r="K192" s="52"/>
    </row>
    <row r="193" spans="11:11" x14ac:dyDescent="0.15">
      <c r="K193" s="52"/>
    </row>
    <row r="194" spans="11:11" x14ac:dyDescent="0.15">
      <c r="K194" s="52"/>
    </row>
    <row r="195" spans="11:11" x14ac:dyDescent="0.15">
      <c r="K195" s="52"/>
    </row>
    <row r="196" spans="11:11" x14ac:dyDescent="0.15">
      <c r="K196" s="52"/>
    </row>
    <row r="197" spans="11:11" x14ac:dyDescent="0.15">
      <c r="K197" s="52"/>
    </row>
    <row r="198" spans="11:11" x14ac:dyDescent="0.15">
      <c r="K198" s="52"/>
    </row>
    <row r="199" spans="11:11" x14ac:dyDescent="0.15">
      <c r="K199" s="52"/>
    </row>
    <row r="200" spans="11:11" x14ac:dyDescent="0.15">
      <c r="K200" s="52"/>
    </row>
    <row r="201" spans="11:11" x14ac:dyDescent="0.15">
      <c r="K201" s="52"/>
    </row>
    <row r="202" spans="11:11" x14ac:dyDescent="0.15">
      <c r="K202" s="52"/>
    </row>
    <row r="203" spans="11:11" x14ac:dyDescent="0.15">
      <c r="K203" s="52"/>
    </row>
    <row r="204" spans="11:11" x14ac:dyDescent="0.15">
      <c r="K204" s="52"/>
    </row>
    <row r="205" spans="11:11" x14ac:dyDescent="0.15">
      <c r="K205" s="52"/>
    </row>
    <row r="206" spans="11:11" x14ac:dyDescent="0.15">
      <c r="K206" s="52"/>
    </row>
    <row r="207" spans="11:11" x14ac:dyDescent="0.15">
      <c r="K207" s="52"/>
    </row>
    <row r="208" spans="11:11" x14ac:dyDescent="0.15">
      <c r="K208" s="52"/>
    </row>
    <row r="209" spans="11:11" x14ac:dyDescent="0.15">
      <c r="K209" s="52"/>
    </row>
    <row r="210" spans="11:11" x14ac:dyDescent="0.15">
      <c r="K210" s="52"/>
    </row>
    <row r="211" spans="11:11" x14ac:dyDescent="0.15">
      <c r="K211" s="52"/>
    </row>
    <row r="212" spans="11:11" x14ac:dyDescent="0.15">
      <c r="K212" s="52"/>
    </row>
    <row r="213" spans="11:11" x14ac:dyDescent="0.15">
      <c r="K213" s="52"/>
    </row>
    <row r="214" spans="11:11" x14ac:dyDescent="0.15">
      <c r="K214" s="52"/>
    </row>
    <row r="215" spans="11:11" x14ac:dyDescent="0.15">
      <c r="K215" s="52"/>
    </row>
    <row r="216" spans="11:11" x14ac:dyDescent="0.15">
      <c r="K216" s="52"/>
    </row>
    <row r="217" spans="11:11" x14ac:dyDescent="0.15">
      <c r="K217" s="52"/>
    </row>
    <row r="218" spans="11:11" x14ac:dyDescent="0.15">
      <c r="K218" s="52"/>
    </row>
    <row r="219" spans="11:11" x14ac:dyDescent="0.15">
      <c r="K219" s="52"/>
    </row>
    <row r="220" spans="11:11" x14ac:dyDescent="0.15">
      <c r="K220" s="52"/>
    </row>
    <row r="221" spans="11:11" x14ac:dyDescent="0.15">
      <c r="K221" s="52"/>
    </row>
    <row r="222" spans="11:11" x14ac:dyDescent="0.15">
      <c r="K222" s="52"/>
    </row>
    <row r="223" spans="11:11" x14ac:dyDescent="0.15">
      <c r="K223" s="52"/>
    </row>
    <row r="224" spans="11:11" x14ac:dyDescent="0.15">
      <c r="K224" s="52"/>
    </row>
    <row r="225" spans="11:11" x14ac:dyDescent="0.15">
      <c r="K225" s="52"/>
    </row>
    <row r="226" spans="11:11" x14ac:dyDescent="0.15">
      <c r="K226" s="52"/>
    </row>
    <row r="227" spans="11:11" x14ac:dyDescent="0.15">
      <c r="K227" s="52"/>
    </row>
    <row r="228" spans="11:11" x14ac:dyDescent="0.15">
      <c r="K228" s="52"/>
    </row>
    <row r="229" spans="11:11" x14ac:dyDescent="0.15">
      <c r="K229" s="52"/>
    </row>
    <row r="230" spans="11:11" x14ac:dyDescent="0.15">
      <c r="K230" s="52"/>
    </row>
    <row r="231" spans="11:11" x14ac:dyDescent="0.15">
      <c r="K231" s="52"/>
    </row>
    <row r="232" spans="11:11" x14ac:dyDescent="0.15">
      <c r="K232" s="52"/>
    </row>
    <row r="233" spans="11:11" x14ac:dyDescent="0.15">
      <c r="K233" s="52"/>
    </row>
    <row r="234" spans="11:11" x14ac:dyDescent="0.15">
      <c r="K234" s="52"/>
    </row>
    <row r="235" spans="11:11" x14ac:dyDescent="0.15">
      <c r="K235" s="52"/>
    </row>
    <row r="236" spans="11:11" x14ac:dyDescent="0.15">
      <c r="K236" s="52"/>
    </row>
    <row r="237" spans="11:11" x14ac:dyDescent="0.15">
      <c r="K237" s="52"/>
    </row>
    <row r="238" spans="11:11" x14ac:dyDescent="0.15">
      <c r="K238" s="52"/>
    </row>
    <row r="239" spans="11:11" x14ac:dyDescent="0.15">
      <c r="K239" s="52"/>
    </row>
    <row r="240" spans="11:11" x14ac:dyDescent="0.15">
      <c r="K240" s="52"/>
    </row>
    <row r="241" spans="11:11" x14ac:dyDescent="0.15">
      <c r="K241" s="52"/>
    </row>
    <row r="242" spans="11:11" x14ac:dyDescent="0.15">
      <c r="K242" s="52"/>
    </row>
    <row r="243" spans="11:11" x14ac:dyDescent="0.15">
      <c r="K243" s="52"/>
    </row>
    <row r="244" spans="11:11" x14ac:dyDescent="0.15">
      <c r="K244" s="52"/>
    </row>
    <row r="245" spans="11:11" x14ac:dyDescent="0.15">
      <c r="K245" s="52"/>
    </row>
    <row r="246" spans="11:11" x14ac:dyDescent="0.15">
      <c r="K246" s="52"/>
    </row>
    <row r="247" spans="11:11" x14ac:dyDescent="0.15">
      <c r="K247" s="52"/>
    </row>
    <row r="248" spans="11:11" x14ac:dyDescent="0.15">
      <c r="K248" s="52"/>
    </row>
    <row r="249" spans="11:11" x14ac:dyDescent="0.15">
      <c r="K249" s="52"/>
    </row>
    <row r="250" spans="11:11" x14ac:dyDescent="0.15">
      <c r="K250" s="52"/>
    </row>
    <row r="251" spans="11:11" x14ac:dyDescent="0.15">
      <c r="K251" s="52"/>
    </row>
    <row r="252" spans="11:11" x14ac:dyDescent="0.15">
      <c r="K252" s="52"/>
    </row>
    <row r="253" spans="11:11" x14ac:dyDescent="0.15">
      <c r="K253" s="52"/>
    </row>
    <row r="254" spans="11:11" x14ac:dyDescent="0.15">
      <c r="K254" s="52"/>
    </row>
    <row r="255" spans="11:11" x14ac:dyDescent="0.15">
      <c r="K255" s="52"/>
    </row>
    <row r="256" spans="11:11" x14ac:dyDescent="0.15">
      <c r="K256" s="52"/>
    </row>
    <row r="257" spans="11:11" x14ac:dyDescent="0.15">
      <c r="K257" s="52"/>
    </row>
    <row r="258" spans="11:11" x14ac:dyDescent="0.15">
      <c r="K258" s="52"/>
    </row>
    <row r="259" spans="11:11" x14ac:dyDescent="0.15">
      <c r="K259" s="52"/>
    </row>
    <row r="260" spans="11:11" x14ac:dyDescent="0.15">
      <c r="K260" s="52"/>
    </row>
    <row r="261" spans="11:11" x14ac:dyDescent="0.15">
      <c r="K261" s="52"/>
    </row>
    <row r="262" spans="11:11" x14ac:dyDescent="0.15">
      <c r="K262" s="52"/>
    </row>
    <row r="263" spans="11:11" x14ac:dyDescent="0.15">
      <c r="K263" s="52"/>
    </row>
    <row r="264" spans="11:11" x14ac:dyDescent="0.15">
      <c r="K264" s="52"/>
    </row>
    <row r="265" spans="11:11" x14ac:dyDescent="0.15">
      <c r="K265" s="52"/>
    </row>
    <row r="266" spans="11:11" x14ac:dyDescent="0.15">
      <c r="K266" s="52"/>
    </row>
    <row r="267" spans="11:11" x14ac:dyDescent="0.15">
      <c r="K267" s="52"/>
    </row>
    <row r="268" spans="11:11" x14ac:dyDescent="0.15">
      <c r="K268" s="52"/>
    </row>
    <row r="269" spans="11:11" x14ac:dyDescent="0.15">
      <c r="K269" s="52"/>
    </row>
    <row r="270" spans="11:11" x14ac:dyDescent="0.15">
      <c r="K270" s="52"/>
    </row>
    <row r="271" spans="11:11" x14ac:dyDescent="0.15">
      <c r="K271" s="52"/>
    </row>
    <row r="272" spans="11:11" x14ac:dyDescent="0.15">
      <c r="K272" s="52"/>
    </row>
  </sheetData>
  <dataConsolidate/>
  <mergeCells count="6">
    <mergeCell ref="D56:D104"/>
    <mergeCell ref="D19:D28"/>
    <mergeCell ref="D29:D43"/>
    <mergeCell ref="D45:F45"/>
    <mergeCell ref="D46:F46"/>
    <mergeCell ref="D50:F50"/>
  </mergeCells>
  <phoneticPr fontId="3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785" r:id="rId4" name="CommandButton1">
          <controlPr defaultSize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2466975</xdr:colOff>
                <xdr:row>3</xdr:row>
                <xdr:rowOff>0</xdr:rowOff>
              </to>
            </anchor>
          </controlPr>
        </control>
      </mc:Choice>
      <mc:Fallback>
        <control shapeId="118785" r:id="rId4" name="CommandButton1"/>
      </mc:Fallback>
    </mc:AlternateContent>
    <mc:AlternateContent xmlns:mc="http://schemas.openxmlformats.org/markup-compatibility/2006">
      <mc:Choice Requires="x14">
        <control shapeId="118786" r:id="rId6" name="CommandButton2">
          <controlPr defaultSize="0" autoLine="0" r:id="rId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2466975</xdr:colOff>
                <xdr:row>7</xdr:row>
                <xdr:rowOff>0</xdr:rowOff>
              </to>
            </anchor>
          </controlPr>
        </control>
      </mc:Choice>
      <mc:Fallback>
        <control shapeId="118786" r:id="rId6" name="CommandButton2"/>
      </mc:Fallback>
    </mc:AlternateContent>
    <mc:AlternateContent xmlns:mc="http://schemas.openxmlformats.org/markup-compatibility/2006">
      <mc:Choice Requires="x14">
        <control shapeId="118787" r:id="rId8" name="CommandButton3">
          <controlPr defaultSize="0" autoLine="0" r:id="rId9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2466975</xdr:colOff>
                <xdr:row>9</xdr:row>
                <xdr:rowOff>0</xdr:rowOff>
              </to>
            </anchor>
          </controlPr>
        </control>
      </mc:Choice>
      <mc:Fallback>
        <control shapeId="118787" r:id="rId8" name="CommandButton3"/>
      </mc:Fallback>
    </mc:AlternateContent>
    <mc:AlternateContent xmlns:mc="http://schemas.openxmlformats.org/markup-compatibility/2006">
      <mc:Choice Requires="x14">
        <control shapeId="118788" r:id="rId10" name="CommandButton4">
          <controlPr defaultSize="0" autoLine="0" r:id="rId11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2466975</xdr:colOff>
                <xdr:row>11</xdr:row>
                <xdr:rowOff>0</xdr:rowOff>
              </to>
            </anchor>
          </controlPr>
        </control>
      </mc:Choice>
      <mc:Fallback>
        <control shapeId="118788" r:id="rId10" name="CommandButton4"/>
      </mc:Fallback>
    </mc:AlternateContent>
    <mc:AlternateContent xmlns:mc="http://schemas.openxmlformats.org/markup-compatibility/2006">
      <mc:Choice Requires="x14">
        <control shapeId="118789" r:id="rId12" name="CommandButton5">
          <controlPr defaultSize="0" autoLine="0" r:id="rId13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2466975</xdr:colOff>
                <xdr:row>5</xdr:row>
                <xdr:rowOff>0</xdr:rowOff>
              </to>
            </anchor>
          </controlPr>
        </control>
      </mc:Choice>
      <mc:Fallback>
        <control shapeId="118789" r:id="rId12" name="CommandButton5"/>
      </mc:Fallback>
    </mc:AlternateContent>
    <mc:AlternateContent xmlns:mc="http://schemas.openxmlformats.org/markup-compatibility/2006">
      <mc:Choice Requires="x14">
        <control shapeId="118790" r:id="rId14" name="CommandButton6">
          <controlPr defaultSize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2466975</xdr:colOff>
                <xdr:row>13</xdr:row>
                <xdr:rowOff>0</xdr:rowOff>
              </to>
            </anchor>
          </controlPr>
        </control>
      </mc:Choice>
      <mc:Fallback>
        <control shapeId="118790" r:id="rId14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819"/>
  <sheetViews>
    <sheetView workbookViewId="0"/>
  </sheetViews>
  <sheetFormatPr defaultRowHeight="13.5" x14ac:dyDescent="0.15"/>
  <cols>
    <col min="1" max="1" width="10.75" customWidth="1"/>
    <col min="2" max="3" width="11.875" customWidth="1"/>
    <col min="4" max="4" width="24.5" customWidth="1"/>
    <col min="5" max="5" width="21.5" customWidth="1"/>
    <col min="6" max="8" width="9" style="38"/>
    <col min="9" max="9" width="5.75" bestFit="1" customWidth="1"/>
  </cols>
  <sheetData>
    <row r="1" spans="1:9" ht="26.25" customHeight="1" x14ac:dyDescent="0.15">
      <c r="A1" s="34" t="s">
        <v>101</v>
      </c>
      <c r="B1" s="35" t="s">
        <v>13</v>
      </c>
      <c r="C1" s="35" t="s">
        <v>78</v>
      </c>
      <c r="D1" s="36" t="s">
        <v>72</v>
      </c>
      <c r="E1" s="36" t="s">
        <v>68</v>
      </c>
      <c r="F1" s="35" t="s">
        <v>2</v>
      </c>
      <c r="G1" s="35" t="s">
        <v>3</v>
      </c>
      <c r="H1" s="36" t="s">
        <v>69</v>
      </c>
      <c r="I1" s="35" t="s">
        <v>10</v>
      </c>
    </row>
    <row r="2" spans="1:9" x14ac:dyDescent="0.15">
      <c r="A2" s="37"/>
    </row>
    <row r="3" spans="1:9" x14ac:dyDescent="0.15">
      <c r="A3" s="37"/>
    </row>
    <row r="4" spans="1:9" x14ac:dyDescent="0.15">
      <c r="A4" s="37"/>
    </row>
    <row r="5" spans="1:9" x14ac:dyDescent="0.15">
      <c r="A5" s="37"/>
    </row>
    <row r="6" spans="1:9" x14ac:dyDescent="0.15">
      <c r="A6" s="37"/>
    </row>
    <row r="7" spans="1:9" x14ac:dyDescent="0.15">
      <c r="A7" s="37"/>
    </row>
    <row r="8" spans="1:9" x14ac:dyDescent="0.15">
      <c r="A8" s="37"/>
    </row>
    <row r="9" spans="1:9" x14ac:dyDescent="0.15">
      <c r="A9" s="37"/>
    </row>
    <row r="10" spans="1:9" x14ac:dyDescent="0.15">
      <c r="A10" s="37"/>
    </row>
    <row r="11" spans="1:9" x14ac:dyDescent="0.15">
      <c r="A11" s="37"/>
    </row>
    <row r="12" spans="1:9" x14ac:dyDescent="0.15">
      <c r="A12" s="37"/>
    </row>
    <row r="13" spans="1:9" x14ac:dyDescent="0.15">
      <c r="A13" s="37"/>
    </row>
    <row r="14" spans="1:9" x14ac:dyDescent="0.15">
      <c r="A14" s="37"/>
    </row>
    <row r="15" spans="1:9" x14ac:dyDescent="0.15">
      <c r="A15" s="37"/>
    </row>
    <row r="16" spans="1:9" x14ac:dyDescent="0.15">
      <c r="A16" s="37"/>
    </row>
    <row r="17" spans="1:1" x14ac:dyDescent="0.15">
      <c r="A17" s="37"/>
    </row>
    <row r="18" spans="1:1" x14ac:dyDescent="0.15">
      <c r="A18" s="37"/>
    </row>
    <row r="19" spans="1:1" x14ac:dyDescent="0.15">
      <c r="A19" s="37"/>
    </row>
    <row r="20" spans="1:1" x14ac:dyDescent="0.15">
      <c r="A20" s="37"/>
    </row>
    <row r="21" spans="1:1" x14ac:dyDescent="0.15">
      <c r="A21" s="37"/>
    </row>
    <row r="22" spans="1:1" x14ac:dyDescent="0.15">
      <c r="A22" s="37"/>
    </row>
    <row r="23" spans="1:1" x14ac:dyDescent="0.15">
      <c r="A23" s="37"/>
    </row>
    <row r="24" spans="1:1" x14ac:dyDescent="0.15">
      <c r="A24" s="37"/>
    </row>
    <row r="25" spans="1:1" x14ac:dyDescent="0.15">
      <c r="A25" s="37"/>
    </row>
    <row r="26" spans="1:1" x14ac:dyDescent="0.15">
      <c r="A26" s="37"/>
    </row>
    <row r="27" spans="1:1" x14ac:dyDescent="0.15">
      <c r="A27" s="37"/>
    </row>
    <row r="28" spans="1:1" x14ac:dyDescent="0.15">
      <c r="A28" s="37"/>
    </row>
    <row r="29" spans="1:1" x14ac:dyDescent="0.15">
      <c r="A29" s="37"/>
    </row>
    <row r="30" spans="1:1" x14ac:dyDescent="0.15">
      <c r="A30" s="37"/>
    </row>
    <row r="31" spans="1:1" x14ac:dyDescent="0.15">
      <c r="A31" s="37"/>
    </row>
    <row r="32" spans="1:1" x14ac:dyDescent="0.15">
      <c r="A32" s="37"/>
    </row>
    <row r="33" spans="1:1" x14ac:dyDescent="0.15">
      <c r="A33" s="37"/>
    </row>
    <row r="34" spans="1:1" x14ac:dyDescent="0.15">
      <c r="A34" s="37"/>
    </row>
    <row r="35" spans="1:1" x14ac:dyDescent="0.15">
      <c r="A35" s="37"/>
    </row>
    <row r="36" spans="1:1" x14ac:dyDescent="0.15">
      <c r="A36" s="37"/>
    </row>
    <row r="37" spans="1:1" x14ac:dyDescent="0.15">
      <c r="A37" s="37"/>
    </row>
    <row r="38" spans="1:1" x14ac:dyDescent="0.15">
      <c r="A38" s="37"/>
    </row>
    <row r="39" spans="1:1" x14ac:dyDescent="0.15">
      <c r="A39" s="37"/>
    </row>
    <row r="40" spans="1:1" x14ac:dyDescent="0.15">
      <c r="A40" s="37"/>
    </row>
    <row r="41" spans="1:1" x14ac:dyDescent="0.15">
      <c r="A41" s="37"/>
    </row>
    <row r="42" spans="1:1" x14ac:dyDescent="0.15">
      <c r="A42" s="37"/>
    </row>
    <row r="43" spans="1:1" x14ac:dyDescent="0.15">
      <c r="A43" s="37"/>
    </row>
    <row r="44" spans="1:1" x14ac:dyDescent="0.15">
      <c r="A44" s="37"/>
    </row>
    <row r="45" spans="1:1" x14ac:dyDescent="0.15">
      <c r="A45" s="37"/>
    </row>
    <row r="46" spans="1:1" x14ac:dyDescent="0.15">
      <c r="A46" s="37"/>
    </row>
    <row r="47" spans="1:1" x14ac:dyDescent="0.15">
      <c r="A47" s="37"/>
    </row>
    <row r="48" spans="1:1" x14ac:dyDescent="0.15">
      <c r="A48" s="37"/>
    </row>
    <row r="49" spans="1:1" x14ac:dyDescent="0.15">
      <c r="A49" s="37"/>
    </row>
    <row r="50" spans="1:1" x14ac:dyDescent="0.15">
      <c r="A50" s="37"/>
    </row>
    <row r="51" spans="1:1" x14ac:dyDescent="0.15">
      <c r="A51" s="37"/>
    </row>
    <row r="52" spans="1:1" x14ac:dyDescent="0.15">
      <c r="A52" s="37"/>
    </row>
    <row r="53" spans="1:1" x14ac:dyDescent="0.15">
      <c r="A53" s="37"/>
    </row>
    <row r="54" spans="1:1" x14ac:dyDescent="0.15">
      <c r="A54" s="37"/>
    </row>
    <row r="55" spans="1:1" x14ac:dyDescent="0.15">
      <c r="A55" s="37"/>
    </row>
    <row r="56" spans="1:1" x14ac:dyDescent="0.15">
      <c r="A56" s="37"/>
    </row>
    <row r="57" spans="1:1" x14ac:dyDescent="0.15">
      <c r="A57" s="37"/>
    </row>
    <row r="58" spans="1:1" x14ac:dyDescent="0.15">
      <c r="A58" s="37"/>
    </row>
    <row r="59" spans="1:1" x14ac:dyDescent="0.15">
      <c r="A59" s="37"/>
    </row>
    <row r="60" spans="1:1" x14ac:dyDescent="0.15">
      <c r="A60" s="37"/>
    </row>
    <row r="61" spans="1:1" x14ac:dyDescent="0.15">
      <c r="A61" s="37"/>
    </row>
    <row r="62" spans="1:1" x14ac:dyDescent="0.15">
      <c r="A62" s="37"/>
    </row>
    <row r="63" spans="1:1" x14ac:dyDescent="0.15">
      <c r="A63" s="37"/>
    </row>
    <row r="64" spans="1:1" x14ac:dyDescent="0.15">
      <c r="A64" s="37"/>
    </row>
    <row r="65" spans="1:1" x14ac:dyDescent="0.15">
      <c r="A65" s="37"/>
    </row>
    <row r="66" spans="1:1" x14ac:dyDescent="0.15">
      <c r="A66" s="37"/>
    </row>
    <row r="67" spans="1:1" x14ac:dyDescent="0.15">
      <c r="A67" s="37"/>
    </row>
    <row r="68" spans="1:1" x14ac:dyDescent="0.15">
      <c r="A68" s="37"/>
    </row>
    <row r="69" spans="1:1" x14ac:dyDescent="0.15">
      <c r="A69" s="37"/>
    </row>
    <row r="70" spans="1:1" x14ac:dyDescent="0.15">
      <c r="A70" s="37"/>
    </row>
    <row r="71" spans="1:1" x14ac:dyDescent="0.15">
      <c r="A71" s="37"/>
    </row>
    <row r="72" spans="1:1" x14ac:dyDescent="0.15">
      <c r="A72" s="37"/>
    </row>
    <row r="73" spans="1:1" x14ac:dyDescent="0.15">
      <c r="A73" s="37"/>
    </row>
    <row r="74" spans="1:1" x14ac:dyDescent="0.15">
      <c r="A74" s="37"/>
    </row>
    <row r="75" spans="1:1" x14ac:dyDescent="0.15">
      <c r="A75" s="37"/>
    </row>
    <row r="76" spans="1:1" x14ac:dyDescent="0.15">
      <c r="A76" s="37"/>
    </row>
    <row r="77" spans="1:1" x14ac:dyDescent="0.15">
      <c r="A77" s="37"/>
    </row>
    <row r="78" spans="1:1" x14ac:dyDescent="0.15">
      <c r="A78" s="37"/>
    </row>
    <row r="79" spans="1:1" x14ac:dyDescent="0.15">
      <c r="A79" s="37"/>
    </row>
    <row r="80" spans="1:1" x14ac:dyDescent="0.15">
      <c r="A80" s="37"/>
    </row>
    <row r="81" spans="1:1" x14ac:dyDescent="0.15">
      <c r="A81" s="37"/>
    </row>
    <row r="82" spans="1:1" x14ac:dyDescent="0.15">
      <c r="A82" s="37"/>
    </row>
    <row r="83" spans="1:1" x14ac:dyDescent="0.15">
      <c r="A83" s="37"/>
    </row>
    <row r="84" spans="1:1" x14ac:dyDescent="0.15">
      <c r="A84" s="37"/>
    </row>
    <row r="85" spans="1:1" x14ac:dyDescent="0.15">
      <c r="A85" s="37"/>
    </row>
    <row r="86" spans="1:1" x14ac:dyDescent="0.15">
      <c r="A86" s="37"/>
    </row>
    <row r="87" spans="1:1" x14ac:dyDescent="0.15">
      <c r="A87" s="37"/>
    </row>
    <row r="88" spans="1:1" x14ac:dyDescent="0.15">
      <c r="A88" s="37"/>
    </row>
    <row r="89" spans="1:1" x14ac:dyDescent="0.15">
      <c r="A89" s="37"/>
    </row>
    <row r="90" spans="1:1" x14ac:dyDescent="0.15">
      <c r="A90" s="37"/>
    </row>
    <row r="91" spans="1:1" x14ac:dyDescent="0.15">
      <c r="A91" s="37"/>
    </row>
    <row r="92" spans="1:1" x14ac:dyDescent="0.15">
      <c r="A92" s="37"/>
    </row>
    <row r="93" spans="1:1" x14ac:dyDescent="0.15">
      <c r="A93" s="37"/>
    </row>
    <row r="94" spans="1:1" x14ac:dyDescent="0.15">
      <c r="A94" s="37"/>
    </row>
    <row r="95" spans="1:1" x14ac:dyDescent="0.15">
      <c r="A95" s="37"/>
    </row>
    <row r="96" spans="1:1" x14ac:dyDescent="0.15">
      <c r="A96" s="37"/>
    </row>
    <row r="97" spans="1:1" x14ac:dyDescent="0.15">
      <c r="A97" s="37"/>
    </row>
    <row r="98" spans="1:1" x14ac:dyDescent="0.15">
      <c r="A98" s="37"/>
    </row>
    <row r="99" spans="1:1" x14ac:dyDescent="0.15">
      <c r="A99" s="37"/>
    </row>
    <row r="100" spans="1:1" x14ac:dyDescent="0.15">
      <c r="A100" s="37"/>
    </row>
    <row r="101" spans="1:1" x14ac:dyDescent="0.15">
      <c r="A101" s="37"/>
    </row>
    <row r="102" spans="1:1" x14ac:dyDescent="0.15">
      <c r="A102" s="37"/>
    </row>
    <row r="103" spans="1:1" x14ac:dyDescent="0.15">
      <c r="A103" s="37"/>
    </row>
    <row r="104" spans="1:1" x14ac:dyDescent="0.15">
      <c r="A104" s="37"/>
    </row>
    <row r="105" spans="1:1" x14ac:dyDescent="0.15">
      <c r="A105" s="37"/>
    </row>
    <row r="106" spans="1:1" x14ac:dyDescent="0.15">
      <c r="A106" s="37"/>
    </row>
    <row r="107" spans="1:1" x14ac:dyDescent="0.15">
      <c r="A107" s="37"/>
    </row>
    <row r="108" spans="1:1" x14ac:dyDescent="0.15">
      <c r="A108" s="37"/>
    </row>
    <row r="109" spans="1:1" x14ac:dyDescent="0.15">
      <c r="A109" s="37"/>
    </row>
    <row r="110" spans="1:1" x14ac:dyDescent="0.15">
      <c r="A110" s="37"/>
    </row>
    <row r="111" spans="1:1" x14ac:dyDescent="0.15">
      <c r="A111" s="37"/>
    </row>
    <row r="112" spans="1:1" x14ac:dyDescent="0.15">
      <c r="A112" s="37"/>
    </row>
    <row r="113" spans="1:1" x14ac:dyDescent="0.15">
      <c r="A113" s="37"/>
    </row>
    <row r="114" spans="1:1" x14ac:dyDescent="0.15">
      <c r="A114" s="37"/>
    </row>
    <row r="115" spans="1:1" x14ac:dyDescent="0.15">
      <c r="A115" s="37"/>
    </row>
    <row r="116" spans="1:1" x14ac:dyDescent="0.15">
      <c r="A116" s="37"/>
    </row>
    <row r="117" spans="1:1" x14ac:dyDescent="0.15">
      <c r="A117" s="37"/>
    </row>
    <row r="118" spans="1:1" x14ac:dyDescent="0.15">
      <c r="A118" s="37"/>
    </row>
    <row r="119" spans="1:1" x14ac:dyDescent="0.15">
      <c r="A119" s="37"/>
    </row>
    <row r="120" spans="1:1" x14ac:dyDescent="0.15">
      <c r="A120" s="37"/>
    </row>
    <row r="121" spans="1:1" x14ac:dyDescent="0.15">
      <c r="A121" s="37"/>
    </row>
    <row r="122" spans="1:1" x14ac:dyDescent="0.15">
      <c r="A122" s="37"/>
    </row>
    <row r="123" spans="1:1" x14ac:dyDescent="0.15">
      <c r="A123" s="37"/>
    </row>
    <row r="124" spans="1:1" x14ac:dyDescent="0.15">
      <c r="A124" s="37"/>
    </row>
    <row r="125" spans="1:1" x14ac:dyDescent="0.15">
      <c r="A125" s="37"/>
    </row>
    <row r="126" spans="1:1" x14ac:dyDescent="0.15">
      <c r="A126" s="37"/>
    </row>
    <row r="127" spans="1:1" x14ac:dyDescent="0.15">
      <c r="A127" s="37"/>
    </row>
    <row r="128" spans="1:1" x14ac:dyDescent="0.15">
      <c r="A128" s="37"/>
    </row>
    <row r="129" spans="1:1" x14ac:dyDescent="0.15">
      <c r="A129" s="37"/>
    </row>
    <row r="130" spans="1:1" x14ac:dyDescent="0.15">
      <c r="A130" s="37"/>
    </row>
    <row r="131" spans="1:1" x14ac:dyDescent="0.15">
      <c r="A131" s="37"/>
    </row>
    <row r="132" spans="1:1" x14ac:dyDescent="0.15">
      <c r="A132" s="37"/>
    </row>
    <row r="133" spans="1:1" x14ac:dyDescent="0.15">
      <c r="A133" s="37"/>
    </row>
    <row r="134" spans="1:1" x14ac:dyDescent="0.15">
      <c r="A134" s="37"/>
    </row>
    <row r="135" spans="1:1" x14ac:dyDescent="0.15">
      <c r="A135" s="37"/>
    </row>
    <row r="136" spans="1:1" x14ac:dyDescent="0.15">
      <c r="A136" s="37"/>
    </row>
    <row r="137" spans="1:1" x14ac:dyDescent="0.15">
      <c r="A137" s="37"/>
    </row>
    <row r="138" spans="1:1" x14ac:dyDescent="0.15">
      <c r="A138" s="37"/>
    </row>
    <row r="139" spans="1:1" x14ac:dyDescent="0.15">
      <c r="A139" s="37"/>
    </row>
    <row r="140" spans="1:1" x14ac:dyDescent="0.15">
      <c r="A140" s="37"/>
    </row>
    <row r="141" spans="1:1" x14ac:dyDescent="0.15">
      <c r="A141" s="37"/>
    </row>
    <row r="142" spans="1:1" x14ac:dyDescent="0.15">
      <c r="A142" s="37"/>
    </row>
    <row r="143" spans="1:1" x14ac:dyDescent="0.15">
      <c r="A143" s="37"/>
    </row>
    <row r="144" spans="1:1" x14ac:dyDescent="0.15">
      <c r="A144" s="37"/>
    </row>
    <row r="145" spans="1:1" x14ac:dyDescent="0.15">
      <c r="A145" s="37"/>
    </row>
    <row r="146" spans="1:1" x14ac:dyDescent="0.15">
      <c r="A146" s="37"/>
    </row>
    <row r="147" spans="1:1" x14ac:dyDescent="0.15">
      <c r="A147" s="37"/>
    </row>
    <row r="148" spans="1:1" x14ac:dyDescent="0.15">
      <c r="A148" s="37"/>
    </row>
    <row r="149" spans="1:1" x14ac:dyDescent="0.15">
      <c r="A149" s="37"/>
    </row>
    <row r="150" spans="1:1" x14ac:dyDescent="0.15">
      <c r="A150" s="37"/>
    </row>
    <row r="151" spans="1:1" x14ac:dyDescent="0.15">
      <c r="A151" s="37"/>
    </row>
    <row r="152" spans="1:1" x14ac:dyDescent="0.15">
      <c r="A152" s="37"/>
    </row>
    <row r="153" spans="1:1" x14ac:dyDescent="0.15">
      <c r="A153" s="37"/>
    </row>
    <row r="154" spans="1:1" x14ac:dyDescent="0.15">
      <c r="A154" s="37"/>
    </row>
    <row r="155" spans="1:1" x14ac:dyDescent="0.15">
      <c r="A155" s="37"/>
    </row>
    <row r="156" spans="1:1" x14ac:dyDescent="0.15">
      <c r="A156" s="37"/>
    </row>
    <row r="157" spans="1:1" x14ac:dyDescent="0.15">
      <c r="A157" s="37"/>
    </row>
    <row r="158" spans="1:1" x14ac:dyDescent="0.15">
      <c r="A158" s="37"/>
    </row>
    <row r="159" spans="1:1" x14ac:dyDescent="0.15">
      <c r="A159" s="37"/>
    </row>
    <row r="160" spans="1:1" x14ac:dyDescent="0.15">
      <c r="A160" s="37"/>
    </row>
    <row r="161" spans="1:1" x14ac:dyDescent="0.15">
      <c r="A161" s="37"/>
    </row>
    <row r="162" spans="1:1" x14ac:dyDescent="0.15">
      <c r="A162" s="37"/>
    </row>
    <row r="163" spans="1:1" x14ac:dyDescent="0.15">
      <c r="A163" s="37"/>
    </row>
    <row r="164" spans="1:1" x14ac:dyDescent="0.15">
      <c r="A164" s="37"/>
    </row>
    <row r="165" spans="1:1" x14ac:dyDescent="0.15">
      <c r="A165" s="37"/>
    </row>
    <row r="166" spans="1:1" x14ac:dyDescent="0.15">
      <c r="A166" s="37"/>
    </row>
    <row r="167" spans="1:1" x14ac:dyDescent="0.15">
      <c r="A167" s="37"/>
    </row>
    <row r="168" spans="1:1" x14ac:dyDescent="0.15">
      <c r="A168" s="37"/>
    </row>
    <row r="169" spans="1:1" x14ac:dyDescent="0.15">
      <c r="A169" s="37"/>
    </row>
    <row r="170" spans="1:1" x14ac:dyDescent="0.15">
      <c r="A170" s="37"/>
    </row>
    <row r="171" spans="1:1" x14ac:dyDescent="0.15">
      <c r="A171" s="37"/>
    </row>
    <row r="172" spans="1:1" x14ac:dyDescent="0.15">
      <c r="A172" s="37"/>
    </row>
    <row r="173" spans="1:1" x14ac:dyDescent="0.15">
      <c r="A173" s="37"/>
    </row>
    <row r="174" spans="1:1" x14ac:dyDescent="0.15">
      <c r="A174" s="37"/>
    </row>
    <row r="175" spans="1:1" x14ac:dyDescent="0.15">
      <c r="A175" s="37"/>
    </row>
    <row r="176" spans="1:1" x14ac:dyDescent="0.15">
      <c r="A176" s="37"/>
    </row>
    <row r="177" spans="1:1" x14ac:dyDescent="0.15">
      <c r="A177" s="37"/>
    </row>
    <row r="178" spans="1:1" x14ac:dyDescent="0.15">
      <c r="A178" s="37"/>
    </row>
    <row r="179" spans="1:1" x14ac:dyDescent="0.15">
      <c r="A179" s="37"/>
    </row>
    <row r="180" spans="1:1" x14ac:dyDescent="0.15">
      <c r="A180" s="37"/>
    </row>
    <row r="181" spans="1:1" x14ac:dyDescent="0.15">
      <c r="A181" s="37"/>
    </row>
    <row r="182" spans="1:1" x14ac:dyDescent="0.15">
      <c r="A182" s="37"/>
    </row>
    <row r="183" spans="1:1" x14ac:dyDescent="0.15">
      <c r="A183" s="37"/>
    </row>
    <row r="184" spans="1:1" x14ac:dyDescent="0.15">
      <c r="A184" s="37"/>
    </row>
    <row r="185" spans="1:1" x14ac:dyDescent="0.15">
      <c r="A185" s="37"/>
    </row>
    <row r="186" spans="1:1" x14ac:dyDescent="0.15">
      <c r="A186" s="37"/>
    </row>
    <row r="187" spans="1:1" x14ac:dyDescent="0.15">
      <c r="A187" s="37"/>
    </row>
    <row r="188" spans="1:1" x14ac:dyDescent="0.15">
      <c r="A188" s="37"/>
    </row>
    <row r="189" spans="1:1" x14ac:dyDescent="0.15">
      <c r="A189" s="37"/>
    </row>
    <row r="190" spans="1:1" x14ac:dyDescent="0.15">
      <c r="A190" s="37"/>
    </row>
    <row r="191" spans="1:1" x14ac:dyDescent="0.15">
      <c r="A191" s="37"/>
    </row>
    <row r="192" spans="1:1" x14ac:dyDescent="0.15">
      <c r="A192" s="37"/>
    </row>
    <row r="193" spans="1:1" x14ac:dyDescent="0.15">
      <c r="A193" s="37"/>
    </row>
    <row r="194" spans="1:1" x14ac:dyDescent="0.15">
      <c r="A194" s="37"/>
    </row>
    <row r="195" spans="1:1" x14ac:dyDescent="0.15">
      <c r="A195" s="37"/>
    </row>
    <row r="196" spans="1:1" x14ac:dyDescent="0.15">
      <c r="A196" s="37"/>
    </row>
    <row r="197" spans="1:1" x14ac:dyDescent="0.15">
      <c r="A197" s="37"/>
    </row>
    <row r="198" spans="1:1" x14ac:dyDescent="0.15">
      <c r="A198" s="37"/>
    </row>
    <row r="199" spans="1:1" x14ac:dyDescent="0.15">
      <c r="A199" s="37"/>
    </row>
    <row r="200" spans="1:1" x14ac:dyDescent="0.15">
      <c r="A200" s="37"/>
    </row>
    <row r="201" spans="1:1" x14ac:dyDescent="0.15">
      <c r="A201" s="37"/>
    </row>
    <row r="202" spans="1:1" x14ac:dyDescent="0.15">
      <c r="A202" s="37"/>
    </row>
    <row r="203" spans="1:1" x14ac:dyDescent="0.15">
      <c r="A203" s="37"/>
    </row>
    <row r="204" spans="1:1" x14ac:dyDescent="0.15">
      <c r="A204" s="37"/>
    </row>
    <row r="205" spans="1:1" x14ac:dyDescent="0.15">
      <c r="A205" s="37"/>
    </row>
    <row r="206" spans="1:1" x14ac:dyDescent="0.15">
      <c r="A206" s="37"/>
    </row>
    <row r="207" spans="1:1" x14ac:dyDescent="0.15">
      <c r="A207" s="37"/>
    </row>
    <row r="208" spans="1:1" x14ac:dyDescent="0.15">
      <c r="A208" s="37"/>
    </row>
    <row r="209" spans="1:1" x14ac:dyDescent="0.15">
      <c r="A209" s="37"/>
    </row>
    <row r="210" spans="1:1" x14ac:dyDescent="0.15">
      <c r="A210" s="37"/>
    </row>
    <row r="211" spans="1:1" x14ac:dyDescent="0.15">
      <c r="A211" s="37"/>
    </row>
    <row r="212" spans="1:1" x14ac:dyDescent="0.15">
      <c r="A212" s="37"/>
    </row>
    <row r="213" spans="1:1" x14ac:dyDescent="0.15">
      <c r="A213" s="37"/>
    </row>
    <row r="214" spans="1:1" x14ac:dyDescent="0.15">
      <c r="A214" s="37"/>
    </row>
    <row r="215" spans="1:1" x14ac:dyDescent="0.15">
      <c r="A215" s="37"/>
    </row>
    <row r="216" spans="1:1" x14ac:dyDescent="0.15">
      <c r="A216" s="37"/>
    </row>
    <row r="217" spans="1:1" x14ac:dyDescent="0.15">
      <c r="A217" s="37"/>
    </row>
    <row r="218" spans="1:1" x14ac:dyDescent="0.15">
      <c r="A218" s="37"/>
    </row>
    <row r="219" spans="1:1" x14ac:dyDescent="0.15">
      <c r="A219" s="37"/>
    </row>
    <row r="220" spans="1:1" x14ac:dyDescent="0.15">
      <c r="A220" s="37"/>
    </row>
    <row r="221" spans="1:1" x14ac:dyDescent="0.15">
      <c r="A221" s="37"/>
    </row>
    <row r="222" spans="1:1" x14ac:dyDescent="0.15">
      <c r="A222" s="37"/>
    </row>
    <row r="223" spans="1:1" x14ac:dyDescent="0.15">
      <c r="A223" s="37"/>
    </row>
    <row r="224" spans="1:1" x14ac:dyDescent="0.15">
      <c r="A224" s="37"/>
    </row>
    <row r="225" spans="1:1" x14ac:dyDescent="0.15">
      <c r="A225" s="37"/>
    </row>
    <row r="226" spans="1:1" x14ac:dyDescent="0.15">
      <c r="A226" s="37"/>
    </row>
    <row r="227" spans="1:1" x14ac:dyDescent="0.15">
      <c r="A227" s="37"/>
    </row>
    <row r="228" spans="1:1" x14ac:dyDescent="0.15">
      <c r="A228" s="37"/>
    </row>
    <row r="229" spans="1:1" x14ac:dyDescent="0.15">
      <c r="A229" s="37"/>
    </row>
    <row r="230" spans="1:1" x14ac:dyDescent="0.15">
      <c r="A230" s="37"/>
    </row>
    <row r="231" spans="1:1" x14ac:dyDescent="0.15">
      <c r="A231" s="37"/>
    </row>
    <row r="232" spans="1:1" x14ac:dyDescent="0.15">
      <c r="A232" s="37"/>
    </row>
    <row r="233" spans="1:1" x14ac:dyDescent="0.15">
      <c r="A233" s="37"/>
    </row>
    <row r="234" spans="1:1" x14ac:dyDescent="0.15">
      <c r="A234" s="37"/>
    </row>
    <row r="235" spans="1:1" x14ac:dyDescent="0.15">
      <c r="A235" s="37"/>
    </row>
    <row r="236" spans="1:1" x14ac:dyDescent="0.15">
      <c r="A236" s="37"/>
    </row>
    <row r="237" spans="1:1" x14ac:dyDescent="0.15">
      <c r="A237" s="37"/>
    </row>
    <row r="238" spans="1:1" x14ac:dyDescent="0.15">
      <c r="A238" s="37"/>
    </row>
    <row r="239" spans="1:1" x14ac:dyDescent="0.15">
      <c r="A239" s="37"/>
    </row>
    <row r="240" spans="1:1" x14ac:dyDescent="0.15">
      <c r="A240" s="37"/>
    </row>
    <row r="241" spans="1:1" x14ac:dyDescent="0.15">
      <c r="A241" s="37"/>
    </row>
    <row r="242" spans="1:1" x14ac:dyDescent="0.15">
      <c r="A242" s="37"/>
    </row>
    <row r="243" spans="1:1" x14ac:dyDescent="0.15">
      <c r="A243" s="37"/>
    </row>
    <row r="244" spans="1:1" x14ac:dyDescent="0.15">
      <c r="A244" s="37"/>
    </row>
    <row r="245" spans="1:1" x14ac:dyDescent="0.15">
      <c r="A245" s="37"/>
    </row>
    <row r="246" spans="1:1" x14ac:dyDescent="0.15">
      <c r="A246" s="37"/>
    </row>
    <row r="247" spans="1:1" x14ac:dyDescent="0.15">
      <c r="A247" s="37"/>
    </row>
    <row r="248" spans="1:1" x14ac:dyDescent="0.15">
      <c r="A248" s="37"/>
    </row>
    <row r="249" spans="1:1" x14ac:dyDescent="0.15">
      <c r="A249" s="37"/>
    </row>
    <row r="250" spans="1:1" x14ac:dyDescent="0.15">
      <c r="A250" s="37"/>
    </row>
    <row r="251" spans="1:1" x14ac:dyDescent="0.15">
      <c r="A251" s="37"/>
    </row>
    <row r="252" spans="1:1" x14ac:dyDescent="0.15">
      <c r="A252" s="37"/>
    </row>
    <row r="253" spans="1:1" x14ac:dyDescent="0.15">
      <c r="A253" s="37"/>
    </row>
    <row r="254" spans="1:1" x14ac:dyDescent="0.15">
      <c r="A254" s="37"/>
    </row>
    <row r="255" spans="1:1" x14ac:dyDescent="0.15">
      <c r="A255" s="37"/>
    </row>
    <row r="256" spans="1:1" x14ac:dyDescent="0.15">
      <c r="A256" s="37"/>
    </row>
    <row r="257" spans="1:1" x14ac:dyDescent="0.15">
      <c r="A257" s="37"/>
    </row>
    <row r="258" spans="1:1" x14ac:dyDescent="0.15">
      <c r="A258" s="37"/>
    </row>
    <row r="259" spans="1:1" x14ac:dyDescent="0.15">
      <c r="A259" s="37"/>
    </row>
    <row r="260" spans="1:1" x14ac:dyDescent="0.15">
      <c r="A260" s="37"/>
    </row>
    <row r="261" spans="1:1" x14ac:dyDescent="0.15">
      <c r="A261" s="37"/>
    </row>
    <row r="262" spans="1:1" x14ac:dyDescent="0.15">
      <c r="A262" s="37"/>
    </row>
    <row r="263" spans="1:1" x14ac:dyDescent="0.15">
      <c r="A263" s="37"/>
    </row>
    <row r="264" spans="1:1" x14ac:dyDescent="0.15">
      <c r="A264" s="37"/>
    </row>
    <row r="265" spans="1:1" x14ac:dyDescent="0.15">
      <c r="A265" s="37"/>
    </row>
    <row r="266" spans="1:1" x14ac:dyDescent="0.15">
      <c r="A266" s="37"/>
    </row>
    <row r="267" spans="1:1" x14ac:dyDescent="0.15">
      <c r="A267" s="37"/>
    </row>
    <row r="268" spans="1:1" x14ac:dyDescent="0.15">
      <c r="A268" s="37"/>
    </row>
    <row r="269" spans="1:1" x14ac:dyDescent="0.15">
      <c r="A269" s="37"/>
    </row>
    <row r="270" spans="1:1" x14ac:dyDescent="0.15">
      <c r="A270" s="37"/>
    </row>
    <row r="271" spans="1:1" x14ac:dyDescent="0.15">
      <c r="A271" s="37"/>
    </row>
    <row r="272" spans="1:1" x14ac:dyDescent="0.15">
      <c r="A272" s="37"/>
    </row>
    <row r="273" spans="1:1" x14ac:dyDescent="0.15">
      <c r="A273" s="37"/>
    </row>
    <row r="274" spans="1:1" x14ac:dyDescent="0.15">
      <c r="A274" s="37"/>
    </row>
    <row r="275" spans="1:1" x14ac:dyDescent="0.15">
      <c r="A275" s="37"/>
    </row>
    <row r="276" spans="1:1" x14ac:dyDescent="0.15">
      <c r="A276" s="37"/>
    </row>
    <row r="277" spans="1:1" x14ac:dyDescent="0.15">
      <c r="A277" s="37"/>
    </row>
    <row r="278" spans="1:1" x14ac:dyDescent="0.15">
      <c r="A278" s="37"/>
    </row>
    <row r="279" spans="1:1" x14ac:dyDescent="0.15">
      <c r="A279" s="37"/>
    </row>
    <row r="280" spans="1:1" x14ac:dyDescent="0.15">
      <c r="A280" s="37"/>
    </row>
    <row r="281" spans="1:1" x14ac:dyDescent="0.15">
      <c r="A281" s="37"/>
    </row>
    <row r="282" spans="1:1" x14ac:dyDescent="0.15">
      <c r="A282" s="37"/>
    </row>
    <row r="283" spans="1:1" x14ac:dyDescent="0.15">
      <c r="A283" s="37"/>
    </row>
    <row r="284" spans="1:1" x14ac:dyDescent="0.15">
      <c r="A284" s="37"/>
    </row>
    <row r="285" spans="1:1" x14ac:dyDescent="0.15">
      <c r="A285" s="37"/>
    </row>
    <row r="286" spans="1:1" x14ac:dyDescent="0.15">
      <c r="A286" s="37"/>
    </row>
    <row r="287" spans="1:1" x14ac:dyDescent="0.15">
      <c r="A287" s="37"/>
    </row>
    <row r="288" spans="1:1" x14ac:dyDescent="0.15">
      <c r="A288" s="37"/>
    </row>
    <row r="289" spans="1:1" x14ac:dyDescent="0.15">
      <c r="A289" s="37"/>
    </row>
    <row r="290" spans="1:1" x14ac:dyDescent="0.15">
      <c r="A290" s="37"/>
    </row>
    <row r="291" spans="1:1" x14ac:dyDescent="0.15">
      <c r="A291" s="37"/>
    </row>
    <row r="292" spans="1:1" x14ac:dyDescent="0.15">
      <c r="A292" s="37"/>
    </row>
    <row r="293" spans="1:1" x14ac:dyDescent="0.15">
      <c r="A293" s="37"/>
    </row>
    <row r="294" spans="1:1" x14ac:dyDescent="0.15">
      <c r="A294" s="37"/>
    </row>
    <row r="295" spans="1:1" x14ac:dyDescent="0.15">
      <c r="A295" s="37"/>
    </row>
    <row r="296" spans="1:1" x14ac:dyDescent="0.15">
      <c r="A296" s="37"/>
    </row>
    <row r="297" spans="1:1" x14ac:dyDescent="0.15">
      <c r="A297" s="37"/>
    </row>
    <row r="298" spans="1:1" x14ac:dyDescent="0.15">
      <c r="A298" s="37"/>
    </row>
    <row r="299" spans="1:1" x14ac:dyDescent="0.15">
      <c r="A299" s="37"/>
    </row>
    <row r="300" spans="1:1" x14ac:dyDescent="0.15">
      <c r="A300" s="37"/>
    </row>
    <row r="301" spans="1:1" x14ac:dyDescent="0.15">
      <c r="A301" s="37"/>
    </row>
    <row r="302" spans="1:1" x14ac:dyDescent="0.15">
      <c r="A302" s="37"/>
    </row>
    <row r="303" spans="1:1" x14ac:dyDescent="0.15">
      <c r="A303" s="37"/>
    </row>
    <row r="304" spans="1:1" x14ac:dyDescent="0.15">
      <c r="A304" s="37"/>
    </row>
    <row r="305" spans="1:1" x14ac:dyDescent="0.15">
      <c r="A305" s="37"/>
    </row>
    <row r="306" spans="1:1" x14ac:dyDescent="0.15">
      <c r="A306" s="37"/>
    </row>
    <row r="307" spans="1:1" x14ac:dyDescent="0.15">
      <c r="A307" s="37"/>
    </row>
    <row r="308" spans="1:1" x14ac:dyDescent="0.15">
      <c r="A308" s="37"/>
    </row>
    <row r="309" spans="1:1" x14ac:dyDescent="0.15">
      <c r="A309" s="37"/>
    </row>
    <row r="310" spans="1:1" x14ac:dyDescent="0.15">
      <c r="A310" s="37"/>
    </row>
    <row r="311" spans="1:1" x14ac:dyDescent="0.15">
      <c r="A311" s="37"/>
    </row>
    <row r="312" spans="1:1" x14ac:dyDescent="0.15">
      <c r="A312" s="37"/>
    </row>
    <row r="313" spans="1:1" x14ac:dyDescent="0.15">
      <c r="A313" s="37"/>
    </row>
    <row r="314" spans="1:1" x14ac:dyDescent="0.15">
      <c r="A314" s="37"/>
    </row>
    <row r="315" spans="1:1" x14ac:dyDescent="0.15">
      <c r="A315" s="37"/>
    </row>
    <row r="316" spans="1:1" x14ac:dyDescent="0.15">
      <c r="A316" s="37"/>
    </row>
    <row r="317" spans="1:1" x14ac:dyDescent="0.15">
      <c r="A317" s="37"/>
    </row>
    <row r="318" spans="1:1" x14ac:dyDescent="0.15">
      <c r="A318" s="37"/>
    </row>
    <row r="319" spans="1:1" x14ac:dyDescent="0.15">
      <c r="A319" s="37"/>
    </row>
    <row r="320" spans="1:1" x14ac:dyDescent="0.15">
      <c r="A320" s="37"/>
    </row>
    <row r="321" spans="1:1" x14ac:dyDescent="0.15">
      <c r="A321" s="37"/>
    </row>
    <row r="322" spans="1:1" x14ac:dyDescent="0.15">
      <c r="A322" s="37"/>
    </row>
    <row r="323" spans="1:1" x14ac:dyDescent="0.15">
      <c r="A323" s="37"/>
    </row>
    <row r="324" spans="1:1" x14ac:dyDescent="0.15">
      <c r="A324" s="37"/>
    </row>
    <row r="325" spans="1:1" x14ac:dyDescent="0.15">
      <c r="A325" s="37"/>
    </row>
    <row r="326" spans="1:1" x14ac:dyDescent="0.15">
      <c r="A326" s="37"/>
    </row>
    <row r="327" spans="1:1" x14ac:dyDescent="0.15">
      <c r="A327" s="37"/>
    </row>
    <row r="328" spans="1:1" x14ac:dyDescent="0.15">
      <c r="A328" s="37"/>
    </row>
    <row r="329" spans="1:1" x14ac:dyDescent="0.15">
      <c r="A329" s="37"/>
    </row>
    <row r="330" spans="1:1" x14ac:dyDescent="0.15">
      <c r="A330" s="37"/>
    </row>
    <row r="331" spans="1:1" x14ac:dyDescent="0.15">
      <c r="A331" s="37"/>
    </row>
    <row r="332" spans="1:1" x14ac:dyDescent="0.15">
      <c r="A332" s="37"/>
    </row>
    <row r="333" spans="1:1" x14ac:dyDescent="0.15">
      <c r="A333" s="37"/>
    </row>
    <row r="334" spans="1:1" x14ac:dyDescent="0.15">
      <c r="A334" s="37"/>
    </row>
    <row r="335" spans="1:1" x14ac:dyDescent="0.15">
      <c r="A335" s="37"/>
    </row>
    <row r="336" spans="1:1" x14ac:dyDescent="0.15">
      <c r="A336" s="37"/>
    </row>
    <row r="337" spans="1:1" x14ac:dyDescent="0.15">
      <c r="A337" s="37"/>
    </row>
    <row r="338" spans="1:1" x14ac:dyDescent="0.15">
      <c r="A338" s="37"/>
    </row>
    <row r="339" spans="1:1" x14ac:dyDescent="0.15">
      <c r="A339" s="37"/>
    </row>
    <row r="340" spans="1:1" x14ac:dyDescent="0.15">
      <c r="A340" s="37"/>
    </row>
    <row r="341" spans="1:1" x14ac:dyDescent="0.15">
      <c r="A341" s="37"/>
    </row>
    <row r="342" spans="1:1" x14ac:dyDescent="0.15">
      <c r="A342" s="37"/>
    </row>
    <row r="343" spans="1:1" x14ac:dyDescent="0.15">
      <c r="A343" s="37"/>
    </row>
    <row r="344" spans="1:1" x14ac:dyDescent="0.15">
      <c r="A344" s="37"/>
    </row>
    <row r="345" spans="1:1" x14ac:dyDescent="0.15">
      <c r="A345" s="37"/>
    </row>
    <row r="346" spans="1:1" x14ac:dyDescent="0.15">
      <c r="A346" s="37"/>
    </row>
    <row r="347" spans="1:1" x14ac:dyDescent="0.15">
      <c r="A347" s="37"/>
    </row>
    <row r="348" spans="1:1" x14ac:dyDescent="0.15">
      <c r="A348" s="37"/>
    </row>
    <row r="349" spans="1:1" x14ac:dyDescent="0.15">
      <c r="A349" s="37"/>
    </row>
    <row r="350" spans="1:1" x14ac:dyDescent="0.15">
      <c r="A350" s="37"/>
    </row>
    <row r="351" spans="1:1" x14ac:dyDescent="0.15">
      <c r="A351" s="37"/>
    </row>
    <row r="352" spans="1:1" x14ac:dyDescent="0.15">
      <c r="A352" s="37"/>
    </row>
    <row r="353" spans="1:1" x14ac:dyDescent="0.15">
      <c r="A353" s="37"/>
    </row>
    <row r="354" spans="1:1" x14ac:dyDescent="0.15">
      <c r="A354" s="37"/>
    </row>
    <row r="355" spans="1:1" x14ac:dyDescent="0.15">
      <c r="A355" s="37"/>
    </row>
    <row r="356" spans="1:1" x14ac:dyDescent="0.15">
      <c r="A356" s="37"/>
    </row>
    <row r="357" spans="1:1" x14ac:dyDescent="0.15">
      <c r="A357" s="37"/>
    </row>
    <row r="358" spans="1:1" x14ac:dyDescent="0.15">
      <c r="A358" s="37"/>
    </row>
    <row r="359" spans="1:1" x14ac:dyDescent="0.15">
      <c r="A359" s="37"/>
    </row>
    <row r="360" spans="1:1" x14ac:dyDescent="0.15">
      <c r="A360" s="37"/>
    </row>
    <row r="361" spans="1:1" x14ac:dyDescent="0.15">
      <c r="A361" s="37"/>
    </row>
    <row r="362" spans="1:1" x14ac:dyDescent="0.15">
      <c r="A362" s="37"/>
    </row>
    <row r="363" spans="1:1" x14ac:dyDescent="0.15">
      <c r="A363" s="37"/>
    </row>
    <row r="364" spans="1:1" x14ac:dyDescent="0.15">
      <c r="A364" s="37"/>
    </row>
    <row r="365" spans="1:1" x14ac:dyDescent="0.15">
      <c r="A365" s="37"/>
    </row>
    <row r="366" spans="1:1" x14ac:dyDescent="0.15">
      <c r="A366" s="37"/>
    </row>
    <row r="367" spans="1:1" x14ac:dyDescent="0.15">
      <c r="A367" s="37"/>
    </row>
    <row r="368" spans="1:1" x14ac:dyDescent="0.15">
      <c r="A368" s="37"/>
    </row>
    <row r="369" spans="1:1" x14ac:dyDescent="0.15">
      <c r="A369" s="37"/>
    </row>
    <row r="370" spans="1:1" x14ac:dyDescent="0.15">
      <c r="A370" s="37"/>
    </row>
    <row r="371" spans="1:1" x14ac:dyDescent="0.15">
      <c r="A371" s="37"/>
    </row>
    <row r="372" spans="1:1" x14ac:dyDescent="0.15">
      <c r="A372" s="37"/>
    </row>
    <row r="373" spans="1:1" x14ac:dyDescent="0.15">
      <c r="A373" s="37"/>
    </row>
    <row r="374" spans="1:1" x14ac:dyDescent="0.15">
      <c r="A374" s="37"/>
    </row>
    <row r="375" spans="1:1" x14ac:dyDescent="0.15">
      <c r="A375" s="37"/>
    </row>
    <row r="376" spans="1:1" x14ac:dyDescent="0.15">
      <c r="A376" s="37"/>
    </row>
    <row r="377" spans="1:1" x14ac:dyDescent="0.15">
      <c r="A377" s="37"/>
    </row>
    <row r="378" spans="1:1" x14ac:dyDescent="0.15">
      <c r="A378" s="37"/>
    </row>
    <row r="379" spans="1:1" x14ac:dyDescent="0.15">
      <c r="A379" s="37"/>
    </row>
    <row r="380" spans="1:1" x14ac:dyDescent="0.15">
      <c r="A380" s="37"/>
    </row>
    <row r="381" spans="1:1" x14ac:dyDescent="0.15">
      <c r="A381" s="37"/>
    </row>
    <row r="382" spans="1:1" x14ac:dyDescent="0.15">
      <c r="A382" s="37"/>
    </row>
    <row r="383" spans="1:1" x14ac:dyDescent="0.15">
      <c r="A383" s="37"/>
    </row>
    <row r="384" spans="1:1" x14ac:dyDescent="0.15">
      <c r="A384" s="37"/>
    </row>
    <row r="385" spans="1:1" x14ac:dyDescent="0.15">
      <c r="A385" s="37"/>
    </row>
    <row r="386" spans="1:1" x14ac:dyDescent="0.15">
      <c r="A386" s="37"/>
    </row>
    <row r="387" spans="1:1" x14ac:dyDescent="0.15">
      <c r="A387" s="37"/>
    </row>
    <row r="388" spans="1:1" x14ac:dyDescent="0.15">
      <c r="A388" s="37"/>
    </row>
    <row r="389" spans="1:1" x14ac:dyDescent="0.15">
      <c r="A389" s="37"/>
    </row>
    <row r="390" spans="1:1" x14ac:dyDescent="0.15">
      <c r="A390" s="37"/>
    </row>
    <row r="391" spans="1:1" x14ac:dyDescent="0.15">
      <c r="A391" s="37"/>
    </row>
    <row r="392" spans="1:1" x14ac:dyDescent="0.15">
      <c r="A392" s="37"/>
    </row>
    <row r="393" spans="1:1" x14ac:dyDescent="0.15">
      <c r="A393" s="37"/>
    </row>
    <row r="394" spans="1:1" x14ac:dyDescent="0.15">
      <c r="A394" s="37"/>
    </row>
    <row r="395" spans="1:1" x14ac:dyDescent="0.15">
      <c r="A395" s="37"/>
    </row>
    <row r="396" spans="1:1" x14ac:dyDescent="0.15">
      <c r="A396" s="37"/>
    </row>
    <row r="397" spans="1:1" x14ac:dyDescent="0.15">
      <c r="A397" s="37"/>
    </row>
    <row r="398" spans="1:1" x14ac:dyDescent="0.15">
      <c r="A398" s="37"/>
    </row>
    <row r="399" spans="1:1" x14ac:dyDescent="0.15">
      <c r="A399" s="37"/>
    </row>
    <row r="400" spans="1:1" x14ac:dyDescent="0.15">
      <c r="A400" s="37"/>
    </row>
    <row r="401" spans="1:1" x14ac:dyDescent="0.15">
      <c r="A401" s="37"/>
    </row>
    <row r="402" spans="1:1" x14ac:dyDescent="0.15">
      <c r="A402" s="37"/>
    </row>
    <row r="403" spans="1:1" x14ac:dyDescent="0.15">
      <c r="A403" s="37"/>
    </row>
    <row r="404" spans="1:1" x14ac:dyDescent="0.15">
      <c r="A404" s="37"/>
    </row>
    <row r="405" spans="1:1" x14ac:dyDescent="0.15">
      <c r="A405" s="37"/>
    </row>
    <row r="406" spans="1:1" x14ac:dyDescent="0.15">
      <c r="A406" s="37"/>
    </row>
    <row r="407" spans="1:1" x14ac:dyDescent="0.15">
      <c r="A407" s="37"/>
    </row>
    <row r="408" spans="1:1" x14ac:dyDescent="0.15">
      <c r="A408" s="37"/>
    </row>
    <row r="409" spans="1:1" x14ac:dyDescent="0.15">
      <c r="A409" s="37"/>
    </row>
    <row r="410" spans="1:1" x14ac:dyDescent="0.15">
      <c r="A410" s="37"/>
    </row>
    <row r="411" spans="1:1" x14ac:dyDescent="0.15">
      <c r="A411" s="37"/>
    </row>
    <row r="412" spans="1:1" x14ac:dyDescent="0.15">
      <c r="A412" s="37"/>
    </row>
    <row r="413" spans="1:1" x14ac:dyDescent="0.15">
      <c r="A413" s="37"/>
    </row>
    <row r="414" spans="1:1" x14ac:dyDescent="0.15">
      <c r="A414" s="37"/>
    </row>
    <row r="415" spans="1:1" x14ac:dyDescent="0.15">
      <c r="A415" s="37"/>
    </row>
    <row r="416" spans="1:1" x14ac:dyDescent="0.15">
      <c r="A416" s="37"/>
    </row>
    <row r="417" spans="1:1" x14ac:dyDescent="0.15">
      <c r="A417" s="37"/>
    </row>
    <row r="418" spans="1:1" x14ac:dyDescent="0.15">
      <c r="A418" s="37"/>
    </row>
    <row r="419" spans="1:1" x14ac:dyDescent="0.15">
      <c r="A419" s="37"/>
    </row>
    <row r="420" spans="1:1" x14ac:dyDescent="0.15">
      <c r="A420" s="37"/>
    </row>
    <row r="421" spans="1:1" x14ac:dyDescent="0.15">
      <c r="A421" s="37"/>
    </row>
    <row r="422" spans="1:1" x14ac:dyDescent="0.15">
      <c r="A422" s="37"/>
    </row>
    <row r="423" spans="1:1" x14ac:dyDescent="0.15">
      <c r="A423" s="37"/>
    </row>
    <row r="424" spans="1:1" x14ac:dyDescent="0.15">
      <c r="A424" s="37"/>
    </row>
    <row r="425" spans="1:1" x14ac:dyDescent="0.15">
      <c r="A425" s="37"/>
    </row>
    <row r="426" spans="1:1" x14ac:dyDescent="0.15">
      <c r="A426" s="37"/>
    </row>
    <row r="427" spans="1:1" x14ac:dyDescent="0.15">
      <c r="A427" s="37"/>
    </row>
    <row r="428" spans="1:1" x14ac:dyDescent="0.15">
      <c r="A428" s="37"/>
    </row>
    <row r="429" spans="1:1" x14ac:dyDescent="0.15">
      <c r="A429" s="37"/>
    </row>
    <row r="430" spans="1:1" x14ac:dyDescent="0.15">
      <c r="A430" s="37"/>
    </row>
    <row r="431" spans="1:1" x14ac:dyDescent="0.15">
      <c r="A431" s="37"/>
    </row>
    <row r="432" spans="1:1" x14ac:dyDescent="0.15">
      <c r="A432" s="37"/>
    </row>
    <row r="433" spans="1:1" x14ac:dyDescent="0.15">
      <c r="A433" s="37"/>
    </row>
    <row r="434" spans="1:1" x14ac:dyDescent="0.15">
      <c r="A434" s="37"/>
    </row>
    <row r="435" spans="1:1" x14ac:dyDescent="0.15">
      <c r="A435" s="37"/>
    </row>
    <row r="436" spans="1:1" x14ac:dyDescent="0.15">
      <c r="A436" s="37"/>
    </row>
    <row r="437" spans="1:1" x14ac:dyDescent="0.15">
      <c r="A437" s="37"/>
    </row>
    <row r="438" spans="1:1" x14ac:dyDescent="0.15">
      <c r="A438" s="37"/>
    </row>
    <row r="439" spans="1:1" x14ac:dyDescent="0.15">
      <c r="A439" s="37"/>
    </row>
    <row r="440" spans="1:1" x14ac:dyDescent="0.15">
      <c r="A440" s="37"/>
    </row>
    <row r="441" spans="1:1" x14ac:dyDescent="0.15">
      <c r="A441" s="37"/>
    </row>
    <row r="442" spans="1:1" x14ac:dyDescent="0.15">
      <c r="A442" s="37"/>
    </row>
    <row r="443" spans="1:1" x14ac:dyDescent="0.15">
      <c r="A443" s="37"/>
    </row>
    <row r="444" spans="1:1" x14ac:dyDescent="0.15">
      <c r="A444" s="37"/>
    </row>
    <row r="445" spans="1:1" x14ac:dyDescent="0.15">
      <c r="A445" s="37"/>
    </row>
    <row r="446" spans="1:1" x14ac:dyDescent="0.15">
      <c r="A446" s="37"/>
    </row>
    <row r="447" spans="1:1" x14ac:dyDescent="0.15">
      <c r="A447" s="37"/>
    </row>
    <row r="448" spans="1:1" x14ac:dyDescent="0.15">
      <c r="A448" s="37"/>
    </row>
    <row r="449" spans="1:1" x14ac:dyDescent="0.15">
      <c r="A449" s="37"/>
    </row>
    <row r="450" spans="1:1" x14ac:dyDescent="0.15">
      <c r="A450" s="37"/>
    </row>
    <row r="451" spans="1:1" x14ac:dyDescent="0.15">
      <c r="A451" s="37"/>
    </row>
    <row r="452" spans="1:1" x14ac:dyDescent="0.15">
      <c r="A452" s="37"/>
    </row>
    <row r="453" spans="1:1" x14ac:dyDescent="0.15">
      <c r="A453" s="37"/>
    </row>
    <row r="454" spans="1:1" x14ac:dyDescent="0.15">
      <c r="A454" s="37"/>
    </row>
    <row r="455" spans="1:1" x14ac:dyDescent="0.15">
      <c r="A455" s="37"/>
    </row>
    <row r="456" spans="1:1" x14ac:dyDescent="0.15">
      <c r="A456" s="37"/>
    </row>
    <row r="457" spans="1:1" x14ac:dyDescent="0.15">
      <c r="A457" s="37"/>
    </row>
    <row r="458" spans="1:1" x14ac:dyDescent="0.15">
      <c r="A458" s="37"/>
    </row>
    <row r="459" spans="1:1" x14ac:dyDescent="0.15">
      <c r="A459" s="37"/>
    </row>
    <row r="460" spans="1:1" x14ac:dyDescent="0.15">
      <c r="A460" s="37"/>
    </row>
    <row r="461" spans="1:1" x14ac:dyDescent="0.15">
      <c r="A461" s="37"/>
    </row>
    <row r="462" spans="1:1" x14ac:dyDescent="0.15">
      <c r="A462" s="37"/>
    </row>
    <row r="463" spans="1:1" x14ac:dyDescent="0.15">
      <c r="A463" s="37"/>
    </row>
    <row r="464" spans="1:1" x14ac:dyDescent="0.15">
      <c r="A464" s="37"/>
    </row>
    <row r="465" spans="1:1" x14ac:dyDescent="0.15">
      <c r="A465" s="37"/>
    </row>
    <row r="466" spans="1:1" x14ac:dyDescent="0.15">
      <c r="A466" s="37"/>
    </row>
    <row r="467" spans="1:1" x14ac:dyDescent="0.15">
      <c r="A467" s="37"/>
    </row>
    <row r="468" spans="1:1" x14ac:dyDescent="0.15">
      <c r="A468" s="37"/>
    </row>
    <row r="469" spans="1:1" x14ac:dyDescent="0.15">
      <c r="A469" s="37"/>
    </row>
    <row r="470" spans="1:1" x14ac:dyDescent="0.15">
      <c r="A470" s="37"/>
    </row>
    <row r="471" spans="1:1" x14ac:dyDescent="0.15">
      <c r="A471" s="37"/>
    </row>
    <row r="472" spans="1:1" x14ac:dyDescent="0.15">
      <c r="A472" s="37"/>
    </row>
    <row r="473" spans="1:1" x14ac:dyDescent="0.15">
      <c r="A473" s="37"/>
    </row>
    <row r="474" spans="1:1" x14ac:dyDescent="0.15">
      <c r="A474" s="37"/>
    </row>
    <row r="475" spans="1:1" x14ac:dyDescent="0.15">
      <c r="A475" s="37"/>
    </row>
    <row r="476" spans="1:1" x14ac:dyDescent="0.15">
      <c r="A476" s="37"/>
    </row>
    <row r="477" spans="1:1" x14ac:dyDescent="0.15">
      <c r="A477" s="37"/>
    </row>
    <row r="478" spans="1:1" x14ac:dyDescent="0.15">
      <c r="A478" s="37"/>
    </row>
    <row r="479" spans="1:1" x14ac:dyDescent="0.15">
      <c r="A479" s="37"/>
    </row>
    <row r="480" spans="1:1" x14ac:dyDescent="0.15">
      <c r="A480" s="37"/>
    </row>
    <row r="481" spans="1:1" x14ac:dyDescent="0.15">
      <c r="A481" s="37"/>
    </row>
    <row r="482" spans="1:1" x14ac:dyDescent="0.15">
      <c r="A482" s="37"/>
    </row>
    <row r="483" spans="1:1" x14ac:dyDescent="0.15">
      <c r="A483" s="37"/>
    </row>
    <row r="484" spans="1:1" x14ac:dyDescent="0.15">
      <c r="A484" s="37"/>
    </row>
    <row r="485" spans="1:1" x14ac:dyDescent="0.15">
      <c r="A485" s="37"/>
    </row>
    <row r="486" spans="1:1" x14ac:dyDescent="0.15">
      <c r="A486" s="37"/>
    </row>
    <row r="487" spans="1:1" x14ac:dyDescent="0.15">
      <c r="A487" s="37"/>
    </row>
    <row r="488" spans="1:1" x14ac:dyDescent="0.15">
      <c r="A488" s="37"/>
    </row>
    <row r="489" spans="1:1" x14ac:dyDescent="0.15">
      <c r="A489" s="37"/>
    </row>
    <row r="490" spans="1:1" x14ac:dyDescent="0.15">
      <c r="A490" s="37"/>
    </row>
    <row r="491" spans="1:1" x14ac:dyDescent="0.15">
      <c r="A491" s="37"/>
    </row>
    <row r="492" spans="1:1" x14ac:dyDescent="0.15">
      <c r="A492" s="37"/>
    </row>
    <row r="493" spans="1:1" x14ac:dyDescent="0.15">
      <c r="A493" s="37"/>
    </row>
    <row r="494" spans="1:1" x14ac:dyDescent="0.15">
      <c r="A494" s="37"/>
    </row>
    <row r="495" spans="1:1" x14ac:dyDescent="0.15">
      <c r="A495" s="37"/>
    </row>
    <row r="496" spans="1:1" x14ac:dyDescent="0.15">
      <c r="A496" s="37"/>
    </row>
    <row r="497" spans="1:1" x14ac:dyDescent="0.15">
      <c r="A497" s="37"/>
    </row>
    <row r="498" spans="1:1" x14ac:dyDescent="0.15">
      <c r="A498" s="37"/>
    </row>
    <row r="499" spans="1:1" x14ac:dyDescent="0.15">
      <c r="A499" s="37"/>
    </row>
    <row r="500" spans="1:1" x14ac:dyDescent="0.15">
      <c r="A500" s="37"/>
    </row>
    <row r="501" spans="1:1" x14ac:dyDescent="0.15">
      <c r="A501" s="37"/>
    </row>
    <row r="502" spans="1:1" x14ac:dyDescent="0.15">
      <c r="A502" s="37"/>
    </row>
    <row r="503" spans="1:1" x14ac:dyDescent="0.15">
      <c r="A503" s="37"/>
    </row>
    <row r="504" spans="1:1" x14ac:dyDescent="0.15">
      <c r="A504" s="37"/>
    </row>
    <row r="505" spans="1:1" x14ac:dyDescent="0.15">
      <c r="A505" s="37"/>
    </row>
    <row r="506" spans="1:1" x14ac:dyDescent="0.15">
      <c r="A506" s="37"/>
    </row>
    <row r="507" spans="1:1" x14ac:dyDescent="0.15">
      <c r="A507" s="37"/>
    </row>
    <row r="508" spans="1:1" x14ac:dyDescent="0.15">
      <c r="A508" s="37"/>
    </row>
    <row r="509" spans="1:1" x14ac:dyDescent="0.15">
      <c r="A509" s="37"/>
    </row>
    <row r="510" spans="1:1" x14ac:dyDescent="0.15">
      <c r="A510" s="37"/>
    </row>
    <row r="511" spans="1:1" x14ac:dyDescent="0.15">
      <c r="A511" s="37"/>
    </row>
    <row r="512" spans="1:1" x14ac:dyDescent="0.15">
      <c r="A512" s="37"/>
    </row>
    <row r="513" spans="1:1" x14ac:dyDescent="0.15">
      <c r="A513" s="37"/>
    </row>
    <row r="514" spans="1:1" x14ac:dyDescent="0.15">
      <c r="A514" s="37"/>
    </row>
    <row r="515" spans="1:1" x14ac:dyDescent="0.15">
      <c r="A515" s="37"/>
    </row>
    <row r="516" spans="1:1" x14ac:dyDescent="0.15">
      <c r="A516" s="37"/>
    </row>
    <row r="517" spans="1:1" x14ac:dyDescent="0.15">
      <c r="A517" s="37"/>
    </row>
    <row r="518" spans="1:1" x14ac:dyDescent="0.15">
      <c r="A518" s="37"/>
    </row>
    <row r="519" spans="1:1" x14ac:dyDescent="0.15">
      <c r="A519" s="37"/>
    </row>
    <row r="520" spans="1:1" x14ac:dyDescent="0.15">
      <c r="A520" s="37"/>
    </row>
    <row r="521" spans="1:1" x14ac:dyDescent="0.15">
      <c r="A521" s="37"/>
    </row>
    <row r="522" spans="1:1" x14ac:dyDescent="0.15">
      <c r="A522" s="37"/>
    </row>
    <row r="523" spans="1:1" x14ac:dyDescent="0.15">
      <c r="A523" s="37"/>
    </row>
    <row r="524" spans="1:1" x14ac:dyDescent="0.15">
      <c r="A524" s="37"/>
    </row>
    <row r="525" spans="1:1" x14ac:dyDescent="0.15">
      <c r="A525" s="37"/>
    </row>
    <row r="526" spans="1:1" x14ac:dyDescent="0.15">
      <c r="A526" s="37"/>
    </row>
    <row r="527" spans="1:1" x14ac:dyDescent="0.15">
      <c r="A527" s="37"/>
    </row>
    <row r="528" spans="1:1" x14ac:dyDescent="0.15">
      <c r="A528" s="37"/>
    </row>
    <row r="529" spans="1:1" x14ac:dyDescent="0.15">
      <c r="A529" s="37"/>
    </row>
    <row r="530" spans="1:1" x14ac:dyDescent="0.15">
      <c r="A530" s="37"/>
    </row>
    <row r="531" spans="1:1" x14ac:dyDescent="0.15">
      <c r="A531" s="37"/>
    </row>
    <row r="532" spans="1:1" x14ac:dyDescent="0.15">
      <c r="A532" s="37"/>
    </row>
    <row r="533" spans="1:1" x14ac:dyDescent="0.15">
      <c r="A533" s="37"/>
    </row>
    <row r="534" spans="1:1" x14ac:dyDescent="0.15">
      <c r="A534" s="37"/>
    </row>
    <row r="535" spans="1:1" x14ac:dyDescent="0.15">
      <c r="A535" s="37"/>
    </row>
    <row r="536" spans="1:1" x14ac:dyDescent="0.15">
      <c r="A536" s="37"/>
    </row>
    <row r="537" spans="1:1" x14ac:dyDescent="0.15">
      <c r="A537" s="37"/>
    </row>
    <row r="538" spans="1:1" x14ac:dyDescent="0.15">
      <c r="A538" s="37"/>
    </row>
    <row r="539" spans="1:1" x14ac:dyDescent="0.15">
      <c r="A539" s="37"/>
    </row>
    <row r="540" spans="1:1" x14ac:dyDescent="0.15">
      <c r="A540" s="37"/>
    </row>
    <row r="541" spans="1:1" x14ac:dyDescent="0.15">
      <c r="A541" s="37"/>
    </row>
    <row r="542" spans="1:1" x14ac:dyDescent="0.15">
      <c r="A542" s="37"/>
    </row>
    <row r="543" spans="1:1" x14ac:dyDescent="0.15">
      <c r="A543" s="37"/>
    </row>
    <row r="544" spans="1:1" x14ac:dyDescent="0.15">
      <c r="A544" s="37"/>
    </row>
    <row r="545" spans="1:1" x14ac:dyDescent="0.15">
      <c r="A545" s="37"/>
    </row>
    <row r="546" spans="1:1" x14ac:dyDescent="0.15">
      <c r="A546" s="37"/>
    </row>
    <row r="547" spans="1:1" x14ac:dyDescent="0.15">
      <c r="A547" s="37"/>
    </row>
    <row r="548" spans="1:1" x14ac:dyDescent="0.15">
      <c r="A548" s="37"/>
    </row>
    <row r="549" spans="1:1" x14ac:dyDescent="0.15">
      <c r="A549" s="37"/>
    </row>
    <row r="550" spans="1:1" x14ac:dyDescent="0.15">
      <c r="A550" s="37"/>
    </row>
    <row r="551" spans="1:1" x14ac:dyDescent="0.15">
      <c r="A551" s="37"/>
    </row>
    <row r="552" spans="1:1" x14ac:dyDescent="0.15">
      <c r="A552" s="37"/>
    </row>
    <row r="553" spans="1:1" x14ac:dyDescent="0.15">
      <c r="A553" s="37"/>
    </row>
    <row r="554" spans="1:1" x14ac:dyDescent="0.15">
      <c r="A554" s="37"/>
    </row>
    <row r="555" spans="1:1" x14ac:dyDescent="0.15">
      <c r="A555" s="37"/>
    </row>
    <row r="556" spans="1:1" x14ac:dyDescent="0.15">
      <c r="A556" s="37"/>
    </row>
    <row r="557" spans="1:1" x14ac:dyDescent="0.15">
      <c r="A557" s="37"/>
    </row>
    <row r="558" spans="1:1" x14ac:dyDescent="0.15">
      <c r="A558" s="37"/>
    </row>
    <row r="559" spans="1:1" x14ac:dyDescent="0.15">
      <c r="A559" s="37"/>
    </row>
    <row r="560" spans="1:1" x14ac:dyDescent="0.15">
      <c r="A560" s="37"/>
    </row>
    <row r="561" spans="1:1" x14ac:dyDescent="0.15">
      <c r="A561" s="37"/>
    </row>
    <row r="562" spans="1:1" x14ac:dyDescent="0.15">
      <c r="A562" s="37"/>
    </row>
    <row r="563" spans="1:1" x14ac:dyDescent="0.15">
      <c r="A563" s="37"/>
    </row>
    <row r="564" spans="1:1" x14ac:dyDescent="0.15">
      <c r="A564" s="37"/>
    </row>
    <row r="565" spans="1:1" x14ac:dyDescent="0.15">
      <c r="A565" s="37"/>
    </row>
    <row r="566" spans="1:1" x14ac:dyDescent="0.15">
      <c r="A566" s="37"/>
    </row>
    <row r="567" spans="1:1" x14ac:dyDescent="0.15">
      <c r="A567" s="37"/>
    </row>
    <row r="568" spans="1:1" x14ac:dyDescent="0.15">
      <c r="A568" s="37"/>
    </row>
    <row r="569" spans="1:1" x14ac:dyDescent="0.15">
      <c r="A569" s="37"/>
    </row>
    <row r="570" spans="1:1" x14ac:dyDescent="0.15">
      <c r="A570" s="37"/>
    </row>
    <row r="571" spans="1:1" x14ac:dyDescent="0.15">
      <c r="A571" s="37"/>
    </row>
    <row r="572" spans="1:1" x14ac:dyDescent="0.15">
      <c r="A572" s="37"/>
    </row>
    <row r="573" spans="1:1" x14ac:dyDescent="0.15">
      <c r="A573" s="37"/>
    </row>
    <row r="574" spans="1:1" x14ac:dyDescent="0.15">
      <c r="A574" s="37"/>
    </row>
    <row r="575" spans="1:1" x14ac:dyDescent="0.15">
      <c r="A575" s="37"/>
    </row>
    <row r="576" spans="1:1" x14ac:dyDescent="0.15">
      <c r="A576" s="37"/>
    </row>
    <row r="577" spans="1:1" x14ac:dyDescent="0.15">
      <c r="A577" s="37"/>
    </row>
    <row r="578" spans="1:1" x14ac:dyDescent="0.15">
      <c r="A578" s="37"/>
    </row>
    <row r="579" spans="1:1" x14ac:dyDescent="0.15">
      <c r="A579" s="37"/>
    </row>
    <row r="580" spans="1:1" x14ac:dyDescent="0.15">
      <c r="A580" s="37"/>
    </row>
    <row r="581" spans="1:1" x14ac:dyDescent="0.15">
      <c r="A581" s="37"/>
    </row>
    <row r="582" spans="1:1" x14ac:dyDescent="0.15">
      <c r="A582" s="37"/>
    </row>
    <row r="583" spans="1:1" x14ac:dyDescent="0.15">
      <c r="A583" s="37"/>
    </row>
    <row r="584" spans="1:1" x14ac:dyDescent="0.15">
      <c r="A584" s="37"/>
    </row>
    <row r="585" spans="1:1" x14ac:dyDescent="0.15">
      <c r="A585" s="37"/>
    </row>
    <row r="586" spans="1:1" x14ac:dyDescent="0.15">
      <c r="A586" s="37"/>
    </row>
    <row r="587" spans="1:1" x14ac:dyDescent="0.15">
      <c r="A587" s="37"/>
    </row>
    <row r="588" spans="1:1" x14ac:dyDescent="0.15">
      <c r="A588" s="37"/>
    </row>
    <row r="589" spans="1:1" x14ac:dyDescent="0.15">
      <c r="A589" s="37"/>
    </row>
    <row r="590" spans="1:1" x14ac:dyDescent="0.15">
      <c r="A590" s="37"/>
    </row>
    <row r="591" spans="1:1" x14ac:dyDescent="0.15">
      <c r="A591" s="37"/>
    </row>
    <row r="592" spans="1:1" x14ac:dyDescent="0.15">
      <c r="A592" s="37"/>
    </row>
    <row r="593" spans="1:1" x14ac:dyDescent="0.15">
      <c r="A593" s="37"/>
    </row>
    <row r="594" spans="1:1" x14ac:dyDescent="0.15">
      <c r="A594" s="37"/>
    </row>
    <row r="595" spans="1:1" x14ac:dyDescent="0.15">
      <c r="A595" s="37"/>
    </row>
    <row r="596" spans="1:1" x14ac:dyDescent="0.15">
      <c r="A596" s="37"/>
    </row>
    <row r="597" spans="1:1" x14ac:dyDescent="0.15">
      <c r="A597" s="37"/>
    </row>
    <row r="598" spans="1:1" x14ac:dyDescent="0.15">
      <c r="A598" s="37"/>
    </row>
    <row r="599" spans="1:1" x14ac:dyDescent="0.15">
      <c r="A599" s="39"/>
    </row>
    <row r="600" spans="1:1" x14ac:dyDescent="0.15">
      <c r="A600" s="39"/>
    </row>
    <row r="601" spans="1:1" x14ac:dyDescent="0.15">
      <c r="A601" s="39"/>
    </row>
    <row r="602" spans="1:1" x14ac:dyDescent="0.15">
      <c r="A602" s="39"/>
    </row>
    <row r="603" spans="1:1" x14ac:dyDescent="0.15">
      <c r="A603" s="39"/>
    </row>
    <row r="604" spans="1:1" x14ac:dyDescent="0.15">
      <c r="A604" s="39"/>
    </row>
    <row r="605" spans="1:1" x14ac:dyDescent="0.15">
      <c r="A605" s="39"/>
    </row>
    <row r="606" spans="1:1" x14ac:dyDescent="0.15">
      <c r="A606" s="39"/>
    </row>
    <row r="607" spans="1:1" x14ac:dyDescent="0.15">
      <c r="A607" s="39"/>
    </row>
    <row r="608" spans="1:1" x14ac:dyDescent="0.15">
      <c r="A608" s="39"/>
    </row>
    <row r="609" spans="1:1" x14ac:dyDescent="0.15">
      <c r="A609" s="39"/>
    </row>
    <row r="610" spans="1:1" x14ac:dyDescent="0.15">
      <c r="A610" s="39"/>
    </row>
    <row r="611" spans="1:1" x14ac:dyDescent="0.15">
      <c r="A611" s="39"/>
    </row>
    <row r="612" spans="1:1" x14ac:dyDescent="0.15">
      <c r="A612" s="39"/>
    </row>
    <row r="613" spans="1:1" x14ac:dyDescent="0.15">
      <c r="A613" s="39"/>
    </row>
    <row r="614" spans="1:1" x14ac:dyDescent="0.15">
      <c r="A614" s="39"/>
    </row>
    <row r="615" spans="1:1" x14ac:dyDescent="0.15">
      <c r="A615" s="39"/>
    </row>
    <row r="616" spans="1:1" x14ac:dyDescent="0.15">
      <c r="A616" s="39"/>
    </row>
    <row r="617" spans="1:1" x14ac:dyDescent="0.15">
      <c r="A617" s="39"/>
    </row>
    <row r="618" spans="1:1" x14ac:dyDescent="0.15">
      <c r="A618" s="39"/>
    </row>
    <row r="619" spans="1:1" x14ac:dyDescent="0.15">
      <c r="A619" s="39"/>
    </row>
    <row r="620" spans="1:1" x14ac:dyDescent="0.15">
      <c r="A620" s="39"/>
    </row>
    <row r="621" spans="1:1" x14ac:dyDescent="0.15">
      <c r="A621" s="39"/>
    </row>
    <row r="622" spans="1:1" x14ac:dyDescent="0.15">
      <c r="A622" s="39"/>
    </row>
    <row r="623" spans="1:1" x14ac:dyDescent="0.15">
      <c r="A623" s="39"/>
    </row>
    <row r="624" spans="1:1" x14ac:dyDescent="0.15">
      <c r="A624" s="39"/>
    </row>
    <row r="625" spans="1:1" x14ac:dyDescent="0.15">
      <c r="A625" s="39"/>
    </row>
    <row r="626" spans="1:1" x14ac:dyDescent="0.15">
      <c r="A626" s="39"/>
    </row>
    <row r="627" spans="1:1" x14ac:dyDescent="0.15">
      <c r="A627" s="39"/>
    </row>
    <row r="628" spans="1:1" x14ac:dyDescent="0.15">
      <c r="A628" s="39"/>
    </row>
    <row r="629" spans="1:1" x14ac:dyDescent="0.15">
      <c r="A629" s="39"/>
    </row>
    <row r="630" spans="1:1" x14ac:dyDescent="0.15">
      <c r="A630" s="39"/>
    </row>
    <row r="631" spans="1:1" x14ac:dyDescent="0.15">
      <c r="A631" s="39"/>
    </row>
    <row r="632" spans="1:1" x14ac:dyDescent="0.15">
      <c r="A632" s="39"/>
    </row>
    <row r="633" spans="1:1" x14ac:dyDescent="0.15">
      <c r="A633" s="39"/>
    </row>
    <row r="634" spans="1:1" x14ac:dyDescent="0.15">
      <c r="A634" s="39"/>
    </row>
    <row r="635" spans="1:1" x14ac:dyDescent="0.15">
      <c r="A635" s="39"/>
    </row>
    <row r="636" spans="1:1" x14ac:dyDescent="0.15">
      <c r="A636" s="39"/>
    </row>
    <row r="637" spans="1:1" x14ac:dyDescent="0.15">
      <c r="A637" s="39"/>
    </row>
    <row r="638" spans="1:1" x14ac:dyDescent="0.15">
      <c r="A638" s="39"/>
    </row>
    <row r="639" spans="1:1" x14ac:dyDescent="0.15">
      <c r="A639" s="39"/>
    </row>
    <row r="640" spans="1:1" x14ac:dyDescent="0.15">
      <c r="A640" s="39"/>
    </row>
    <row r="641" spans="1:1" x14ac:dyDescent="0.15">
      <c r="A641" s="39"/>
    </row>
    <row r="642" spans="1:1" x14ac:dyDescent="0.15">
      <c r="A642" s="39"/>
    </row>
    <row r="643" spans="1:1" x14ac:dyDescent="0.15">
      <c r="A643" s="39"/>
    </row>
    <row r="644" spans="1:1" x14ac:dyDescent="0.15">
      <c r="A644" s="39"/>
    </row>
    <row r="645" spans="1:1" x14ac:dyDescent="0.15">
      <c r="A645" s="39"/>
    </row>
    <row r="646" spans="1:1" x14ac:dyDescent="0.15">
      <c r="A646" s="39"/>
    </row>
    <row r="647" spans="1:1" x14ac:dyDescent="0.15">
      <c r="A647" s="39"/>
    </row>
    <row r="648" spans="1:1" x14ac:dyDescent="0.15">
      <c r="A648" s="39"/>
    </row>
    <row r="649" spans="1:1" x14ac:dyDescent="0.15">
      <c r="A649" s="39"/>
    </row>
    <row r="650" spans="1:1" x14ac:dyDescent="0.15">
      <c r="A650" s="39"/>
    </row>
    <row r="651" spans="1:1" x14ac:dyDescent="0.15">
      <c r="A651" s="39"/>
    </row>
    <row r="652" spans="1:1" x14ac:dyDescent="0.15">
      <c r="A652" s="39"/>
    </row>
    <row r="653" spans="1:1" x14ac:dyDescent="0.15">
      <c r="A653" s="39"/>
    </row>
    <row r="654" spans="1:1" x14ac:dyDescent="0.15">
      <c r="A654" s="39"/>
    </row>
    <row r="655" spans="1:1" x14ac:dyDescent="0.15">
      <c r="A655" s="39"/>
    </row>
    <row r="656" spans="1:1" x14ac:dyDescent="0.15">
      <c r="A656" s="39"/>
    </row>
    <row r="657" spans="1:1" x14ac:dyDescent="0.15">
      <c r="A657" s="39"/>
    </row>
    <row r="658" spans="1:1" x14ac:dyDescent="0.15">
      <c r="A658" s="39"/>
    </row>
    <row r="659" spans="1:1" x14ac:dyDescent="0.15">
      <c r="A659" s="39"/>
    </row>
    <row r="660" spans="1:1" x14ac:dyDescent="0.15">
      <c r="A660" s="39"/>
    </row>
    <row r="661" spans="1:1" x14ac:dyDescent="0.15">
      <c r="A661" s="39"/>
    </row>
    <row r="662" spans="1:1" x14ac:dyDescent="0.15">
      <c r="A662" s="39"/>
    </row>
    <row r="663" spans="1:1" x14ac:dyDescent="0.15">
      <c r="A663" s="39"/>
    </row>
    <row r="664" spans="1:1" x14ac:dyDescent="0.15">
      <c r="A664" s="39"/>
    </row>
    <row r="665" spans="1:1" x14ac:dyDescent="0.15">
      <c r="A665" s="39"/>
    </row>
    <row r="666" spans="1:1" x14ac:dyDescent="0.15">
      <c r="A666" s="39"/>
    </row>
    <row r="667" spans="1:1" x14ac:dyDescent="0.15">
      <c r="A667" s="39"/>
    </row>
    <row r="668" spans="1:1" x14ac:dyDescent="0.15">
      <c r="A668" s="39"/>
    </row>
    <row r="669" spans="1:1" x14ac:dyDescent="0.15">
      <c r="A669" s="39"/>
    </row>
    <row r="670" spans="1:1" x14ac:dyDescent="0.15">
      <c r="A670" s="39"/>
    </row>
    <row r="671" spans="1:1" x14ac:dyDescent="0.15">
      <c r="A671" s="39"/>
    </row>
    <row r="672" spans="1:1" x14ac:dyDescent="0.15">
      <c r="A672" s="39"/>
    </row>
    <row r="673" spans="1:1" x14ac:dyDescent="0.15">
      <c r="A673" s="39"/>
    </row>
    <row r="674" spans="1:1" x14ac:dyDescent="0.15">
      <c r="A674" s="39"/>
    </row>
    <row r="675" spans="1:1" x14ac:dyDescent="0.15">
      <c r="A675" s="39"/>
    </row>
    <row r="676" spans="1:1" x14ac:dyDescent="0.15">
      <c r="A676" s="39"/>
    </row>
    <row r="677" spans="1:1" x14ac:dyDescent="0.15">
      <c r="A677" s="39"/>
    </row>
    <row r="678" spans="1:1" x14ac:dyDescent="0.15">
      <c r="A678" s="39"/>
    </row>
    <row r="679" spans="1:1" x14ac:dyDescent="0.15">
      <c r="A679" s="39"/>
    </row>
    <row r="680" spans="1:1" x14ac:dyDescent="0.15">
      <c r="A680" s="39"/>
    </row>
    <row r="681" spans="1:1" x14ac:dyDescent="0.15">
      <c r="A681" s="39"/>
    </row>
    <row r="682" spans="1:1" x14ac:dyDescent="0.15">
      <c r="A682" s="37"/>
    </row>
    <row r="683" spans="1:1" x14ac:dyDescent="0.15">
      <c r="A683" s="37"/>
    </row>
    <row r="684" spans="1:1" x14ac:dyDescent="0.15">
      <c r="A684" s="37"/>
    </row>
    <row r="685" spans="1:1" x14ac:dyDescent="0.15">
      <c r="A685" s="37"/>
    </row>
    <row r="686" spans="1:1" x14ac:dyDescent="0.15">
      <c r="A686" s="37"/>
    </row>
    <row r="687" spans="1:1" x14ac:dyDescent="0.15">
      <c r="A687" s="37"/>
    </row>
    <row r="688" spans="1:1" x14ac:dyDescent="0.15">
      <c r="A688" s="37"/>
    </row>
    <row r="689" spans="1:1" x14ac:dyDescent="0.15">
      <c r="A689" s="37"/>
    </row>
    <row r="690" spans="1:1" x14ac:dyDescent="0.15">
      <c r="A690" s="37"/>
    </row>
    <row r="691" spans="1:1" x14ac:dyDescent="0.15">
      <c r="A691" s="37"/>
    </row>
    <row r="692" spans="1:1" x14ac:dyDescent="0.15">
      <c r="A692" s="37"/>
    </row>
    <row r="693" spans="1:1" x14ac:dyDescent="0.15">
      <c r="A693" s="37"/>
    </row>
    <row r="694" spans="1:1" x14ac:dyDescent="0.15">
      <c r="A694" s="37"/>
    </row>
    <row r="695" spans="1:1" x14ac:dyDescent="0.15">
      <c r="A695" s="37"/>
    </row>
    <row r="696" spans="1:1" x14ac:dyDescent="0.15">
      <c r="A696" s="37"/>
    </row>
    <row r="697" spans="1:1" x14ac:dyDescent="0.15">
      <c r="A697" s="37"/>
    </row>
    <row r="698" spans="1:1" x14ac:dyDescent="0.15">
      <c r="A698" s="37"/>
    </row>
    <row r="699" spans="1:1" x14ac:dyDescent="0.15">
      <c r="A699" s="37"/>
    </row>
    <row r="700" spans="1:1" x14ac:dyDescent="0.15">
      <c r="A700" s="37"/>
    </row>
    <row r="701" spans="1:1" x14ac:dyDescent="0.15">
      <c r="A701" s="37"/>
    </row>
    <row r="702" spans="1:1" x14ac:dyDescent="0.15">
      <c r="A702" s="37"/>
    </row>
    <row r="703" spans="1:1" x14ac:dyDescent="0.15">
      <c r="A703" s="37"/>
    </row>
    <row r="704" spans="1:1" x14ac:dyDescent="0.15">
      <c r="A704" s="37"/>
    </row>
    <row r="705" spans="1:1" x14ac:dyDescent="0.15">
      <c r="A705" s="37"/>
    </row>
    <row r="706" spans="1:1" x14ac:dyDescent="0.15">
      <c r="A706" s="37"/>
    </row>
    <row r="707" spans="1:1" x14ac:dyDescent="0.15">
      <c r="A707" s="37"/>
    </row>
    <row r="708" spans="1:1" x14ac:dyDescent="0.15">
      <c r="A708" s="37"/>
    </row>
    <row r="709" spans="1:1" x14ac:dyDescent="0.15">
      <c r="A709" s="37"/>
    </row>
    <row r="710" spans="1:1" x14ac:dyDescent="0.15">
      <c r="A710" s="37"/>
    </row>
    <row r="711" spans="1:1" x14ac:dyDescent="0.15">
      <c r="A711" s="37"/>
    </row>
    <row r="712" spans="1:1" x14ac:dyDescent="0.15">
      <c r="A712" s="37"/>
    </row>
    <row r="713" spans="1:1" x14ac:dyDescent="0.15">
      <c r="A713" s="37"/>
    </row>
    <row r="714" spans="1:1" x14ac:dyDescent="0.15">
      <c r="A714" s="37"/>
    </row>
    <row r="715" spans="1:1" x14ac:dyDescent="0.15">
      <c r="A715" s="37"/>
    </row>
    <row r="716" spans="1:1" x14ac:dyDescent="0.15">
      <c r="A716" s="37"/>
    </row>
    <row r="717" spans="1:1" x14ac:dyDescent="0.15">
      <c r="A717" s="37"/>
    </row>
    <row r="718" spans="1:1" x14ac:dyDescent="0.15">
      <c r="A718" s="37"/>
    </row>
    <row r="719" spans="1:1" x14ac:dyDescent="0.15">
      <c r="A719" s="37"/>
    </row>
    <row r="720" spans="1:1" x14ac:dyDescent="0.15">
      <c r="A720" s="37"/>
    </row>
    <row r="721" spans="1:1" x14ac:dyDescent="0.15">
      <c r="A721" s="37"/>
    </row>
    <row r="722" spans="1:1" x14ac:dyDescent="0.15">
      <c r="A722" s="37"/>
    </row>
    <row r="723" spans="1:1" x14ac:dyDescent="0.15">
      <c r="A723" s="37"/>
    </row>
    <row r="724" spans="1:1" x14ac:dyDescent="0.15">
      <c r="A724" s="37"/>
    </row>
    <row r="725" spans="1:1" x14ac:dyDescent="0.15">
      <c r="A725" s="37"/>
    </row>
    <row r="726" spans="1:1" x14ac:dyDescent="0.15">
      <c r="A726" s="37"/>
    </row>
    <row r="727" spans="1:1" x14ac:dyDescent="0.15">
      <c r="A727" s="37"/>
    </row>
    <row r="728" spans="1:1" x14ac:dyDescent="0.15">
      <c r="A728" s="37"/>
    </row>
    <row r="729" spans="1:1" x14ac:dyDescent="0.15">
      <c r="A729" s="37"/>
    </row>
    <row r="730" spans="1:1" x14ac:dyDescent="0.15">
      <c r="A730" s="37"/>
    </row>
    <row r="731" spans="1:1" x14ac:dyDescent="0.15">
      <c r="A731" s="37"/>
    </row>
    <row r="732" spans="1:1" x14ac:dyDescent="0.15">
      <c r="A732" s="37"/>
    </row>
    <row r="733" spans="1:1" x14ac:dyDescent="0.15">
      <c r="A733" s="37"/>
    </row>
    <row r="734" spans="1:1" x14ac:dyDescent="0.15">
      <c r="A734" s="37"/>
    </row>
    <row r="735" spans="1:1" x14ac:dyDescent="0.15">
      <c r="A735" s="37"/>
    </row>
    <row r="736" spans="1:1" x14ac:dyDescent="0.15">
      <c r="A736" s="37"/>
    </row>
    <row r="737" spans="1:1" x14ac:dyDescent="0.15">
      <c r="A737" s="37"/>
    </row>
    <row r="738" spans="1:1" x14ac:dyDescent="0.15">
      <c r="A738" s="37"/>
    </row>
    <row r="739" spans="1:1" x14ac:dyDescent="0.15">
      <c r="A739" s="37"/>
    </row>
    <row r="740" spans="1:1" x14ac:dyDescent="0.15">
      <c r="A740" s="37"/>
    </row>
    <row r="741" spans="1:1" x14ac:dyDescent="0.15">
      <c r="A741" s="37"/>
    </row>
    <row r="742" spans="1:1" x14ac:dyDescent="0.15">
      <c r="A742" s="37"/>
    </row>
    <row r="743" spans="1:1" x14ac:dyDescent="0.15">
      <c r="A743" s="37"/>
    </row>
    <row r="744" spans="1:1" x14ac:dyDescent="0.15">
      <c r="A744" s="37"/>
    </row>
    <row r="745" spans="1:1" x14ac:dyDescent="0.15">
      <c r="A745" s="37"/>
    </row>
    <row r="746" spans="1:1" x14ac:dyDescent="0.15">
      <c r="A746" s="37"/>
    </row>
    <row r="747" spans="1:1" x14ac:dyDescent="0.15">
      <c r="A747" s="37"/>
    </row>
    <row r="748" spans="1:1" x14ac:dyDescent="0.15">
      <c r="A748" s="37"/>
    </row>
    <row r="749" spans="1:1" x14ac:dyDescent="0.15">
      <c r="A749" s="37"/>
    </row>
    <row r="750" spans="1:1" x14ac:dyDescent="0.15">
      <c r="A750" s="37"/>
    </row>
    <row r="751" spans="1:1" x14ac:dyDescent="0.15">
      <c r="A751" s="37"/>
    </row>
    <row r="752" spans="1:1" x14ac:dyDescent="0.15">
      <c r="A752" s="37"/>
    </row>
    <row r="753" spans="1:1" x14ac:dyDescent="0.15">
      <c r="A753" s="37"/>
    </row>
    <row r="754" spans="1:1" x14ac:dyDescent="0.15">
      <c r="A754" s="37"/>
    </row>
    <row r="755" spans="1:1" x14ac:dyDescent="0.15">
      <c r="A755" s="37"/>
    </row>
    <row r="756" spans="1:1" x14ac:dyDescent="0.15">
      <c r="A756" s="37"/>
    </row>
    <row r="757" spans="1:1" x14ac:dyDescent="0.15">
      <c r="A757" s="37"/>
    </row>
    <row r="758" spans="1:1" x14ac:dyDescent="0.15">
      <c r="A758" s="37"/>
    </row>
    <row r="759" spans="1:1" x14ac:dyDescent="0.15">
      <c r="A759" s="37"/>
    </row>
    <row r="760" spans="1:1" x14ac:dyDescent="0.15">
      <c r="A760" s="37"/>
    </row>
    <row r="761" spans="1:1" x14ac:dyDescent="0.15">
      <c r="A761" s="37"/>
    </row>
    <row r="762" spans="1:1" x14ac:dyDescent="0.15">
      <c r="A762" s="37"/>
    </row>
    <row r="763" spans="1:1" x14ac:dyDescent="0.15">
      <c r="A763" s="37"/>
    </row>
    <row r="764" spans="1:1" x14ac:dyDescent="0.15">
      <c r="A764" s="37"/>
    </row>
    <row r="765" spans="1:1" x14ac:dyDescent="0.15">
      <c r="A765" s="37"/>
    </row>
    <row r="766" spans="1:1" x14ac:dyDescent="0.15">
      <c r="A766" s="37"/>
    </row>
    <row r="767" spans="1:1" x14ac:dyDescent="0.15">
      <c r="A767" s="37"/>
    </row>
    <row r="768" spans="1:1" x14ac:dyDescent="0.15">
      <c r="A768" s="37"/>
    </row>
    <row r="769" spans="1:1" x14ac:dyDescent="0.15">
      <c r="A769" s="37"/>
    </row>
    <row r="770" spans="1:1" x14ac:dyDescent="0.15">
      <c r="A770" s="37"/>
    </row>
    <row r="771" spans="1:1" x14ac:dyDescent="0.15">
      <c r="A771" s="37"/>
    </row>
    <row r="772" spans="1:1" x14ac:dyDescent="0.15">
      <c r="A772" s="37"/>
    </row>
    <row r="773" spans="1:1" x14ac:dyDescent="0.15">
      <c r="A773" s="37"/>
    </row>
    <row r="774" spans="1:1" x14ac:dyDescent="0.15">
      <c r="A774" s="37"/>
    </row>
    <row r="775" spans="1:1" x14ac:dyDescent="0.15">
      <c r="A775" s="37"/>
    </row>
    <row r="776" spans="1:1" x14ac:dyDescent="0.15">
      <c r="A776" s="37"/>
    </row>
    <row r="777" spans="1:1" x14ac:dyDescent="0.15">
      <c r="A777" s="37"/>
    </row>
    <row r="778" spans="1:1" x14ac:dyDescent="0.15">
      <c r="A778" s="37"/>
    </row>
    <row r="779" spans="1:1" x14ac:dyDescent="0.15">
      <c r="A779" s="37"/>
    </row>
    <row r="780" spans="1:1" x14ac:dyDescent="0.15">
      <c r="A780" s="37"/>
    </row>
    <row r="781" spans="1:1" x14ac:dyDescent="0.15">
      <c r="A781" s="37"/>
    </row>
    <row r="782" spans="1:1" x14ac:dyDescent="0.15">
      <c r="A782" s="37"/>
    </row>
    <row r="783" spans="1:1" x14ac:dyDescent="0.15">
      <c r="A783" s="37"/>
    </row>
    <row r="784" spans="1:1" x14ac:dyDescent="0.15">
      <c r="A784" s="37"/>
    </row>
    <row r="785" spans="1:1" x14ac:dyDescent="0.15">
      <c r="A785" s="37"/>
    </row>
    <row r="786" spans="1:1" x14ac:dyDescent="0.15">
      <c r="A786" s="37"/>
    </row>
    <row r="787" spans="1:1" x14ac:dyDescent="0.15">
      <c r="A787" s="37"/>
    </row>
    <row r="788" spans="1:1" x14ac:dyDescent="0.15">
      <c r="A788" s="37"/>
    </row>
    <row r="789" spans="1:1" x14ac:dyDescent="0.15">
      <c r="A789" s="37"/>
    </row>
    <row r="790" spans="1:1" x14ac:dyDescent="0.15">
      <c r="A790" s="37"/>
    </row>
    <row r="791" spans="1:1" x14ac:dyDescent="0.15">
      <c r="A791" s="37"/>
    </row>
    <row r="792" spans="1:1" x14ac:dyDescent="0.15">
      <c r="A792" s="37"/>
    </row>
    <row r="793" spans="1:1" x14ac:dyDescent="0.15">
      <c r="A793" s="37"/>
    </row>
    <row r="794" spans="1:1" x14ac:dyDescent="0.15">
      <c r="A794" s="37"/>
    </row>
    <row r="795" spans="1:1" x14ac:dyDescent="0.15">
      <c r="A795" s="37"/>
    </row>
    <row r="796" spans="1:1" x14ac:dyDescent="0.15">
      <c r="A796" s="37"/>
    </row>
    <row r="797" spans="1:1" x14ac:dyDescent="0.15">
      <c r="A797" s="37"/>
    </row>
    <row r="798" spans="1:1" x14ac:dyDescent="0.15">
      <c r="A798" s="37"/>
    </row>
    <row r="799" spans="1:1" x14ac:dyDescent="0.15">
      <c r="A799" s="37"/>
    </row>
    <row r="800" spans="1:1" x14ac:dyDescent="0.15">
      <c r="A800" s="37"/>
    </row>
    <row r="801" spans="1:1" x14ac:dyDescent="0.15">
      <c r="A801" s="37"/>
    </row>
    <row r="802" spans="1:1" x14ac:dyDescent="0.15">
      <c r="A802" s="37"/>
    </row>
    <row r="803" spans="1:1" x14ac:dyDescent="0.15">
      <c r="A803" s="37"/>
    </row>
    <row r="804" spans="1:1" x14ac:dyDescent="0.15">
      <c r="A804" s="37"/>
    </row>
    <row r="805" spans="1:1" x14ac:dyDescent="0.15">
      <c r="A805" s="37"/>
    </row>
    <row r="806" spans="1:1" x14ac:dyDescent="0.15">
      <c r="A806" s="37"/>
    </row>
    <row r="807" spans="1:1" x14ac:dyDescent="0.15">
      <c r="A807" s="37"/>
    </row>
    <row r="808" spans="1:1" x14ac:dyDescent="0.15">
      <c r="A808" s="37"/>
    </row>
    <row r="809" spans="1:1" x14ac:dyDescent="0.15">
      <c r="A809" s="37"/>
    </row>
    <row r="810" spans="1:1" x14ac:dyDescent="0.15">
      <c r="A810" s="37"/>
    </row>
    <row r="811" spans="1:1" x14ac:dyDescent="0.15">
      <c r="A811" s="37"/>
    </row>
    <row r="812" spans="1:1" x14ac:dyDescent="0.15">
      <c r="A812" s="37"/>
    </row>
    <row r="813" spans="1:1" x14ac:dyDescent="0.15">
      <c r="A813" s="37"/>
    </row>
    <row r="814" spans="1:1" x14ac:dyDescent="0.15">
      <c r="A814" s="37"/>
    </row>
    <row r="815" spans="1:1" x14ac:dyDescent="0.15">
      <c r="A815" s="37"/>
    </row>
    <row r="816" spans="1:1" x14ac:dyDescent="0.15">
      <c r="A816" s="37"/>
    </row>
    <row r="817" spans="1:1" x14ac:dyDescent="0.15">
      <c r="A817" s="37"/>
    </row>
    <row r="818" spans="1:1" x14ac:dyDescent="0.15">
      <c r="A818" s="37"/>
    </row>
    <row r="819" spans="1:1" x14ac:dyDescent="0.15">
      <c r="A819" s="37"/>
    </row>
    <row r="820" spans="1:1" x14ac:dyDescent="0.15">
      <c r="A820" s="37"/>
    </row>
    <row r="821" spans="1:1" x14ac:dyDescent="0.15">
      <c r="A821" s="37"/>
    </row>
    <row r="822" spans="1:1" x14ac:dyDescent="0.15">
      <c r="A822" s="37"/>
    </row>
    <row r="823" spans="1:1" x14ac:dyDescent="0.15">
      <c r="A823" s="37"/>
    </row>
    <row r="824" spans="1:1" x14ac:dyDescent="0.15">
      <c r="A824" s="37"/>
    </row>
    <row r="825" spans="1:1" x14ac:dyDescent="0.15">
      <c r="A825" s="37"/>
    </row>
    <row r="826" spans="1:1" x14ac:dyDescent="0.15">
      <c r="A826" s="37"/>
    </row>
    <row r="827" spans="1:1" x14ac:dyDescent="0.15">
      <c r="A827" s="37"/>
    </row>
    <row r="828" spans="1:1" x14ac:dyDescent="0.15">
      <c r="A828" s="37"/>
    </row>
    <row r="829" spans="1:1" x14ac:dyDescent="0.15">
      <c r="A829" s="37"/>
    </row>
    <row r="830" spans="1:1" x14ac:dyDescent="0.15">
      <c r="A830" s="37"/>
    </row>
    <row r="831" spans="1:1" x14ac:dyDescent="0.15">
      <c r="A831" s="37"/>
    </row>
    <row r="832" spans="1:1" x14ac:dyDescent="0.15">
      <c r="A832" s="37"/>
    </row>
    <row r="833" spans="1:1" x14ac:dyDescent="0.15">
      <c r="A833" s="37"/>
    </row>
    <row r="834" spans="1:1" x14ac:dyDescent="0.15">
      <c r="A834" s="37"/>
    </row>
    <row r="835" spans="1:1" x14ac:dyDescent="0.15">
      <c r="A835" s="37"/>
    </row>
    <row r="836" spans="1:1" x14ac:dyDescent="0.15">
      <c r="A836" s="37"/>
    </row>
    <row r="837" spans="1:1" x14ac:dyDescent="0.15">
      <c r="A837" s="37"/>
    </row>
    <row r="838" spans="1:1" x14ac:dyDescent="0.15">
      <c r="A838" s="37"/>
    </row>
    <row r="839" spans="1:1" x14ac:dyDescent="0.15">
      <c r="A839" s="37"/>
    </row>
    <row r="840" spans="1:1" x14ac:dyDescent="0.15">
      <c r="A840" s="37"/>
    </row>
    <row r="841" spans="1:1" x14ac:dyDescent="0.15">
      <c r="A841" s="37"/>
    </row>
    <row r="842" spans="1:1" x14ac:dyDescent="0.15">
      <c r="A842" s="37"/>
    </row>
    <row r="843" spans="1:1" x14ac:dyDescent="0.15">
      <c r="A843" s="37"/>
    </row>
    <row r="844" spans="1:1" x14ac:dyDescent="0.15">
      <c r="A844" s="37"/>
    </row>
    <row r="845" spans="1:1" x14ac:dyDescent="0.15">
      <c r="A845" s="37"/>
    </row>
    <row r="846" spans="1:1" x14ac:dyDescent="0.15">
      <c r="A846" s="37"/>
    </row>
    <row r="847" spans="1:1" x14ac:dyDescent="0.15">
      <c r="A847" s="37"/>
    </row>
    <row r="848" spans="1:1" x14ac:dyDescent="0.15">
      <c r="A848" s="37"/>
    </row>
    <row r="849" spans="1:1" x14ac:dyDescent="0.15">
      <c r="A849" s="37"/>
    </row>
    <row r="850" spans="1:1" x14ac:dyDescent="0.15">
      <c r="A850" s="37"/>
    </row>
    <row r="851" spans="1:1" x14ac:dyDescent="0.15">
      <c r="A851" s="37"/>
    </row>
    <row r="852" spans="1:1" x14ac:dyDescent="0.15">
      <c r="A852" s="37"/>
    </row>
    <row r="853" spans="1:1" x14ac:dyDescent="0.15">
      <c r="A853" s="37"/>
    </row>
    <row r="854" spans="1:1" x14ac:dyDescent="0.15">
      <c r="A854" s="37"/>
    </row>
    <row r="855" spans="1:1" x14ac:dyDescent="0.15">
      <c r="A855" s="37"/>
    </row>
    <row r="856" spans="1:1" x14ac:dyDescent="0.15">
      <c r="A856" s="37"/>
    </row>
    <row r="857" spans="1:1" x14ac:dyDescent="0.15">
      <c r="A857" s="37"/>
    </row>
    <row r="858" spans="1:1" x14ac:dyDescent="0.15">
      <c r="A858" s="37"/>
    </row>
    <row r="859" spans="1:1" x14ac:dyDescent="0.15">
      <c r="A859" s="37"/>
    </row>
    <row r="860" spans="1:1" x14ac:dyDescent="0.15">
      <c r="A860" s="37"/>
    </row>
    <row r="861" spans="1:1" x14ac:dyDescent="0.15">
      <c r="A861" s="37"/>
    </row>
    <row r="862" spans="1:1" x14ac:dyDescent="0.15">
      <c r="A862" s="37"/>
    </row>
    <row r="863" spans="1:1" x14ac:dyDescent="0.15">
      <c r="A863" s="37"/>
    </row>
    <row r="864" spans="1:1" x14ac:dyDescent="0.15">
      <c r="A864" s="37"/>
    </row>
    <row r="865" spans="1:1" x14ac:dyDescent="0.15">
      <c r="A865" s="37"/>
    </row>
    <row r="866" spans="1:1" x14ac:dyDescent="0.15">
      <c r="A866" s="37"/>
    </row>
    <row r="867" spans="1:1" x14ac:dyDescent="0.15">
      <c r="A867" s="37"/>
    </row>
    <row r="868" spans="1:1" x14ac:dyDescent="0.15">
      <c r="A868" s="37"/>
    </row>
    <row r="869" spans="1:1" x14ac:dyDescent="0.15">
      <c r="A869" s="37"/>
    </row>
    <row r="870" spans="1:1" x14ac:dyDescent="0.15">
      <c r="A870" s="37"/>
    </row>
    <row r="871" spans="1:1" x14ac:dyDescent="0.15">
      <c r="A871" s="37"/>
    </row>
    <row r="872" spans="1:1" x14ac:dyDescent="0.15">
      <c r="A872" s="37"/>
    </row>
    <row r="873" spans="1:1" x14ac:dyDescent="0.15">
      <c r="A873" s="37"/>
    </row>
    <row r="874" spans="1:1" x14ac:dyDescent="0.15">
      <c r="A874" s="37"/>
    </row>
    <row r="875" spans="1:1" x14ac:dyDescent="0.15">
      <c r="A875" s="37"/>
    </row>
    <row r="876" spans="1:1" x14ac:dyDescent="0.15">
      <c r="A876" s="37"/>
    </row>
    <row r="877" spans="1:1" x14ac:dyDescent="0.15">
      <c r="A877" s="37"/>
    </row>
    <row r="878" spans="1:1" x14ac:dyDescent="0.15">
      <c r="A878" s="37"/>
    </row>
    <row r="879" spans="1:1" x14ac:dyDescent="0.15">
      <c r="A879" s="37"/>
    </row>
    <row r="880" spans="1:1" x14ac:dyDescent="0.15">
      <c r="A880" s="37"/>
    </row>
    <row r="881" spans="1:1" x14ac:dyDescent="0.15">
      <c r="A881" s="37"/>
    </row>
    <row r="882" spans="1:1" x14ac:dyDescent="0.15">
      <c r="A882" s="37"/>
    </row>
    <row r="883" spans="1:1" x14ac:dyDescent="0.15">
      <c r="A883" s="37"/>
    </row>
    <row r="884" spans="1:1" x14ac:dyDescent="0.15">
      <c r="A884" s="37"/>
    </row>
    <row r="885" spans="1:1" x14ac:dyDescent="0.15">
      <c r="A885" s="37"/>
    </row>
    <row r="886" spans="1:1" x14ac:dyDescent="0.15">
      <c r="A886" s="37"/>
    </row>
    <row r="887" spans="1:1" x14ac:dyDescent="0.15">
      <c r="A887" s="37"/>
    </row>
    <row r="888" spans="1:1" x14ac:dyDescent="0.15">
      <c r="A888" s="37"/>
    </row>
    <row r="889" spans="1:1" x14ac:dyDescent="0.15">
      <c r="A889" s="37"/>
    </row>
    <row r="890" spans="1:1" x14ac:dyDescent="0.15">
      <c r="A890" s="37"/>
    </row>
    <row r="891" spans="1:1" x14ac:dyDescent="0.15">
      <c r="A891" s="37"/>
    </row>
    <row r="892" spans="1:1" x14ac:dyDescent="0.15">
      <c r="A892" s="37"/>
    </row>
    <row r="893" spans="1:1" x14ac:dyDescent="0.15">
      <c r="A893" s="37"/>
    </row>
    <row r="894" spans="1:1" x14ac:dyDescent="0.15">
      <c r="A894" s="37"/>
    </row>
    <row r="895" spans="1:1" x14ac:dyDescent="0.15">
      <c r="A895" s="37"/>
    </row>
    <row r="896" spans="1:1" x14ac:dyDescent="0.15">
      <c r="A896" s="37"/>
    </row>
    <row r="897" spans="1:1" x14ac:dyDescent="0.15">
      <c r="A897" s="37"/>
    </row>
    <row r="898" spans="1:1" x14ac:dyDescent="0.15">
      <c r="A898" s="37"/>
    </row>
    <row r="899" spans="1:1" x14ac:dyDescent="0.15">
      <c r="A899" s="37"/>
    </row>
    <row r="900" spans="1:1" x14ac:dyDescent="0.15">
      <c r="A900" s="37"/>
    </row>
    <row r="901" spans="1:1" x14ac:dyDescent="0.15">
      <c r="A901" s="37"/>
    </row>
    <row r="902" spans="1:1" x14ac:dyDescent="0.15">
      <c r="A902" s="37"/>
    </row>
    <row r="903" spans="1:1" x14ac:dyDescent="0.15">
      <c r="A903" s="37"/>
    </row>
    <row r="904" spans="1:1" x14ac:dyDescent="0.15">
      <c r="A904" s="37"/>
    </row>
    <row r="905" spans="1:1" x14ac:dyDescent="0.15">
      <c r="A905" s="37"/>
    </row>
    <row r="906" spans="1:1" x14ac:dyDescent="0.15">
      <c r="A906" s="37"/>
    </row>
    <row r="907" spans="1:1" x14ac:dyDescent="0.15">
      <c r="A907" s="37"/>
    </row>
    <row r="908" spans="1:1" x14ac:dyDescent="0.15">
      <c r="A908" s="37"/>
    </row>
    <row r="909" spans="1:1" x14ac:dyDescent="0.15">
      <c r="A909" s="37"/>
    </row>
    <row r="910" spans="1:1" x14ac:dyDescent="0.15">
      <c r="A910" s="37"/>
    </row>
    <row r="911" spans="1:1" x14ac:dyDescent="0.15">
      <c r="A911" s="37"/>
    </row>
    <row r="912" spans="1:1" x14ac:dyDescent="0.15">
      <c r="A912" s="37"/>
    </row>
    <row r="913" spans="1:1" x14ac:dyDescent="0.15">
      <c r="A913" s="37"/>
    </row>
    <row r="914" spans="1:1" x14ac:dyDescent="0.15">
      <c r="A914" s="37"/>
    </row>
    <row r="915" spans="1:1" x14ac:dyDescent="0.15">
      <c r="A915" s="37"/>
    </row>
    <row r="916" spans="1:1" x14ac:dyDescent="0.15">
      <c r="A916" s="37"/>
    </row>
    <row r="917" spans="1:1" x14ac:dyDescent="0.15">
      <c r="A917" s="37"/>
    </row>
    <row r="918" spans="1:1" x14ac:dyDescent="0.15">
      <c r="A918" s="37"/>
    </row>
    <row r="919" spans="1:1" x14ac:dyDescent="0.15">
      <c r="A919" s="37"/>
    </row>
    <row r="920" spans="1:1" x14ac:dyDescent="0.15">
      <c r="A920" s="37"/>
    </row>
    <row r="921" spans="1:1" x14ac:dyDescent="0.15">
      <c r="A921" s="37"/>
    </row>
    <row r="922" spans="1:1" x14ac:dyDescent="0.15">
      <c r="A922" s="37"/>
    </row>
    <row r="923" spans="1:1" x14ac:dyDescent="0.15">
      <c r="A923" s="37"/>
    </row>
    <row r="924" spans="1:1" x14ac:dyDescent="0.15">
      <c r="A924" s="37"/>
    </row>
    <row r="925" spans="1:1" x14ac:dyDescent="0.15">
      <c r="A925" s="37"/>
    </row>
    <row r="926" spans="1:1" x14ac:dyDescent="0.15">
      <c r="A926" s="37"/>
    </row>
    <row r="927" spans="1:1" x14ac:dyDescent="0.15">
      <c r="A927" s="37"/>
    </row>
    <row r="928" spans="1:1" x14ac:dyDescent="0.15">
      <c r="A928" s="37"/>
    </row>
    <row r="929" spans="1:1" x14ac:dyDescent="0.15">
      <c r="A929" s="37"/>
    </row>
    <row r="930" spans="1:1" x14ac:dyDescent="0.15">
      <c r="A930" s="37"/>
    </row>
    <row r="931" spans="1:1" x14ac:dyDescent="0.15">
      <c r="A931" s="37"/>
    </row>
    <row r="932" spans="1:1" x14ac:dyDescent="0.15">
      <c r="A932" s="37"/>
    </row>
    <row r="933" spans="1:1" x14ac:dyDescent="0.15">
      <c r="A933" s="37"/>
    </row>
    <row r="934" spans="1:1" x14ac:dyDescent="0.15">
      <c r="A934" s="37"/>
    </row>
    <row r="935" spans="1:1" x14ac:dyDescent="0.15">
      <c r="A935" s="37"/>
    </row>
    <row r="936" spans="1:1" x14ac:dyDescent="0.15">
      <c r="A936" s="37"/>
    </row>
    <row r="937" spans="1:1" x14ac:dyDescent="0.15">
      <c r="A937" s="37"/>
    </row>
    <row r="938" spans="1:1" x14ac:dyDescent="0.15">
      <c r="A938" s="37"/>
    </row>
    <row r="939" spans="1:1" x14ac:dyDescent="0.15">
      <c r="A939" s="37"/>
    </row>
    <row r="940" spans="1:1" x14ac:dyDescent="0.15">
      <c r="A940" s="37"/>
    </row>
    <row r="941" spans="1:1" x14ac:dyDescent="0.15">
      <c r="A941" s="37"/>
    </row>
    <row r="942" spans="1:1" x14ac:dyDescent="0.15">
      <c r="A942" s="37"/>
    </row>
    <row r="943" spans="1:1" x14ac:dyDescent="0.15">
      <c r="A943" s="37"/>
    </row>
    <row r="944" spans="1:1" x14ac:dyDescent="0.15">
      <c r="A944" s="37"/>
    </row>
    <row r="945" spans="1:1" x14ac:dyDescent="0.15">
      <c r="A945" s="37"/>
    </row>
    <row r="946" spans="1:1" x14ac:dyDescent="0.15">
      <c r="A946" s="37"/>
    </row>
    <row r="947" spans="1:1" x14ac:dyDescent="0.15">
      <c r="A947" s="37"/>
    </row>
    <row r="948" spans="1:1" x14ac:dyDescent="0.15">
      <c r="A948" s="37"/>
    </row>
    <row r="949" spans="1:1" x14ac:dyDescent="0.15">
      <c r="A949" s="37"/>
    </row>
    <row r="950" spans="1:1" x14ac:dyDescent="0.15">
      <c r="A950" s="37"/>
    </row>
    <row r="951" spans="1:1" x14ac:dyDescent="0.15">
      <c r="A951" s="37"/>
    </row>
    <row r="952" spans="1:1" x14ac:dyDescent="0.15">
      <c r="A952" s="37"/>
    </row>
    <row r="953" spans="1:1" x14ac:dyDescent="0.15">
      <c r="A953" s="37"/>
    </row>
    <row r="954" spans="1:1" x14ac:dyDescent="0.15">
      <c r="A954" s="37"/>
    </row>
    <row r="955" spans="1:1" x14ac:dyDescent="0.15">
      <c r="A955" s="37"/>
    </row>
    <row r="956" spans="1:1" x14ac:dyDescent="0.15">
      <c r="A956" s="37"/>
    </row>
    <row r="957" spans="1:1" x14ac:dyDescent="0.15">
      <c r="A957" s="37"/>
    </row>
    <row r="958" spans="1:1" x14ac:dyDescent="0.15">
      <c r="A958" s="37"/>
    </row>
    <row r="959" spans="1:1" x14ac:dyDescent="0.15">
      <c r="A959" s="37"/>
    </row>
    <row r="960" spans="1:1" x14ac:dyDescent="0.15">
      <c r="A960" s="37"/>
    </row>
    <row r="961" spans="1:1" x14ac:dyDescent="0.15">
      <c r="A961" s="37"/>
    </row>
    <row r="962" spans="1:1" x14ac:dyDescent="0.15">
      <c r="A962" s="37"/>
    </row>
    <row r="963" spans="1:1" x14ac:dyDescent="0.15">
      <c r="A963" s="37"/>
    </row>
    <row r="964" spans="1:1" x14ac:dyDescent="0.15">
      <c r="A964" s="37"/>
    </row>
    <row r="965" spans="1:1" x14ac:dyDescent="0.15">
      <c r="A965" s="37"/>
    </row>
    <row r="966" spans="1:1" x14ac:dyDescent="0.15">
      <c r="A966" s="37"/>
    </row>
    <row r="967" spans="1:1" x14ac:dyDescent="0.15">
      <c r="A967" s="37"/>
    </row>
    <row r="968" spans="1:1" x14ac:dyDescent="0.15">
      <c r="A968" s="37"/>
    </row>
    <row r="969" spans="1:1" x14ac:dyDescent="0.15">
      <c r="A969" s="37"/>
    </row>
    <row r="970" spans="1:1" x14ac:dyDescent="0.15">
      <c r="A970" s="37"/>
    </row>
    <row r="971" spans="1:1" x14ac:dyDescent="0.15">
      <c r="A971" s="37"/>
    </row>
    <row r="972" spans="1:1" x14ac:dyDescent="0.15">
      <c r="A972" s="37"/>
    </row>
    <row r="973" spans="1:1" x14ac:dyDescent="0.15">
      <c r="A973" s="37"/>
    </row>
    <row r="974" spans="1:1" x14ac:dyDescent="0.15">
      <c r="A974" s="37"/>
    </row>
    <row r="975" spans="1:1" x14ac:dyDescent="0.15">
      <c r="A975" s="37"/>
    </row>
    <row r="976" spans="1:1" x14ac:dyDescent="0.15">
      <c r="A976" s="37"/>
    </row>
    <row r="977" spans="1:1" x14ac:dyDescent="0.15">
      <c r="A977" s="37"/>
    </row>
    <row r="978" spans="1:1" x14ac:dyDescent="0.15">
      <c r="A978" s="37"/>
    </row>
    <row r="979" spans="1:1" x14ac:dyDescent="0.15">
      <c r="A979" s="37"/>
    </row>
    <row r="980" spans="1:1" x14ac:dyDescent="0.15">
      <c r="A980" s="37"/>
    </row>
    <row r="981" spans="1:1" x14ac:dyDescent="0.15">
      <c r="A981" s="37"/>
    </row>
    <row r="982" spans="1:1" x14ac:dyDescent="0.15">
      <c r="A982" s="37"/>
    </row>
    <row r="983" spans="1:1" x14ac:dyDescent="0.15">
      <c r="A983" s="37"/>
    </row>
    <row r="984" spans="1:1" x14ac:dyDescent="0.15">
      <c r="A984" s="37"/>
    </row>
    <row r="985" spans="1:1" x14ac:dyDescent="0.15">
      <c r="A985" s="37"/>
    </row>
    <row r="986" spans="1:1" x14ac:dyDescent="0.15">
      <c r="A986" s="37"/>
    </row>
    <row r="987" spans="1:1" x14ac:dyDescent="0.15">
      <c r="A987" s="37"/>
    </row>
    <row r="988" spans="1:1" x14ac:dyDescent="0.15">
      <c r="A988" s="37"/>
    </row>
    <row r="989" spans="1:1" x14ac:dyDescent="0.15">
      <c r="A989" s="37"/>
    </row>
    <row r="990" spans="1:1" x14ac:dyDescent="0.15">
      <c r="A990" s="37"/>
    </row>
    <row r="991" spans="1:1" x14ac:dyDescent="0.15">
      <c r="A991" s="37"/>
    </row>
    <row r="992" spans="1:1" x14ac:dyDescent="0.15">
      <c r="A992" s="37"/>
    </row>
    <row r="993" spans="1:1" x14ac:dyDescent="0.15">
      <c r="A993" s="37"/>
    </row>
    <row r="994" spans="1:1" x14ac:dyDescent="0.15">
      <c r="A994" s="37"/>
    </row>
    <row r="995" spans="1:1" x14ac:dyDescent="0.15">
      <c r="A995" s="37"/>
    </row>
    <row r="996" spans="1:1" x14ac:dyDescent="0.15">
      <c r="A996" s="37"/>
    </row>
    <row r="997" spans="1:1" x14ac:dyDescent="0.15">
      <c r="A997" s="37"/>
    </row>
    <row r="998" spans="1:1" x14ac:dyDescent="0.15">
      <c r="A998" s="37"/>
    </row>
    <row r="999" spans="1:1" x14ac:dyDescent="0.15">
      <c r="A999" s="37"/>
    </row>
    <row r="1000" spans="1:1" x14ac:dyDescent="0.15">
      <c r="A1000" s="37"/>
    </row>
    <row r="1001" spans="1:1" x14ac:dyDescent="0.15">
      <c r="A1001" s="37"/>
    </row>
    <row r="1002" spans="1:1" x14ac:dyDescent="0.15">
      <c r="A1002" s="37"/>
    </row>
    <row r="1003" spans="1:1" x14ac:dyDescent="0.15">
      <c r="A1003" s="37"/>
    </row>
    <row r="1004" spans="1:1" x14ac:dyDescent="0.15">
      <c r="A1004" s="37"/>
    </row>
    <row r="1005" spans="1:1" x14ac:dyDescent="0.15">
      <c r="A1005" s="37"/>
    </row>
    <row r="1006" spans="1:1" x14ac:dyDescent="0.15">
      <c r="A1006" s="37"/>
    </row>
    <row r="1007" spans="1:1" x14ac:dyDescent="0.15">
      <c r="A1007" s="37"/>
    </row>
    <row r="1008" spans="1:1" x14ac:dyDescent="0.15">
      <c r="A1008" s="37"/>
    </row>
    <row r="1009" spans="1:1" x14ac:dyDescent="0.15">
      <c r="A1009" s="37"/>
    </row>
    <row r="1010" spans="1:1" x14ac:dyDescent="0.15">
      <c r="A1010" s="37"/>
    </row>
    <row r="1011" spans="1:1" x14ac:dyDescent="0.15">
      <c r="A1011" s="37"/>
    </row>
    <row r="1012" spans="1:1" x14ac:dyDescent="0.15">
      <c r="A1012" s="37"/>
    </row>
    <row r="1013" spans="1:1" x14ac:dyDescent="0.15">
      <c r="A1013" s="37"/>
    </row>
    <row r="1014" spans="1:1" x14ac:dyDescent="0.15">
      <c r="A1014" s="37"/>
    </row>
    <row r="1015" spans="1:1" x14ac:dyDescent="0.15">
      <c r="A1015" s="37"/>
    </row>
    <row r="1016" spans="1:1" x14ac:dyDescent="0.15">
      <c r="A1016" s="37"/>
    </row>
    <row r="1017" spans="1:1" x14ac:dyDescent="0.15">
      <c r="A1017" s="37"/>
    </row>
    <row r="1018" spans="1:1" x14ac:dyDescent="0.15">
      <c r="A1018" s="37"/>
    </row>
    <row r="1019" spans="1:1" x14ac:dyDescent="0.15">
      <c r="A1019" s="37"/>
    </row>
    <row r="1020" spans="1:1" x14ac:dyDescent="0.15">
      <c r="A1020" s="37"/>
    </row>
    <row r="1021" spans="1:1" x14ac:dyDescent="0.15">
      <c r="A1021" s="37"/>
    </row>
    <row r="1022" spans="1:1" x14ac:dyDescent="0.15">
      <c r="A1022" s="37"/>
    </row>
    <row r="1023" spans="1:1" x14ac:dyDescent="0.15">
      <c r="A1023" s="37"/>
    </row>
    <row r="1024" spans="1:1" x14ac:dyDescent="0.15">
      <c r="A1024" s="37"/>
    </row>
    <row r="1025" spans="1:1" x14ac:dyDescent="0.15">
      <c r="A1025" s="37"/>
    </row>
    <row r="1026" spans="1:1" x14ac:dyDescent="0.15">
      <c r="A1026" s="37"/>
    </row>
    <row r="1027" spans="1:1" x14ac:dyDescent="0.15">
      <c r="A1027" s="37"/>
    </row>
    <row r="1028" spans="1:1" x14ac:dyDescent="0.15">
      <c r="A1028" s="37"/>
    </row>
    <row r="1029" spans="1:1" x14ac:dyDescent="0.15">
      <c r="A1029" s="37"/>
    </row>
    <row r="1030" spans="1:1" x14ac:dyDescent="0.15">
      <c r="A1030" s="37"/>
    </row>
    <row r="1031" spans="1:1" x14ac:dyDescent="0.15">
      <c r="A1031" s="37"/>
    </row>
    <row r="1032" spans="1:1" x14ac:dyDescent="0.15">
      <c r="A1032" s="37"/>
    </row>
    <row r="1033" spans="1:1" x14ac:dyDescent="0.15">
      <c r="A1033" s="37"/>
    </row>
    <row r="1034" spans="1:1" x14ac:dyDescent="0.15">
      <c r="A1034" s="37"/>
    </row>
    <row r="1035" spans="1:1" x14ac:dyDescent="0.15">
      <c r="A1035" s="37"/>
    </row>
    <row r="1036" spans="1:1" x14ac:dyDescent="0.15">
      <c r="A1036" s="37"/>
    </row>
    <row r="1037" spans="1:1" x14ac:dyDescent="0.15">
      <c r="A1037" s="37"/>
    </row>
    <row r="1038" spans="1:1" x14ac:dyDescent="0.15">
      <c r="A1038" s="37"/>
    </row>
    <row r="1039" spans="1:1" x14ac:dyDescent="0.15">
      <c r="A1039" s="37"/>
    </row>
    <row r="1040" spans="1:1" x14ac:dyDescent="0.15">
      <c r="A1040" s="37"/>
    </row>
    <row r="1041" spans="1:1" x14ac:dyDescent="0.15">
      <c r="A1041" s="37"/>
    </row>
    <row r="1042" spans="1:1" x14ac:dyDescent="0.15">
      <c r="A1042" s="37"/>
    </row>
    <row r="1043" spans="1:1" x14ac:dyDescent="0.15">
      <c r="A1043" s="37"/>
    </row>
    <row r="1044" spans="1:1" x14ac:dyDescent="0.15">
      <c r="A1044" s="37"/>
    </row>
    <row r="1045" spans="1:1" x14ac:dyDescent="0.15">
      <c r="A1045" s="37"/>
    </row>
    <row r="1046" spans="1:1" x14ac:dyDescent="0.15">
      <c r="A1046" s="37"/>
    </row>
    <row r="1047" spans="1:1" x14ac:dyDescent="0.15">
      <c r="A1047" s="37"/>
    </row>
    <row r="1048" spans="1:1" x14ac:dyDescent="0.15">
      <c r="A1048" s="37"/>
    </row>
    <row r="1049" spans="1:1" x14ac:dyDescent="0.15">
      <c r="A1049" s="37"/>
    </row>
    <row r="1050" spans="1:1" x14ac:dyDescent="0.15">
      <c r="A1050" s="37"/>
    </row>
    <row r="1051" spans="1:1" x14ac:dyDescent="0.15">
      <c r="A1051" s="37"/>
    </row>
    <row r="1052" spans="1:1" x14ac:dyDescent="0.15">
      <c r="A1052" s="37"/>
    </row>
    <row r="1053" spans="1:1" x14ac:dyDescent="0.15">
      <c r="A1053" s="37"/>
    </row>
    <row r="1054" spans="1:1" x14ac:dyDescent="0.15">
      <c r="A1054" s="37"/>
    </row>
    <row r="1055" spans="1:1" x14ac:dyDescent="0.15">
      <c r="A1055" s="37"/>
    </row>
    <row r="1056" spans="1:1" x14ac:dyDescent="0.15">
      <c r="A1056" s="37"/>
    </row>
    <row r="1057" spans="1:1" x14ac:dyDescent="0.15">
      <c r="A1057" s="37"/>
    </row>
    <row r="1058" spans="1:1" x14ac:dyDescent="0.15">
      <c r="A1058" s="37"/>
    </row>
    <row r="1059" spans="1:1" x14ac:dyDescent="0.15">
      <c r="A1059" s="37"/>
    </row>
    <row r="1060" spans="1:1" x14ac:dyDescent="0.15">
      <c r="A1060" s="37"/>
    </row>
    <row r="1061" spans="1:1" x14ac:dyDescent="0.15">
      <c r="A1061" s="37"/>
    </row>
    <row r="1062" spans="1:1" x14ac:dyDescent="0.15">
      <c r="A1062" s="37"/>
    </row>
    <row r="1063" spans="1:1" x14ac:dyDescent="0.15">
      <c r="A1063" s="37"/>
    </row>
    <row r="1064" spans="1:1" x14ac:dyDescent="0.15">
      <c r="A1064" s="37"/>
    </row>
    <row r="1065" spans="1:1" x14ac:dyDescent="0.15">
      <c r="A1065" s="37"/>
    </row>
    <row r="1066" spans="1:1" x14ac:dyDescent="0.15">
      <c r="A1066" s="37"/>
    </row>
    <row r="1067" spans="1:1" x14ac:dyDescent="0.15">
      <c r="A1067" s="37"/>
    </row>
    <row r="1068" spans="1:1" x14ac:dyDescent="0.15">
      <c r="A1068" s="37"/>
    </row>
    <row r="1069" spans="1:1" x14ac:dyDescent="0.15">
      <c r="A1069" s="37"/>
    </row>
    <row r="1070" spans="1:1" x14ac:dyDescent="0.15">
      <c r="A1070" s="37"/>
    </row>
    <row r="1071" spans="1:1" x14ac:dyDescent="0.15">
      <c r="A1071" s="37"/>
    </row>
    <row r="1072" spans="1:1" x14ac:dyDescent="0.15">
      <c r="A1072" s="37"/>
    </row>
    <row r="1073" spans="1:1" x14ac:dyDescent="0.15">
      <c r="A1073" s="37"/>
    </row>
    <row r="1074" spans="1:1" x14ac:dyDescent="0.15">
      <c r="A1074" s="37"/>
    </row>
    <row r="1075" spans="1:1" x14ac:dyDescent="0.15">
      <c r="A1075" s="37"/>
    </row>
    <row r="1076" spans="1:1" x14ac:dyDescent="0.15">
      <c r="A1076" s="37"/>
    </row>
    <row r="1077" spans="1:1" x14ac:dyDescent="0.15">
      <c r="A1077" s="37"/>
    </row>
    <row r="1078" spans="1:1" x14ac:dyDescent="0.15">
      <c r="A1078" s="37"/>
    </row>
    <row r="1079" spans="1:1" x14ac:dyDescent="0.15">
      <c r="A1079" s="37"/>
    </row>
    <row r="1080" spans="1:1" x14ac:dyDescent="0.15">
      <c r="A1080" s="37"/>
    </row>
    <row r="1081" spans="1:1" x14ac:dyDescent="0.15">
      <c r="A1081" s="37"/>
    </row>
    <row r="1082" spans="1:1" x14ac:dyDescent="0.15">
      <c r="A1082" s="37"/>
    </row>
    <row r="1083" spans="1:1" x14ac:dyDescent="0.15">
      <c r="A1083" s="37"/>
    </row>
    <row r="1084" spans="1:1" x14ac:dyDescent="0.15">
      <c r="A1084" s="37"/>
    </row>
    <row r="1085" spans="1:1" x14ac:dyDescent="0.15">
      <c r="A1085" s="37"/>
    </row>
    <row r="1086" spans="1:1" x14ac:dyDescent="0.15">
      <c r="A1086" s="37"/>
    </row>
    <row r="1087" spans="1:1" x14ac:dyDescent="0.15">
      <c r="A1087" s="37"/>
    </row>
    <row r="1088" spans="1:1" x14ac:dyDescent="0.15">
      <c r="A1088" s="37"/>
    </row>
    <row r="1089" spans="1:1" x14ac:dyDescent="0.15">
      <c r="A1089" s="37"/>
    </row>
    <row r="1090" spans="1:1" x14ac:dyDescent="0.15">
      <c r="A1090" s="37"/>
    </row>
    <row r="1091" spans="1:1" x14ac:dyDescent="0.15">
      <c r="A1091" s="37"/>
    </row>
    <row r="1092" spans="1:1" x14ac:dyDescent="0.15">
      <c r="A1092" s="37"/>
    </row>
    <row r="1093" spans="1:1" x14ac:dyDescent="0.15">
      <c r="A1093" s="37"/>
    </row>
    <row r="1094" spans="1:1" x14ac:dyDescent="0.15">
      <c r="A1094" s="37"/>
    </row>
    <row r="1095" spans="1:1" x14ac:dyDescent="0.15">
      <c r="A1095" s="37"/>
    </row>
    <row r="1096" spans="1:1" x14ac:dyDescent="0.15">
      <c r="A1096" s="37"/>
    </row>
    <row r="1097" spans="1:1" x14ac:dyDescent="0.15">
      <c r="A1097" s="37"/>
    </row>
    <row r="1098" spans="1:1" x14ac:dyDescent="0.15">
      <c r="A1098" s="37"/>
    </row>
    <row r="1099" spans="1:1" x14ac:dyDescent="0.15">
      <c r="A1099" s="37"/>
    </row>
    <row r="1100" spans="1:1" x14ac:dyDescent="0.15">
      <c r="A1100" s="37"/>
    </row>
    <row r="1101" spans="1:1" x14ac:dyDescent="0.15">
      <c r="A1101" s="37"/>
    </row>
    <row r="1102" spans="1:1" x14ac:dyDescent="0.15">
      <c r="A1102" s="37"/>
    </row>
    <row r="1103" spans="1:1" x14ac:dyDescent="0.15">
      <c r="A1103" s="37"/>
    </row>
    <row r="1104" spans="1:1" x14ac:dyDescent="0.15">
      <c r="A1104" s="37"/>
    </row>
    <row r="1105" spans="1:1" x14ac:dyDescent="0.15">
      <c r="A1105" s="37"/>
    </row>
    <row r="1106" spans="1:1" x14ac:dyDescent="0.15">
      <c r="A1106" s="37"/>
    </row>
    <row r="1107" spans="1:1" x14ac:dyDescent="0.15">
      <c r="A1107" s="37"/>
    </row>
    <row r="1108" spans="1:1" x14ac:dyDescent="0.15">
      <c r="A1108" s="37"/>
    </row>
    <row r="1109" spans="1:1" x14ac:dyDescent="0.15">
      <c r="A1109" s="37"/>
    </row>
    <row r="1110" spans="1:1" x14ac:dyDescent="0.15">
      <c r="A1110" s="37"/>
    </row>
    <row r="1111" spans="1:1" x14ac:dyDescent="0.15">
      <c r="A1111" s="37"/>
    </row>
    <row r="1112" spans="1:1" x14ac:dyDescent="0.15">
      <c r="A1112" s="37"/>
    </row>
    <row r="1113" spans="1:1" x14ac:dyDescent="0.15">
      <c r="A1113" s="37"/>
    </row>
    <row r="1114" spans="1:1" x14ac:dyDescent="0.15">
      <c r="A1114" s="37"/>
    </row>
    <row r="1115" spans="1:1" x14ac:dyDescent="0.15">
      <c r="A1115" s="37"/>
    </row>
    <row r="1116" spans="1:1" x14ac:dyDescent="0.15">
      <c r="A1116" s="37"/>
    </row>
    <row r="1117" spans="1:1" x14ac:dyDescent="0.15">
      <c r="A1117" s="37"/>
    </row>
    <row r="1118" spans="1:1" x14ac:dyDescent="0.15">
      <c r="A1118" s="37"/>
    </row>
    <row r="1119" spans="1:1" x14ac:dyDescent="0.15">
      <c r="A1119" s="37"/>
    </row>
    <row r="1120" spans="1:1" x14ac:dyDescent="0.15">
      <c r="A1120" s="37"/>
    </row>
    <row r="1121" spans="1:1" x14ac:dyDescent="0.15">
      <c r="A1121" s="37"/>
    </row>
    <row r="1122" spans="1:1" x14ac:dyDescent="0.15">
      <c r="A1122" s="37"/>
    </row>
    <row r="1123" spans="1:1" x14ac:dyDescent="0.15">
      <c r="A1123" s="37"/>
    </row>
    <row r="1124" spans="1:1" x14ac:dyDescent="0.15">
      <c r="A1124" s="37"/>
    </row>
    <row r="1125" spans="1:1" x14ac:dyDescent="0.15">
      <c r="A1125" s="37"/>
    </row>
    <row r="1126" spans="1:1" x14ac:dyDescent="0.15">
      <c r="A1126" s="37"/>
    </row>
    <row r="1127" spans="1:1" x14ac:dyDescent="0.15">
      <c r="A1127" s="37"/>
    </row>
    <row r="1128" spans="1:1" x14ac:dyDescent="0.15">
      <c r="A1128" s="37"/>
    </row>
    <row r="1129" spans="1:1" x14ac:dyDescent="0.15">
      <c r="A1129" s="37"/>
    </row>
    <row r="1130" spans="1:1" x14ac:dyDescent="0.15">
      <c r="A1130" s="37"/>
    </row>
    <row r="1131" spans="1:1" x14ac:dyDescent="0.15">
      <c r="A1131" s="37"/>
    </row>
    <row r="1132" spans="1:1" x14ac:dyDescent="0.15">
      <c r="A1132" s="37"/>
    </row>
    <row r="1133" spans="1:1" x14ac:dyDescent="0.15">
      <c r="A1133" s="37"/>
    </row>
    <row r="1134" spans="1:1" x14ac:dyDescent="0.15">
      <c r="A1134" s="37"/>
    </row>
    <row r="1135" spans="1:1" x14ac:dyDescent="0.15">
      <c r="A1135" s="37"/>
    </row>
    <row r="1136" spans="1:1" x14ac:dyDescent="0.15">
      <c r="A1136" s="37"/>
    </row>
    <row r="1137" spans="1:1" x14ac:dyDescent="0.15">
      <c r="A1137" s="37"/>
    </row>
    <row r="1138" spans="1:1" x14ac:dyDescent="0.15">
      <c r="A1138" s="37"/>
    </row>
    <row r="1139" spans="1:1" x14ac:dyDescent="0.15">
      <c r="A1139" s="37"/>
    </row>
    <row r="1140" spans="1:1" x14ac:dyDescent="0.15">
      <c r="A1140" s="37"/>
    </row>
    <row r="1141" spans="1:1" x14ac:dyDescent="0.15">
      <c r="A1141" s="37"/>
    </row>
    <row r="1142" spans="1:1" x14ac:dyDescent="0.15">
      <c r="A1142" s="37"/>
    </row>
    <row r="1143" spans="1:1" x14ac:dyDescent="0.15">
      <c r="A1143" s="37"/>
    </row>
    <row r="1144" spans="1:1" x14ac:dyDescent="0.15">
      <c r="A1144" s="37"/>
    </row>
    <row r="1145" spans="1:1" x14ac:dyDescent="0.15">
      <c r="A1145" s="37"/>
    </row>
    <row r="1146" spans="1:1" x14ac:dyDescent="0.15">
      <c r="A1146" s="37"/>
    </row>
    <row r="1147" spans="1:1" x14ac:dyDescent="0.15">
      <c r="A1147" s="37"/>
    </row>
    <row r="1148" spans="1:1" x14ac:dyDescent="0.15">
      <c r="A1148" s="37"/>
    </row>
    <row r="1149" spans="1:1" x14ac:dyDescent="0.15">
      <c r="A1149" s="37"/>
    </row>
    <row r="1150" spans="1:1" x14ac:dyDescent="0.15">
      <c r="A1150" s="37"/>
    </row>
    <row r="1151" spans="1:1" x14ac:dyDescent="0.15">
      <c r="A1151" s="37"/>
    </row>
    <row r="1152" spans="1:1" x14ac:dyDescent="0.15">
      <c r="A1152" s="37"/>
    </row>
    <row r="1153" spans="1:1" x14ac:dyDescent="0.15">
      <c r="A1153" s="37"/>
    </row>
    <row r="1154" spans="1:1" x14ac:dyDescent="0.15">
      <c r="A1154" s="37"/>
    </row>
    <row r="1155" spans="1:1" x14ac:dyDescent="0.15">
      <c r="A1155" s="37"/>
    </row>
    <row r="1156" spans="1:1" x14ac:dyDescent="0.15">
      <c r="A1156" s="37"/>
    </row>
    <row r="1157" spans="1:1" x14ac:dyDescent="0.15">
      <c r="A1157" s="37"/>
    </row>
    <row r="1158" spans="1:1" x14ac:dyDescent="0.15">
      <c r="A1158" s="37"/>
    </row>
    <row r="1159" spans="1:1" x14ac:dyDescent="0.15">
      <c r="A1159" s="37"/>
    </row>
    <row r="1160" spans="1:1" x14ac:dyDescent="0.15">
      <c r="A1160" s="37"/>
    </row>
    <row r="1161" spans="1:1" x14ac:dyDescent="0.15">
      <c r="A1161" s="37"/>
    </row>
    <row r="1162" spans="1:1" x14ac:dyDescent="0.15">
      <c r="A1162" s="37"/>
    </row>
    <row r="1163" spans="1:1" x14ac:dyDescent="0.15">
      <c r="A1163" s="37"/>
    </row>
    <row r="1164" spans="1:1" x14ac:dyDescent="0.15">
      <c r="A1164" s="37"/>
    </row>
    <row r="1165" spans="1:1" x14ac:dyDescent="0.15">
      <c r="A1165" s="37"/>
    </row>
    <row r="1166" spans="1:1" x14ac:dyDescent="0.15">
      <c r="A1166" s="37"/>
    </row>
    <row r="1167" spans="1:1" x14ac:dyDescent="0.15">
      <c r="A1167" s="37"/>
    </row>
    <row r="1168" spans="1:1" x14ac:dyDescent="0.15">
      <c r="A1168" s="37"/>
    </row>
    <row r="1169" spans="1:1" x14ac:dyDescent="0.15">
      <c r="A1169" s="37"/>
    </row>
    <row r="1170" spans="1:1" x14ac:dyDescent="0.15">
      <c r="A1170" s="37"/>
    </row>
    <row r="1171" spans="1:1" x14ac:dyDescent="0.15">
      <c r="A1171" s="37"/>
    </row>
    <row r="1172" spans="1:1" x14ac:dyDescent="0.15">
      <c r="A1172" s="37"/>
    </row>
    <row r="1173" spans="1:1" x14ac:dyDescent="0.15">
      <c r="A1173" s="37"/>
    </row>
    <row r="1174" spans="1:1" x14ac:dyDescent="0.15">
      <c r="A1174" s="37"/>
    </row>
    <row r="1175" spans="1:1" x14ac:dyDescent="0.15">
      <c r="A1175" s="37"/>
    </row>
    <row r="1176" spans="1:1" x14ac:dyDescent="0.15">
      <c r="A1176" s="37"/>
    </row>
    <row r="1177" spans="1:1" x14ac:dyDescent="0.15">
      <c r="A1177" s="37"/>
    </row>
    <row r="1178" spans="1:1" x14ac:dyDescent="0.15">
      <c r="A1178" s="37"/>
    </row>
    <row r="1179" spans="1:1" x14ac:dyDescent="0.15">
      <c r="A1179" s="37"/>
    </row>
    <row r="1180" spans="1:1" x14ac:dyDescent="0.15">
      <c r="A1180" s="37"/>
    </row>
    <row r="1181" spans="1:1" x14ac:dyDescent="0.15">
      <c r="A1181" s="37"/>
    </row>
    <row r="1182" spans="1:1" x14ac:dyDescent="0.15">
      <c r="A1182" s="37"/>
    </row>
    <row r="1183" spans="1:1" x14ac:dyDescent="0.15">
      <c r="A1183" s="37"/>
    </row>
    <row r="1184" spans="1:1" x14ac:dyDescent="0.15">
      <c r="A1184" s="37"/>
    </row>
    <row r="1185" spans="1:1" x14ac:dyDescent="0.15">
      <c r="A1185" s="37"/>
    </row>
    <row r="1186" spans="1:1" x14ac:dyDescent="0.15">
      <c r="A1186" s="37"/>
    </row>
    <row r="1187" spans="1:1" x14ac:dyDescent="0.15">
      <c r="A1187" s="37"/>
    </row>
    <row r="1188" spans="1:1" x14ac:dyDescent="0.15">
      <c r="A1188" s="37"/>
    </row>
    <row r="1189" spans="1:1" x14ac:dyDescent="0.15">
      <c r="A1189" s="37"/>
    </row>
    <row r="1190" spans="1:1" x14ac:dyDescent="0.15">
      <c r="A1190" s="37"/>
    </row>
    <row r="1191" spans="1:1" x14ac:dyDescent="0.15">
      <c r="A1191" s="37"/>
    </row>
    <row r="1192" spans="1:1" x14ac:dyDescent="0.15">
      <c r="A1192" s="37"/>
    </row>
    <row r="1193" spans="1:1" x14ac:dyDescent="0.15">
      <c r="A1193" s="37"/>
    </row>
    <row r="1194" spans="1:1" x14ac:dyDescent="0.15">
      <c r="A1194" s="37"/>
    </row>
    <row r="1195" spans="1:1" x14ac:dyDescent="0.15">
      <c r="A1195" s="37"/>
    </row>
    <row r="1196" spans="1:1" x14ac:dyDescent="0.15">
      <c r="A1196" s="37"/>
    </row>
    <row r="1197" spans="1:1" x14ac:dyDescent="0.15">
      <c r="A1197" s="37"/>
    </row>
    <row r="1198" spans="1:1" x14ac:dyDescent="0.15">
      <c r="A1198" s="37"/>
    </row>
    <row r="1199" spans="1:1" x14ac:dyDescent="0.15">
      <c r="A1199" s="37"/>
    </row>
    <row r="1200" spans="1:1" x14ac:dyDescent="0.15">
      <c r="A1200" s="37"/>
    </row>
    <row r="1201" spans="1:1" x14ac:dyDescent="0.15">
      <c r="A1201" s="37"/>
    </row>
    <row r="1202" spans="1:1" x14ac:dyDescent="0.15">
      <c r="A1202" s="37"/>
    </row>
    <row r="1203" spans="1:1" x14ac:dyDescent="0.15">
      <c r="A1203" s="37"/>
    </row>
    <row r="1204" spans="1:1" x14ac:dyDescent="0.15">
      <c r="A1204" s="37"/>
    </row>
    <row r="1205" spans="1:1" x14ac:dyDescent="0.15">
      <c r="A1205" s="37"/>
    </row>
    <row r="1206" spans="1:1" x14ac:dyDescent="0.15">
      <c r="A1206" s="37"/>
    </row>
    <row r="1207" spans="1:1" x14ac:dyDescent="0.15">
      <c r="A1207" s="37"/>
    </row>
    <row r="1208" spans="1:1" x14ac:dyDescent="0.15">
      <c r="A1208" s="37"/>
    </row>
    <row r="1209" spans="1:1" x14ac:dyDescent="0.15">
      <c r="A1209" s="37"/>
    </row>
    <row r="1210" spans="1:1" x14ac:dyDescent="0.15">
      <c r="A1210" s="37"/>
    </row>
    <row r="1211" spans="1:1" x14ac:dyDescent="0.15">
      <c r="A1211" s="37"/>
    </row>
    <row r="1212" spans="1:1" x14ac:dyDescent="0.15">
      <c r="A1212" s="37"/>
    </row>
    <row r="1213" spans="1:1" x14ac:dyDescent="0.15">
      <c r="A1213" s="37"/>
    </row>
    <row r="1214" spans="1:1" x14ac:dyDescent="0.15">
      <c r="A1214" s="37"/>
    </row>
    <row r="1215" spans="1:1" x14ac:dyDescent="0.15">
      <c r="A1215" s="37"/>
    </row>
    <row r="1216" spans="1:1" x14ac:dyDescent="0.15">
      <c r="A1216" s="37"/>
    </row>
    <row r="1217" spans="1:1" x14ac:dyDescent="0.15">
      <c r="A1217" s="37"/>
    </row>
    <row r="1218" spans="1:1" x14ac:dyDescent="0.15">
      <c r="A1218" s="37"/>
    </row>
    <row r="1219" spans="1:1" x14ac:dyDescent="0.15">
      <c r="A1219" s="37"/>
    </row>
    <row r="1220" spans="1:1" x14ac:dyDescent="0.15">
      <c r="A1220" s="37"/>
    </row>
    <row r="1221" spans="1:1" x14ac:dyDescent="0.15">
      <c r="A1221" s="37"/>
    </row>
    <row r="1222" spans="1:1" x14ac:dyDescent="0.15">
      <c r="A1222" s="37"/>
    </row>
    <row r="1223" spans="1:1" x14ac:dyDescent="0.15">
      <c r="A1223" s="37"/>
    </row>
    <row r="1224" spans="1:1" x14ac:dyDescent="0.15">
      <c r="A1224" s="37"/>
    </row>
    <row r="1225" spans="1:1" x14ac:dyDescent="0.15">
      <c r="A1225" s="37"/>
    </row>
    <row r="1226" spans="1:1" x14ac:dyDescent="0.15">
      <c r="A1226" s="37"/>
    </row>
    <row r="1227" spans="1:1" x14ac:dyDescent="0.15">
      <c r="A1227" s="37"/>
    </row>
    <row r="1228" spans="1:1" x14ac:dyDescent="0.15">
      <c r="A1228" s="37"/>
    </row>
    <row r="1229" spans="1:1" x14ac:dyDescent="0.15">
      <c r="A1229" s="37"/>
    </row>
    <row r="1230" spans="1:1" x14ac:dyDescent="0.15">
      <c r="A1230" s="37"/>
    </row>
    <row r="1231" spans="1:1" x14ac:dyDescent="0.15">
      <c r="A1231" s="37"/>
    </row>
    <row r="1232" spans="1:1" x14ac:dyDescent="0.15">
      <c r="A1232" s="37"/>
    </row>
    <row r="1233" spans="1:1" x14ac:dyDescent="0.15">
      <c r="A1233" s="37"/>
    </row>
    <row r="1234" spans="1:1" x14ac:dyDescent="0.15">
      <c r="A1234" s="37"/>
    </row>
    <row r="1235" spans="1:1" x14ac:dyDescent="0.15">
      <c r="A1235" s="37"/>
    </row>
    <row r="1236" spans="1:1" x14ac:dyDescent="0.15">
      <c r="A1236" s="37"/>
    </row>
    <row r="1237" spans="1:1" x14ac:dyDescent="0.15">
      <c r="A1237" s="37"/>
    </row>
    <row r="1238" spans="1:1" x14ac:dyDescent="0.15">
      <c r="A1238" s="37"/>
    </row>
    <row r="1239" spans="1:1" x14ac:dyDescent="0.15">
      <c r="A1239" s="37"/>
    </row>
    <row r="1240" spans="1:1" x14ac:dyDescent="0.15">
      <c r="A1240" s="37"/>
    </row>
    <row r="1241" spans="1:1" x14ac:dyDescent="0.15">
      <c r="A1241" s="37"/>
    </row>
    <row r="1242" spans="1:1" x14ac:dyDescent="0.15">
      <c r="A1242" s="37"/>
    </row>
    <row r="1243" spans="1:1" x14ac:dyDescent="0.15">
      <c r="A1243" s="37"/>
    </row>
    <row r="1244" spans="1:1" x14ac:dyDescent="0.15">
      <c r="A1244" s="37"/>
    </row>
    <row r="1245" spans="1:1" x14ac:dyDescent="0.15">
      <c r="A1245" s="37"/>
    </row>
    <row r="1246" spans="1:1" x14ac:dyDescent="0.15">
      <c r="A1246" s="37"/>
    </row>
    <row r="1247" spans="1:1" x14ac:dyDescent="0.15">
      <c r="A1247" s="37"/>
    </row>
    <row r="1248" spans="1:1" x14ac:dyDescent="0.15">
      <c r="A1248" s="37"/>
    </row>
    <row r="1249" spans="1:1" x14ac:dyDescent="0.15">
      <c r="A1249" s="37"/>
    </row>
    <row r="1250" spans="1:1" x14ac:dyDescent="0.15">
      <c r="A1250" s="37"/>
    </row>
    <row r="1251" spans="1:1" x14ac:dyDescent="0.15">
      <c r="A1251" s="37"/>
    </row>
    <row r="1252" spans="1:1" x14ac:dyDescent="0.15">
      <c r="A1252" s="37"/>
    </row>
    <row r="1253" spans="1:1" x14ac:dyDescent="0.15">
      <c r="A1253" s="37"/>
    </row>
    <row r="1254" spans="1:1" x14ac:dyDescent="0.15">
      <c r="A1254" s="37"/>
    </row>
    <row r="1255" spans="1:1" x14ac:dyDescent="0.15">
      <c r="A1255" s="37"/>
    </row>
    <row r="1256" spans="1:1" x14ac:dyDescent="0.15">
      <c r="A1256" s="37"/>
    </row>
    <row r="1257" spans="1:1" x14ac:dyDescent="0.15">
      <c r="A1257" s="37"/>
    </row>
    <row r="1258" spans="1:1" x14ac:dyDescent="0.15">
      <c r="A1258" s="37"/>
    </row>
    <row r="1259" spans="1:1" x14ac:dyDescent="0.15">
      <c r="A1259" s="37"/>
    </row>
    <row r="1260" spans="1:1" x14ac:dyDescent="0.15">
      <c r="A1260" s="37"/>
    </row>
    <row r="1261" spans="1:1" x14ac:dyDescent="0.15">
      <c r="A1261" s="37"/>
    </row>
    <row r="1262" spans="1:1" x14ac:dyDescent="0.15">
      <c r="A1262" s="37"/>
    </row>
    <row r="1263" spans="1:1" x14ac:dyDescent="0.15">
      <c r="A1263" s="37"/>
    </row>
    <row r="1264" spans="1:1" x14ac:dyDescent="0.15">
      <c r="A1264" s="37"/>
    </row>
    <row r="1265" spans="1:1" x14ac:dyDescent="0.15">
      <c r="A1265" s="37"/>
    </row>
    <row r="1266" spans="1:1" x14ac:dyDescent="0.15">
      <c r="A1266" s="37"/>
    </row>
    <row r="1267" spans="1:1" x14ac:dyDescent="0.15">
      <c r="A1267" s="37"/>
    </row>
    <row r="1268" spans="1:1" x14ac:dyDescent="0.15">
      <c r="A1268" s="37"/>
    </row>
    <row r="1269" spans="1:1" x14ac:dyDescent="0.15">
      <c r="A1269" s="37"/>
    </row>
    <row r="1270" spans="1:1" x14ac:dyDescent="0.15">
      <c r="A1270" s="37"/>
    </row>
    <row r="1271" spans="1:1" x14ac:dyDescent="0.15">
      <c r="A1271" s="37"/>
    </row>
    <row r="1272" spans="1:1" x14ac:dyDescent="0.15">
      <c r="A1272" s="37"/>
    </row>
    <row r="1273" spans="1:1" x14ac:dyDescent="0.15">
      <c r="A1273" s="37"/>
    </row>
    <row r="1274" spans="1:1" x14ac:dyDescent="0.15">
      <c r="A1274" s="37"/>
    </row>
    <row r="1275" spans="1:1" x14ac:dyDescent="0.15">
      <c r="A1275" s="37"/>
    </row>
    <row r="1276" spans="1:1" x14ac:dyDescent="0.15">
      <c r="A1276" s="37"/>
    </row>
    <row r="1277" spans="1:1" x14ac:dyDescent="0.15">
      <c r="A1277" s="37"/>
    </row>
    <row r="1278" spans="1:1" x14ac:dyDescent="0.15">
      <c r="A1278" s="37"/>
    </row>
    <row r="1279" spans="1:1" x14ac:dyDescent="0.15">
      <c r="A1279" s="37"/>
    </row>
    <row r="1280" spans="1:1" x14ac:dyDescent="0.15">
      <c r="A1280" s="37"/>
    </row>
    <row r="1281" spans="1:1" x14ac:dyDescent="0.15">
      <c r="A1281" s="37"/>
    </row>
    <row r="1282" spans="1:1" x14ac:dyDescent="0.15">
      <c r="A1282" s="37"/>
    </row>
    <row r="1283" spans="1:1" x14ac:dyDescent="0.15">
      <c r="A1283" s="37"/>
    </row>
    <row r="1284" spans="1:1" x14ac:dyDescent="0.15">
      <c r="A1284" s="37"/>
    </row>
    <row r="1285" spans="1:1" x14ac:dyDescent="0.15">
      <c r="A1285" s="37"/>
    </row>
    <row r="1286" spans="1:1" x14ac:dyDescent="0.15">
      <c r="A1286" s="37"/>
    </row>
    <row r="1287" spans="1:1" x14ac:dyDescent="0.15">
      <c r="A1287" s="37"/>
    </row>
    <row r="1288" spans="1:1" x14ac:dyDescent="0.15">
      <c r="A1288" s="37"/>
    </row>
    <row r="1289" spans="1:1" x14ac:dyDescent="0.15">
      <c r="A1289" s="37"/>
    </row>
    <row r="1290" spans="1:1" x14ac:dyDescent="0.15">
      <c r="A1290" s="37"/>
    </row>
    <row r="1291" spans="1:1" x14ac:dyDescent="0.15">
      <c r="A1291" s="37"/>
    </row>
    <row r="1292" spans="1:1" x14ac:dyDescent="0.15">
      <c r="A1292" s="37"/>
    </row>
    <row r="1293" spans="1:1" x14ac:dyDescent="0.15">
      <c r="A1293" s="37"/>
    </row>
    <row r="1294" spans="1:1" x14ac:dyDescent="0.15">
      <c r="A1294" s="37"/>
    </row>
    <row r="1295" spans="1:1" x14ac:dyDescent="0.15">
      <c r="A1295" s="37"/>
    </row>
    <row r="1296" spans="1:1" x14ac:dyDescent="0.15">
      <c r="A1296" s="37"/>
    </row>
    <row r="1297" spans="1:1" x14ac:dyDescent="0.15">
      <c r="A1297" s="37"/>
    </row>
    <row r="1298" spans="1:1" x14ac:dyDescent="0.15">
      <c r="A1298" s="37"/>
    </row>
    <row r="1299" spans="1:1" x14ac:dyDescent="0.15">
      <c r="A1299" s="37"/>
    </row>
    <row r="1300" spans="1:1" x14ac:dyDescent="0.15">
      <c r="A1300" s="37"/>
    </row>
    <row r="1301" spans="1:1" x14ac:dyDescent="0.15">
      <c r="A1301" s="37"/>
    </row>
    <row r="1302" spans="1:1" x14ac:dyDescent="0.15">
      <c r="A1302" s="37"/>
    </row>
    <row r="1303" spans="1:1" x14ac:dyDescent="0.15">
      <c r="A1303" s="37"/>
    </row>
    <row r="1304" spans="1:1" x14ac:dyDescent="0.15">
      <c r="A1304" s="37"/>
    </row>
    <row r="1305" spans="1:1" x14ac:dyDescent="0.15">
      <c r="A1305" s="37"/>
    </row>
    <row r="1306" spans="1:1" x14ac:dyDescent="0.15">
      <c r="A1306" s="37"/>
    </row>
    <row r="1307" spans="1:1" x14ac:dyDescent="0.15">
      <c r="A1307" s="37"/>
    </row>
    <row r="1308" spans="1:1" x14ac:dyDescent="0.15">
      <c r="A1308" s="37"/>
    </row>
    <row r="1309" spans="1:1" x14ac:dyDescent="0.15">
      <c r="A1309" s="37"/>
    </row>
    <row r="1310" spans="1:1" x14ac:dyDescent="0.15">
      <c r="A1310" s="37"/>
    </row>
    <row r="1311" spans="1:1" x14ac:dyDescent="0.15">
      <c r="A1311" s="37"/>
    </row>
    <row r="1312" spans="1:1" x14ac:dyDescent="0.15">
      <c r="A1312" s="37"/>
    </row>
    <row r="1313" spans="1:1" x14ac:dyDescent="0.15">
      <c r="A1313" s="37"/>
    </row>
    <row r="1314" spans="1:1" x14ac:dyDescent="0.15">
      <c r="A1314" s="37"/>
    </row>
    <row r="1315" spans="1:1" x14ac:dyDescent="0.15">
      <c r="A1315" s="37"/>
    </row>
    <row r="1316" spans="1:1" x14ac:dyDescent="0.15">
      <c r="A1316" s="37"/>
    </row>
    <row r="1317" spans="1:1" x14ac:dyDescent="0.15">
      <c r="A1317" s="37"/>
    </row>
    <row r="1318" spans="1:1" x14ac:dyDescent="0.15">
      <c r="A1318" s="37"/>
    </row>
    <row r="1319" spans="1:1" x14ac:dyDescent="0.15">
      <c r="A1319" s="37"/>
    </row>
    <row r="1320" spans="1:1" x14ac:dyDescent="0.15">
      <c r="A1320" s="37"/>
    </row>
    <row r="1321" spans="1:1" x14ac:dyDescent="0.15">
      <c r="A1321" s="37"/>
    </row>
    <row r="1322" spans="1:1" x14ac:dyDescent="0.15">
      <c r="A1322" s="37"/>
    </row>
    <row r="1323" spans="1:1" x14ac:dyDescent="0.15">
      <c r="A1323" s="37"/>
    </row>
    <row r="1324" spans="1:1" x14ac:dyDescent="0.15">
      <c r="A1324" s="37"/>
    </row>
    <row r="1325" spans="1:1" x14ac:dyDescent="0.15">
      <c r="A1325" s="37"/>
    </row>
    <row r="1326" spans="1:1" x14ac:dyDescent="0.15">
      <c r="A1326" s="37"/>
    </row>
    <row r="1327" spans="1:1" x14ac:dyDescent="0.15">
      <c r="A1327" s="37"/>
    </row>
    <row r="1328" spans="1:1" x14ac:dyDescent="0.15">
      <c r="A1328" s="37"/>
    </row>
    <row r="1329" spans="1:1" x14ac:dyDescent="0.15">
      <c r="A1329" s="37"/>
    </row>
    <row r="1330" spans="1:1" x14ac:dyDescent="0.15">
      <c r="A1330" s="37"/>
    </row>
    <row r="1331" spans="1:1" x14ac:dyDescent="0.15">
      <c r="A1331" s="37"/>
    </row>
    <row r="1332" spans="1:1" x14ac:dyDescent="0.15">
      <c r="A1332" s="37"/>
    </row>
    <row r="1333" spans="1:1" x14ac:dyDescent="0.15">
      <c r="A1333" s="37"/>
    </row>
    <row r="1334" spans="1:1" x14ac:dyDescent="0.15">
      <c r="A1334" s="37"/>
    </row>
    <row r="1335" spans="1:1" x14ac:dyDescent="0.15">
      <c r="A1335" s="37"/>
    </row>
    <row r="1336" spans="1:1" x14ac:dyDescent="0.15">
      <c r="A1336" s="37"/>
    </row>
    <row r="1337" spans="1:1" x14ac:dyDescent="0.15">
      <c r="A1337" s="37"/>
    </row>
    <row r="1338" spans="1:1" x14ac:dyDescent="0.15">
      <c r="A1338" s="37"/>
    </row>
    <row r="1339" spans="1:1" x14ac:dyDescent="0.15">
      <c r="A1339" s="37"/>
    </row>
    <row r="1340" spans="1:1" x14ac:dyDescent="0.15">
      <c r="A1340" s="37"/>
    </row>
    <row r="1341" spans="1:1" x14ac:dyDescent="0.15">
      <c r="A1341" s="37"/>
    </row>
    <row r="1342" spans="1:1" x14ac:dyDescent="0.15">
      <c r="A1342" s="37"/>
    </row>
    <row r="1343" spans="1:1" x14ac:dyDescent="0.15">
      <c r="A1343" s="37"/>
    </row>
    <row r="1344" spans="1:1" x14ac:dyDescent="0.15">
      <c r="A1344" s="37"/>
    </row>
    <row r="1345" spans="1:1" x14ac:dyDescent="0.15">
      <c r="A1345" s="37"/>
    </row>
    <row r="1346" spans="1:1" x14ac:dyDescent="0.15">
      <c r="A1346" s="37"/>
    </row>
    <row r="1347" spans="1:1" x14ac:dyDescent="0.15">
      <c r="A1347" s="37"/>
    </row>
    <row r="1348" spans="1:1" x14ac:dyDescent="0.15">
      <c r="A1348" s="37"/>
    </row>
    <row r="1349" spans="1:1" x14ac:dyDescent="0.15">
      <c r="A1349" s="37"/>
    </row>
    <row r="1350" spans="1:1" x14ac:dyDescent="0.15">
      <c r="A1350" s="37"/>
    </row>
    <row r="1351" spans="1:1" x14ac:dyDescent="0.15">
      <c r="A1351" s="37"/>
    </row>
    <row r="1352" spans="1:1" x14ac:dyDescent="0.15">
      <c r="A1352" s="37"/>
    </row>
    <row r="1353" spans="1:1" x14ac:dyDescent="0.15">
      <c r="A1353" s="37"/>
    </row>
    <row r="1354" spans="1:1" x14ac:dyDescent="0.15">
      <c r="A1354" s="37"/>
    </row>
    <row r="1355" spans="1:1" x14ac:dyDescent="0.15">
      <c r="A1355" s="37"/>
    </row>
    <row r="1356" spans="1:1" x14ac:dyDescent="0.15">
      <c r="A1356" s="37"/>
    </row>
    <row r="1357" spans="1:1" x14ac:dyDescent="0.15">
      <c r="A1357" s="37"/>
    </row>
    <row r="1358" spans="1:1" x14ac:dyDescent="0.15">
      <c r="A1358" s="37"/>
    </row>
    <row r="1359" spans="1:1" x14ac:dyDescent="0.15">
      <c r="A1359" s="37"/>
    </row>
    <row r="1360" spans="1:1" x14ac:dyDescent="0.15">
      <c r="A1360" s="37"/>
    </row>
    <row r="1361" spans="1:1" x14ac:dyDescent="0.15">
      <c r="A1361" s="37"/>
    </row>
    <row r="1362" spans="1:1" x14ac:dyDescent="0.15">
      <c r="A1362" s="37"/>
    </row>
    <row r="1363" spans="1:1" x14ac:dyDescent="0.15">
      <c r="A1363" s="37"/>
    </row>
    <row r="1364" spans="1:1" x14ac:dyDescent="0.15">
      <c r="A1364" s="37"/>
    </row>
    <row r="1365" spans="1:1" x14ac:dyDescent="0.15">
      <c r="A1365" s="37"/>
    </row>
    <row r="1366" spans="1:1" x14ac:dyDescent="0.15">
      <c r="A1366" s="37"/>
    </row>
    <row r="1367" spans="1:1" x14ac:dyDescent="0.15">
      <c r="A1367" s="37"/>
    </row>
    <row r="1368" spans="1:1" x14ac:dyDescent="0.15">
      <c r="A1368" s="37"/>
    </row>
    <row r="1369" spans="1:1" x14ac:dyDescent="0.15">
      <c r="A1369" s="37"/>
    </row>
    <row r="1370" spans="1:1" x14ac:dyDescent="0.15">
      <c r="A1370" s="37"/>
    </row>
    <row r="1371" spans="1:1" x14ac:dyDescent="0.15">
      <c r="A1371" s="37"/>
    </row>
    <row r="1372" spans="1:1" x14ac:dyDescent="0.15">
      <c r="A1372" s="37"/>
    </row>
    <row r="1373" spans="1:1" x14ac:dyDescent="0.15">
      <c r="A1373" s="37"/>
    </row>
    <row r="1374" spans="1:1" x14ac:dyDescent="0.15">
      <c r="A1374" s="37"/>
    </row>
    <row r="1375" spans="1:1" x14ac:dyDescent="0.15">
      <c r="A1375" s="37"/>
    </row>
    <row r="1376" spans="1:1" x14ac:dyDescent="0.15">
      <c r="A1376" s="37"/>
    </row>
    <row r="1377" spans="1:1" x14ac:dyDescent="0.15">
      <c r="A1377" s="37"/>
    </row>
    <row r="1378" spans="1:1" x14ac:dyDescent="0.15">
      <c r="A1378" s="37"/>
    </row>
    <row r="1379" spans="1:1" x14ac:dyDescent="0.15">
      <c r="A1379" s="37"/>
    </row>
    <row r="1380" spans="1:1" x14ac:dyDescent="0.15">
      <c r="A1380" s="37"/>
    </row>
    <row r="1381" spans="1:1" x14ac:dyDescent="0.15">
      <c r="A1381" s="37"/>
    </row>
    <row r="1382" spans="1:1" x14ac:dyDescent="0.15">
      <c r="A1382" s="37"/>
    </row>
    <row r="1383" spans="1:1" x14ac:dyDescent="0.15">
      <c r="A1383" s="37"/>
    </row>
    <row r="1384" spans="1:1" x14ac:dyDescent="0.15">
      <c r="A1384" s="37"/>
    </row>
    <row r="1385" spans="1:1" x14ac:dyDescent="0.15">
      <c r="A1385" s="37"/>
    </row>
    <row r="1386" spans="1:1" x14ac:dyDescent="0.15">
      <c r="A1386" s="37"/>
    </row>
    <row r="1387" spans="1:1" x14ac:dyDescent="0.15">
      <c r="A1387" s="37"/>
    </row>
    <row r="1388" spans="1:1" x14ac:dyDescent="0.15">
      <c r="A1388" s="37"/>
    </row>
    <row r="1389" spans="1:1" x14ac:dyDescent="0.15">
      <c r="A1389" s="37"/>
    </row>
    <row r="1390" spans="1:1" x14ac:dyDescent="0.15">
      <c r="A1390" s="37"/>
    </row>
    <row r="1391" spans="1:1" x14ac:dyDescent="0.15">
      <c r="A1391" s="37"/>
    </row>
    <row r="1392" spans="1:1" x14ac:dyDescent="0.15">
      <c r="A1392" s="37"/>
    </row>
    <row r="1393" spans="1:1" x14ac:dyDescent="0.15">
      <c r="A1393" s="37"/>
    </row>
    <row r="1394" spans="1:1" x14ac:dyDescent="0.15">
      <c r="A1394" s="37"/>
    </row>
    <row r="1395" spans="1:1" x14ac:dyDescent="0.15">
      <c r="A1395" s="37"/>
    </row>
    <row r="1396" spans="1:1" x14ac:dyDescent="0.15">
      <c r="A1396" s="37"/>
    </row>
    <row r="1397" spans="1:1" x14ac:dyDescent="0.15">
      <c r="A1397" s="37"/>
    </row>
    <row r="1398" spans="1:1" x14ac:dyDescent="0.15">
      <c r="A1398" s="37"/>
    </row>
    <row r="1399" spans="1:1" x14ac:dyDescent="0.15">
      <c r="A1399" s="37"/>
    </row>
    <row r="1400" spans="1:1" x14ac:dyDescent="0.15">
      <c r="A1400" s="37"/>
    </row>
    <row r="1401" spans="1:1" x14ac:dyDescent="0.15">
      <c r="A1401" s="37"/>
    </row>
    <row r="1402" spans="1:1" x14ac:dyDescent="0.15">
      <c r="A1402" s="37"/>
    </row>
    <row r="1403" spans="1:1" x14ac:dyDescent="0.15">
      <c r="A1403" s="37"/>
    </row>
    <row r="1404" spans="1:1" x14ac:dyDescent="0.15">
      <c r="A1404" s="37"/>
    </row>
    <row r="1405" spans="1:1" x14ac:dyDescent="0.15">
      <c r="A1405" s="37"/>
    </row>
    <row r="1406" spans="1:1" x14ac:dyDescent="0.15">
      <c r="A1406" s="37"/>
    </row>
    <row r="1407" spans="1:1" x14ac:dyDescent="0.15">
      <c r="A1407" s="37"/>
    </row>
    <row r="1408" spans="1:1" x14ac:dyDescent="0.15">
      <c r="A1408" s="37"/>
    </row>
    <row r="1409" spans="1:1" x14ac:dyDescent="0.15">
      <c r="A1409" s="37"/>
    </row>
    <row r="1410" spans="1:1" x14ac:dyDescent="0.15">
      <c r="A1410" s="37"/>
    </row>
    <row r="1411" spans="1:1" x14ac:dyDescent="0.15">
      <c r="A1411" s="37"/>
    </row>
    <row r="1412" spans="1:1" x14ac:dyDescent="0.15">
      <c r="A1412" s="37"/>
    </row>
    <row r="1413" spans="1:1" x14ac:dyDescent="0.15">
      <c r="A1413" s="37"/>
    </row>
    <row r="1414" spans="1:1" x14ac:dyDescent="0.15">
      <c r="A1414" s="37"/>
    </row>
    <row r="1415" spans="1:1" x14ac:dyDescent="0.15">
      <c r="A1415" s="37"/>
    </row>
    <row r="1416" spans="1:1" x14ac:dyDescent="0.15">
      <c r="A1416" s="37"/>
    </row>
    <row r="1417" spans="1:1" x14ac:dyDescent="0.15">
      <c r="A1417" s="37"/>
    </row>
    <row r="1418" spans="1:1" x14ac:dyDescent="0.15">
      <c r="A1418" s="37"/>
    </row>
    <row r="1419" spans="1:1" x14ac:dyDescent="0.15">
      <c r="A1419" s="37"/>
    </row>
    <row r="1420" spans="1:1" x14ac:dyDescent="0.15">
      <c r="A1420" s="37"/>
    </row>
    <row r="1421" spans="1:1" x14ac:dyDescent="0.15">
      <c r="A1421" s="37"/>
    </row>
    <row r="1422" spans="1:1" x14ac:dyDescent="0.15">
      <c r="A1422" s="37"/>
    </row>
    <row r="1423" spans="1:1" x14ac:dyDescent="0.15">
      <c r="A1423" s="37"/>
    </row>
    <row r="1424" spans="1:1" x14ac:dyDescent="0.15">
      <c r="A1424" s="37"/>
    </row>
    <row r="1425" spans="1:1" x14ac:dyDescent="0.15">
      <c r="A1425" s="37"/>
    </row>
    <row r="1426" spans="1:1" x14ac:dyDescent="0.15">
      <c r="A1426" s="37"/>
    </row>
    <row r="1427" spans="1:1" x14ac:dyDescent="0.15">
      <c r="A1427" s="37"/>
    </row>
    <row r="1428" spans="1:1" x14ac:dyDescent="0.15">
      <c r="A1428" s="37"/>
    </row>
    <row r="1429" spans="1:1" x14ac:dyDescent="0.15">
      <c r="A1429" s="37"/>
    </row>
    <row r="1430" spans="1:1" x14ac:dyDescent="0.15">
      <c r="A1430" s="37"/>
    </row>
    <row r="1431" spans="1:1" x14ac:dyDescent="0.15">
      <c r="A1431" s="37"/>
    </row>
    <row r="1432" spans="1:1" x14ac:dyDescent="0.15">
      <c r="A1432" s="37"/>
    </row>
    <row r="1433" spans="1:1" x14ac:dyDescent="0.15">
      <c r="A1433" s="37"/>
    </row>
    <row r="1434" spans="1:1" x14ac:dyDescent="0.15">
      <c r="A1434" s="37"/>
    </row>
    <row r="1435" spans="1:1" x14ac:dyDescent="0.15">
      <c r="A1435" s="37"/>
    </row>
    <row r="1436" spans="1:1" x14ac:dyDescent="0.15">
      <c r="A1436" s="37"/>
    </row>
    <row r="1437" spans="1:1" x14ac:dyDescent="0.15">
      <c r="A1437" s="37"/>
    </row>
    <row r="1438" spans="1:1" x14ac:dyDescent="0.15">
      <c r="A1438" s="37"/>
    </row>
    <row r="1439" spans="1:1" x14ac:dyDescent="0.15">
      <c r="A1439" s="37"/>
    </row>
    <row r="1440" spans="1:1" x14ac:dyDescent="0.15">
      <c r="A1440" s="37"/>
    </row>
    <row r="1441" spans="1:1" x14ac:dyDescent="0.15">
      <c r="A1441" s="37"/>
    </row>
    <row r="1442" spans="1:1" x14ac:dyDescent="0.15">
      <c r="A1442" s="37"/>
    </row>
    <row r="1443" spans="1:1" x14ac:dyDescent="0.15">
      <c r="A1443" s="37"/>
    </row>
    <row r="1444" spans="1:1" x14ac:dyDescent="0.15">
      <c r="A1444" s="37"/>
    </row>
    <row r="1445" spans="1:1" x14ac:dyDescent="0.15">
      <c r="A1445" s="37"/>
    </row>
    <row r="1446" spans="1:1" x14ac:dyDescent="0.15">
      <c r="A1446" s="37"/>
    </row>
    <row r="1447" spans="1:1" x14ac:dyDescent="0.15">
      <c r="A1447" s="37"/>
    </row>
    <row r="1448" spans="1:1" x14ac:dyDescent="0.15">
      <c r="A1448" s="37"/>
    </row>
    <row r="1449" spans="1:1" x14ac:dyDescent="0.15">
      <c r="A1449" s="37"/>
    </row>
    <row r="1450" spans="1:1" x14ac:dyDescent="0.15">
      <c r="A1450" s="37"/>
    </row>
    <row r="1451" spans="1:1" x14ac:dyDescent="0.15">
      <c r="A1451" s="37"/>
    </row>
    <row r="1452" spans="1:1" x14ac:dyDescent="0.15">
      <c r="A1452" s="37"/>
    </row>
    <row r="1453" spans="1:1" x14ac:dyDescent="0.15">
      <c r="A1453" s="37"/>
    </row>
    <row r="1454" spans="1:1" x14ac:dyDescent="0.15">
      <c r="A1454" s="37"/>
    </row>
    <row r="1455" spans="1:1" x14ac:dyDescent="0.15">
      <c r="A1455" s="37"/>
    </row>
    <row r="1456" spans="1:1" x14ac:dyDescent="0.15">
      <c r="A1456" s="37"/>
    </row>
    <row r="1457" spans="1:1" x14ac:dyDescent="0.15">
      <c r="A1457" s="37"/>
    </row>
    <row r="1458" spans="1:1" x14ac:dyDescent="0.15">
      <c r="A1458" s="37"/>
    </row>
    <row r="1459" spans="1:1" x14ac:dyDescent="0.15">
      <c r="A1459" s="37"/>
    </row>
    <row r="1460" spans="1:1" x14ac:dyDescent="0.15">
      <c r="A1460" s="37"/>
    </row>
    <row r="1461" spans="1:1" x14ac:dyDescent="0.15">
      <c r="A1461" s="37"/>
    </row>
    <row r="1462" spans="1:1" x14ac:dyDescent="0.15">
      <c r="A1462" s="37"/>
    </row>
    <row r="1463" spans="1:1" x14ac:dyDescent="0.15">
      <c r="A1463" s="37"/>
    </row>
    <row r="1464" spans="1:1" x14ac:dyDescent="0.15">
      <c r="A1464" s="37"/>
    </row>
    <row r="1465" spans="1:1" x14ac:dyDescent="0.15">
      <c r="A1465" s="37"/>
    </row>
    <row r="1466" spans="1:1" x14ac:dyDescent="0.15">
      <c r="A1466" s="37"/>
    </row>
    <row r="1467" spans="1:1" x14ac:dyDescent="0.15">
      <c r="A1467" s="37"/>
    </row>
    <row r="1468" spans="1:1" x14ac:dyDescent="0.15">
      <c r="A1468" s="37"/>
    </row>
    <row r="1469" spans="1:1" x14ac:dyDescent="0.15">
      <c r="A1469" s="37"/>
    </row>
    <row r="1470" spans="1:1" x14ac:dyDescent="0.15">
      <c r="A1470" s="37"/>
    </row>
    <row r="1471" spans="1:1" x14ac:dyDescent="0.15">
      <c r="A1471" s="37"/>
    </row>
    <row r="1472" spans="1:1" x14ac:dyDescent="0.15">
      <c r="A1472" s="37"/>
    </row>
    <row r="1473" spans="1:1" x14ac:dyDescent="0.15">
      <c r="A1473" s="37"/>
    </row>
    <row r="1474" spans="1:1" x14ac:dyDescent="0.15">
      <c r="A1474" s="37"/>
    </row>
    <row r="1475" spans="1:1" x14ac:dyDescent="0.15">
      <c r="A1475" s="37"/>
    </row>
    <row r="1476" spans="1:1" x14ac:dyDescent="0.15">
      <c r="A1476" s="37"/>
    </row>
    <row r="1477" spans="1:1" x14ac:dyDescent="0.15">
      <c r="A1477" s="37"/>
    </row>
    <row r="1478" spans="1:1" x14ac:dyDescent="0.15">
      <c r="A1478" s="37"/>
    </row>
    <row r="1479" spans="1:1" x14ac:dyDescent="0.15">
      <c r="A1479" s="37"/>
    </row>
    <row r="1480" spans="1:1" x14ac:dyDescent="0.15">
      <c r="A1480" s="37"/>
    </row>
    <row r="1481" spans="1:1" x14ac:dyDescent="0.15">
      <c r="A1481" s="37"/>
    </row>
    <row r="1482" spans="1:1" x14ac:dyDescent="0.15">
      <c r="A1482" s="37"/>
    </row>
    <row r="1483" spans="1:1" x14ac:dyDescent="0.15">
      <c r="A1483" s="37"/>
    </row>
    <row r="1484" spans="1:1" x14ac:dyDescent="0.15">
      <c r="A1484" s="37"/>
    </row>
    <row r="1485" spans="1:1" x14ac:dyDescent="0.15">
      <c r="A1485" s="37"/>
    </row>
    <row r="1486" spans="1:1" x14ac:dyDescent="0.15">
      <c r="A1486" s="37"/>
    </row>
    <row r="1487" spans="1:1" x14ac:dyDescent="0.15">
      <c r="A1487" s="37"/>
    </row>
    <row r="1488" spans="1:1" x14ac:dyDescent="0.15">
      <c r="A1488" s="37"/>
    </row>
    <row r="1489" spans="1:1" x14ac:dyDescent="0.15">
      <c r="A1489" s="37"/>
    </row>
    <row r="1490" spans="1:1" x14ac:dyDescent="0.15">
      <c r="A1490" s="37"/>
    </row>
    <row r="1491" spans="1:1" x14ac:dyDescent="0.15">
      <c r="A1491" s="37"/>
    </row>
    <row r="1492" spans="1:1" x14ac:dyDescent="0.15">
      <c r="A1492" s="37"/>
    </row>
    <row r="1493" spans="1:1" x14ac:dyDescent="0.15">
      <c r="A1493" s="37"/>
    </row>
    <row r="1494" spans="1:1" x14ac:dyDescent="0.15">
      <c r="A1494" s="37"/>
    </row>
    <row r="1495" spans="1:1" x14ac:dyDescent="0.15">
      <c r="A1495" s="37"/>
    </row>
    <row r="1496" spans="1:1" x14ac:dyDescent="0.15">
      <c r="A1496" s="37"/>
    </row>
    <row r="1497" spans="1:1" x14ac:dyDescent="0.15">
      <c r="A1497" s="37"/>
    </row>
    <row r="1498" spans="1:1" x14ac:dyDescent="0.15">
      <c r="A1498" s="37"/>
    </row>
    <row r="1499" spans="1:1" x14ac:dyDescent="0.15">
      <c r="A1499" s="37"/>
    </row>
    <row r="1500" spans="1:1" x14ac:dyDescent="0.15">
      <c r="A1500" s="37"/>
    </row>
    <row r="1501" spans="1:1" x14ac:dyDescent="0.15">
      <c r="A1501" s="37"/>
    </row>
    <row r="1502" spans="1:1" x14ac:dyDescent="0.15">
      <c r="A1502" s="37"/>
    </row>
    <row r="1503" spans="1:1" x14ac:dyDescent="0.15">
      <c r="A1503" s="37"/>
    </row>
    <row r="1504" spans="1:1" x14ac:dyDescent="0.15">
      <c r="A1504" s="37"/>
    </row>
    <row r="1505" spans="1:1" x14ac:dyDescent="0.15">
      <c r="A1505" s="37"/>
    </row>
    <row r="1506" spans="1:1" x14ac:dyDescent="0.15">
      <c r="A1506" s="37"/>
    </row>
    <row r="1507" spans="1:1" x14ac:dyDescent="0.15">
      <c r="A1507" s="37"/>
    </row>
    <row r="1508" spans="1:1" x14ac:dyDescent="0.15">
      <c r="A1508" s="37"/>
    </row>
    <row r="1509" spans="1:1" x14ac:dyDescent="0.15">
      <c r="A1509" s="37"/>
    </row>
    <row r="1510" spans="1:1" x14ac:dyDescent="0.15">
      <c r="A1510" s="37"/>
    </row>
    <row r="1511" spans="1:1" x14ac:dyDescent="0.15">
      <c r="A1511" s="37"/>
    </row>
    <row r="1512" spans="1:1" x14ac:dyDescent="0.15">
      <c r="A1512" s="37"/>
    </row>
    <row r="1513" spans="1:1" x14ac:dyDescent="0.15">
      <c r="A1513" s="37"/>
    </row>
    <row r="1514" spans="1:1" x14ac:dyDescent="0.15">
      <c r="A1514" s="37"/>
    </row>
    <row r="1515" spans="1:1" x14ac:dyDescent="0.15">
      <c r="A1515" s="37"/>
    </row>
    <row r="1516" spans="1:1" x14ac:dyDescent="0.15">
      <c r="A1516" s="37"/>
    </row>
    <row r="1517" spans="1:1" x14ac:dyDescent="0.15">
      <c r="A1517" s="37"/>
    </row>
    <row r="1518" spans="1:1" x14ac:dyDescent="0.15">
      <c r="A1518" s="37"/>
    </row>
    <row r="1519" spans="1:1" x14ac:dyDescent="0.15">
      <c r="A1519" s="37"/>
    </row>
    <row r="1520" spans="1:1" x14ac:dyDescent="0.15">
      <c r="A1520" s="37"/>
    </row>
    <row r="1521" spans="1:1" x14ac:dyDescent="0.15">
      <c r="A1521" s="37"/>
    </row>
    <row r="1522" spans="1:1" x14ac:dyDescent="0.15">
      <c r="A1522" s="37"/>
    </row>
    <row r="1523" spans="1:1" x14ac:dyDescent="0.15">
      <c r="A1523" s="37"/>
    </row>
    <row r="1524" spans="1:1" x14ac:dyDescent="0.15">
      <c r="A1524" s="37"/>
    </row>
    <row r="1525" spans="1:1" x14ac:dyDescent="0.15">
      <c r="A1525" s="37"/>
    </row>
    <row r="1526" spans="1:1" x14ac:dyDescent="0.15">
      <c r="A1526" s="37"/>
    </row>
    <row r="1527" spans="1:1" x14ac:dyDescent="0.15">
      <c r="A1527" s="37"/>
    </row>
    <row r="1528" spans="1:1" x14ac:dyDescent="0.15">
      <c r="A1528" s="37"/>
    </row>
    <row r="1529" spans="1:1" x14ac:dyDescent="0.15">
      <c r="A1529" s="37"/>
    </row>
    <row r="1530" spans="1:1" x14ac:dyDescent="0.15">
      <c r="A1530" s="37"/>
    </row>
    <row r="1531" spans="1:1" x14ac:dyDescent="0.15">
      <c r="A1531" s="37"/>
    </row>
    <row r="1532" spans="1:1" x14ac:dyDescent="0.15">
      <c r="A1532" s="37"/>
    </row>
    <row r="1533" spans="1:1" x14ac:dyDescent="0.15">
      <c r="A1533" s="37"/>
    </row>
    <row r="1534" spans="1:1" x14ac:dyDescent="0.15">
      <c r="A1534" s="37"/>
    </row>
    <row r="1535" spans="1:1" x14ac:dyDescent="0.15">
      <c r="A1535" s="37"/>
    </row>
    <row r="1536" spans="1:1" x14ac:dyDescent="0.15">
      <c r="A1536" s="37"/>
    </row>
    <row r="1537" spans="1:1" x14ac:dyDescent="0.15">
      <c r="A1537" s="37"/>
    </row>
    <row r="1538" spans="1:1" x14ac:dyDescent="0.15">
      <c r="A1538" s="37"/>
    </row>
    <row r="1539" spans="1:1" x14ac:dyDescent="0.15">
      <c r="A1539" s="37"/>
    </row>
    <row r="1540" spans="1:1" x14ac:dyDescent="0.15">
      <c r="A1540" s="37"/>
    </row>
    <row r="1541" spans="1:1" x14ac:dyDescent="0.15">
      <c r="A1541" s="37"/>
    </row>
    <row r="1542" spans="1:1" x14ac:dyDescent="0.15">
      <c r="A1542" s="37"/>
    </row>
    <row r="1543" spans="1:1" x14ac:dyDescent="0.15">
      <c r="A1543" s="37"/>
    </row>
    <row r="1544" spans="1:1" x14ac:dyDescent="0.15">
      <c r="A1544" s="37"/>
    </row>
    <row r="1545" spans="1:1" x14ac:dyDescent="0.15">
      <c r="A1545" s="37"/>
    </row>
    <row r="1546" spans="1:1" x14ac:dyDescent="0.15">
      <c r="A1546" s="37"/>
    </row>
    <row r="1547" spans="1:1" x14ac:dyDescent="0.15">
      <c r="A1547" s="37"/>
    </row>
    <row r="1548" spans="1:1" x14ac:dyDescent="0.15">
      <c r="A1548" s="37"/>
    </row>
    <row r="1549" spans="1:1" x14ac:dyDescent="0.15">
      <c r="A1549" s="37"/>
    </row>
    <row r="1550" spans="1:1" x14ac:dyDescent="0.15">
      <c r="A1550" s="37"/>
    </row>
    <row r="1551" spans="1:1" x14ac:dyDescent="0.15">
      <c r="A1551" s="37"/>
    </row>
    <row r="1552" spans="1:1" x14ac:dyDescent="0.15">
      <c r="A1552" s="37"/>
    </row>
    <row r="1553" spans="1:1" x14ac:dyDescent="0.15">
      <c r="A1553" s="37"/>
    </row>
    <row r="1554" spans="1:1" x14ac:dyDescent="0.15">
      <c r="A1554" s="37"/>
    </row>
    <row r="1555" spans="1:1" x14ac:dyDescent="0.15">
      <c r="A1555" s="37"/>
    </row>
    <row r="1556" spans="1:1" x14ac:dyDescent="0.15">
      <c r="A1556" s="37"/>
    </row>
    <row r="1557" spans="1:1" x14ac:dyDescent="0.15">
      <c r="A1557" s="37"/>
    </row>
    <row r="1558" spans="1:1" x14ac:dyDescent="0.15">
      <c r="A1558" s="37"/>
    </row>
    <row r="1559" spans="1:1" x14ac:dyDescent="0.15">
      <c r="A1559" s="37"/>
    </row>
    <row r="1560" spans="1:1" x14ac:dyDescent="0.15">
      <c r="A1560" s="37"/>
    </row>
    <row r="1561" spans="1:1" x14ac:dyDescent="0.15">
      <c r="A1561" s="37"/>
    </row>
    <row r="1562" spans="1:1" x14ac:dyDescent="0.15">
      <c r="A1562" s="37"/>
    </row>
    <row r="1563" spans="1:1" x14ac:dyDescent="0.15">
      <c r="A1563" s="37"/>
    </row>
    <row r="1564" spans="1:1" x14ac:dyDescent="0.15">
      <c r="A1564" s="37"/>
    </row>
    <row r="1565" spans="1:1" x14ac:dyDescent="0.15">
      <c r="A1565" s="37"/>
    </row>
    <row r="1566" spans="1:1" x14ac:dyDescent="0.15">
      <c r="A1566" s="37"/>
    </row>
    <row r="1567" spans="1:1" x14ac:dyDescent="0.15">
      <c r="A1567" s="37"/>
    </row>
    <row r="1568" spans="1:1" x14ac:dyDescent="0.15">
      <c r="A1568" s="37"/>
    </row>
    <row r="1569" spans="1:1" x14ac:dyDescent="0.15">
      <c r="A1569" s="37"/>
    </row>
    <row r="1570" spans="1:1" x14ac:dyDescent="0.15">
      <c r="A1570" s="37"/>
    </row>
    <row r="1571" spans="1:1" x14ac:dyDescent="0.15">
      <c r="A1571" s="37"/>
    </row>
    <row r="1572" spans="1:1" x14ac:dyDescent="0.15">
      <c r="A1572" s="37"/>
    </row>
    <row r="1573" spans="1:1" x14ac:dyDescent="0.15">
      <c r="A1573" s="37"/>
    </row>
    <row r="1574" spans="1:1" x14ac:dyDescent="0.15">
      <c r="A1574" s="37"/>
    </row>
    <row r="1575" spans="1:1" x14ac:dyDescent="0.15">
      <c r="A1575" s="37"/>
    </row>
    <row r="1576" spans="1:1" x14ac:dyDescent="0.15">
      <c r="A1576" s="37"/>
    </row>
    <row r="1577" spans="1:1" x14ac:dyDescent="0.15">
      <c r="A1577" s="37"/>
    </row>
    <row r="1578" spans="1:1" x14ac:dyDescent="0.15">
      <c r="A1578" s="37"/>
    </row>
    <row r="1579" spans="1:1" x14ac:dyDescent="0.15">
      <c r="A1579" s="37"/>
    </row>
    <row r="1580" spans="1:1" x14ac:dyDescent="0.15">
      <c r="A1580" s="37"/>
    </row>
    <row r="1581" spans="1:1" x14ac:dyDescent="0.15">
      <c r="A1581" s="37"/>
    </row>
    <row r="1582" spans="1:1" x14ac:dyDescent="0.15">
      <c r="A1582" s="37"/>
    </row>
    <row r="1583" spans="1:1" x14ac:dyDescent="0.15">
      <c r="A1583" s="37"/>
    </row>
    <row r="1584" spans="1:1" x14ac:dyDescent="0.15">
      <c r="A1584" s="37"/>
    </row>
    <row r="1585" spans="1:1" x14ac:dyDescent="0.15">
      <c r="A1585" s="37"/>
    </row>
    <row r="1586" spans="1:1" x14ac:dyDescent="0.15">
      <c r="A1586" s="37"/>
    </row>
    <row r="1587" spans="1:1" x14ac:dyDescent="0.15">
      <c r="A1587" s="37"/>
    </row>
    <row r="1588" spans="1:1" x14ac:dyDescent="0.15">
      <c r="A1588" s="37"/>
    </row>
    <row r="1589" spans="1:1" x14ac:dyDescent="0.15">
      <c r="A1589" s="37"/>
    </row>
    <row r="1590" spans="1:1" x14ac:dyDescent="0.15">
      <c r="A1590" s="37"/>
    </row>
    <row r="1591" spans="1:1" x14ac:dyDescent="0.15">
      <c r="A1591" s="37"/>
    </row>
    <row r="1592" spans="1:1" x14ac:dyDescent="0.15">
      <c r="A1592" s="37"/>
    </row>
    <row r="1593" spans="1:1" x14ac:dyDescent="0.15">
      <c r="A1593" s="37"/>
    </row>
    <row r="1594" spans="1:1" x14ac:dyDescent="0.15">
      <c r="A1594" s="37"/>
    </row>
    <row r="1595" spans="1:1" x14ac:dyDescent="0.15">
      <c r="A1595" s="37"/>
    </row>
    <row r="1596" spans="1:1" x14ac:dyDescent="0.15">
      <c r="A1596" s="37"/>
    </row>
    <row r="1597" spans="1:1" x14ac:dyDescent="0.15">
      <c r="A1597" s="37"/>
    </row>
    <row r="1598" spans="1:1" x14ac:dyDescent="0.15">
      <c r="A1598" s="37"/>
    </row>
    <row r="1599" spans="1:1" x14ac:dyDescent="0.15">
      <c r="A1599" s="37"/>
    </row>
    <row r="1600" spans="1:1" x14ac:dyDescent="0.15">
      <c r="A1600" s="37"/>
    </row>
    <row r="1601" spans="1:1" x14ac:dyDescent="0.15">
      <c r="A1601" s="37"/>
    </row>
    <row r="1602" spans="1:1" x14ac:dyDescent="0.15">
      <c r="A1602" s="37"/>
    </row>
    <row r="1603" spans="1:1" x14ac:dyDescent="0.15">
      <c r="A1603" s="37"/>
    </row>
    <row r="1604" spans="1:1" x14ac:dyDescent="0.15">
      <c r="A1604" s="37"/>
    </row>
    <row r="1605" spans="1:1" x14ac:dyDescent="0.15">
      <c r="A1605" s="37"/>
    </row>
    <row r="1606" spans="1:1" x14ac:dyDescent="0.15">
      <c r="A1606" s="37"/>
    </row>
    <row r="1607" spans="1:1" x14ac:dyDescent="0.15">
      <c r="A1607" s="37"/>
    </row>
    <row r="1608" spans="1:1" x14ac:dyDescent="0.15">
      <c r="A1608" s="37"/>
    </row>
    <row r="1609" spans="1:1" x14ac:dyDescent="0.15">
      <c r="A1609" s="37"/>
    </row>
    <row r="1610" spans="1:1" x14ac:dyDescent="0.15">
      <c r="A1610" s="37"/>
    </row>
    <row r="1611" spans="1:1" x14ac:dyDescent="0.15">
      <c r="A1611" s="37"/>
    </row>
    <row r="1612" spans="1:1" x14ac:dyDescent="0.15">
      <c r="A1612" s="37"/>
    </row>
    <row r="1613" spans="1:1" x14ac:dyDescent="0.15">
      <c r="A1613" s="37"/>
    </row>
    <row r="1614" spans="1:1" x14ac:dyDescent="0.15">
      <c r="A1614" s="37"/>
    </row>
    <row r="1615" spans="1:1" x14ac:dyDescent="0.15">
      <c r="A1615" s="37"/>
    </row>
    <row r="1616" spans="1:1" x14ac:dyDescent="0.15">
      <c r="A1616" s="37"/>
    </row>
    <row r="1617" spans="1:1" x14ac:dyDescent="0.15">
      <c r="A1617" s="37"/>
    </row>
    <row r="1618" spans="1:1" x14ac:dyDescent="0.15">
      <c r="A1618" s="37"/>
    </row>
    <row r="1619" spans="1:1" x14ac:dyDescent="0.15">
      <c r="A1619" s="37"/>
    </row>
    <row r="1620" spans="1:1" x14ac:dyDescent="0.15">
      <c r="A1620" s="37"/>
    </row>
    <row r="1621" spans="1:1" x14ac:dyDescent="0.15">
      <c r="A1621" s="37"/>
    </row>
    <row r="1622" spans="1:1" x14ac:dyDescent="0.15">
      <c r="A1622" s="37"/>
    </row>
    <row r="1623" spans="1:1" x14ac:dyDescent="0.15">
      <c r="A1623" s="37"/>
    </row>
    <row r="1624" spans="1:1" x14ac:dyDescent="0.15">
      <c r="A1624" s="37"/>
    </row>
    <row r="1625" spans="1:1" x14ac:dyDescent="0.15">
      <c r="A1625" s="37"/>
    </row>
    <row r="1626" spans="1:1" x14ac:dyDescent="0.15">
      <c r="A1626" s="37"/>
    </row>
    <row r="1627" spans="1:1" x14ac:dyDescent="0.15">
      <c r="A1627" s="37"/>
    </row>
    <row r="1628" spans="1:1" x14ac:dyDescent="0.15">
      <c r="A1628" s="37"/>
    </row>
    <row r="1629" spans="1:1" x14ac:dyDescent="0.15">
      <c r="A1629" s="37"/>
    </row>
    <row r="1630" spans="1:1" x14ac:dyDescent="0.15">
      <c r="A1630" s="37"/>
    </row>
    <row r="1631" spans="1:1" x14ac:dyDescent="0.15">
      <c r="A1631" s="37"/>
    </row>
    <row r="1632" spans="1:1" x14ac:dyDescent="0.15">
      <c r="A1632" s="37"/>
    </row>
    <row r="1633" spans="1:1" x14ac:dyDescent="0.15">
      <c r="A1633" s="37"/>
    </row>
    <row r="1634" spans="1:1" x14ac:dyDescent="0.15">
      <c r="A1634" s="37"/>
    </row>
    <row r="1635" spans="1:1" x14ac:dyDescent="0.15">
      <c r="A1635" s="37"/>
    </row>
    <row r="1636" spans="1:1" x14ac:dyDescent="0.15">
      <c r="A1636" s="37"/>
    </row>
    <row r="1637" spans="1:1" x14ac:dyDescent="0.15">
      <c r="A1637" s="37"/>
    </row>
    <row r="1638" spans="1:1" x14ac:dyDescent="0.15">
      <c r="A1638" s="37"/>
    </row>
    <row r="1639" spans="1:1" x14ac:dyDescent="0.15">
      <c r="A1639" s="37"/>
    </row>
    <row r="1640" spans="1:1" x14ac:dyDescent="0.15">
      <c r="A1640" s="37"/>
    </row>
    <row r="1641" spans="1:1" x14ac:dyDescent="0.15">
      <c r="A1641" s="37"/>
    </row>
    <row r="1642" spans="1:1" x14ac:dyDescent="0.15">
      <c r="A1642" s="37"/>
    </row>
    <row r="1643" spans="1:1" x14ac:dyDescent="0.15">
      <c r="A1643" s="37"/>
    </row>
    <row r="1644" spans="1:1" x14ac:dyDescent="0.15">
      <c r="A1644" s="37"/>
    </row>
    <row r="1645" spans="1:1" x14ac:dyDescent="0.15">
      <c r="A1645" s="37"/>
    </row>
    <row r="1646" spans="1:1" x14ac:dyDescent="0.15">
      <c r="A1646" s="37"/>
    </row>
    <row r="1647" spans="1:1" x14ac:dyDescent="0.15">
      <c r="A1647" s="37"/>
    </row>
    <row r="1648" spans="1:1" x14ac:dyDescent="0.15">
      <c r="A1648" s="37"/>
    </row>
    <row r="1649" spans="1:1" x14ac:dyDescent="0.15">
      <c r="A1649" s="37"/>
    </row>
    <row r="1650" spans="1:1" x14ac:dyDescent="0.15">
      <c r="A1650" s="37"/>
    </row>
    <row r="1651" spans="1:1" x14ac:dyDescent="0.15">
      <c r="A1651" s="37"/>
    </row>
    <row r="1652" spans="1:1" x14ac:dyDescent="0.15">
      <c r="A1652" s="37"/>
    </row>
    <row r="1653" spans="1:1" x14ac:dyDescent="0.15">
      <c r="A1653" s="37"/>
    </row>
    <row r="1654" spans="1:1" x14ac:dyDescent="0.15">
      <c r="A1654" s="37"/>
    </row>
    <row r="1655" spans="1:1" x14ac:dyDescent="0.15">
      <c r="A1655" s="37"/>
    </row>
    <row r="1656" spans="1:1" x14ac:dyDescent="0.15">
      <c r="A1656" s="37"/>
    </row>
    <row r="1657" spans="1:1" x14ac:dyDescent="0.15">
      <c r="A1657" s="37"/>
    </row>
    <row r="1658" spans="1:1" x14ac:dyDescent="0.15">
      <c r="A1658" s="37"/>
    </row>
    <row r="1659" spans="1:1" x14ac:dyDescent="0.15">
      <c r="A1659" s="37"/>
    </row>
    <row r="1660" spans="1:1" x14ac:dyDescent="0.15">
      <c r="A1660" s="37"/>
    </row>
    <row r="1661" spans="1:1" x14ac:dyDescent="0.15">
      <c r="A1661" s="37"/>
    </row>
    <row r="1662" spans="1:1" x14ac:dyDescent="0.15">
      <c r="A1662" s="37"/>
    </row>
    <row r="1663" spans="1:1" x14ac:dyDescent="0.15">
      <c r="A1663" s="37"/>
    </row>
    <row r="1664" spans="1:1" x14ac:dyDescent="0.15">
      <c r="A1664" s="37"/>
    </row>
    <row r="1665" spans="1:1" x14ac:dyDescent="0.15">
      <c r="A1665" s="37"/>
    </row>
    <row r="1666" spans="1:1" x14ac:dyDescent="0.15">
      <c r="A1666" s="37"/>
    </row>
    <row r="1667" spans="1:1" x14ac:dyDescent="0.15">
      <c r="A1667" s="37"/>
    </row>
    <row r="1668" spans="1:1" x14ac:dyDescent="0.15">
      <c r="A1668" s="37"/>
    </row>
    <row r="1669" spans="1:1" x14ac:dyDescent="0.15">
      <c r="A1669" s="37"/>
    </row>
    <row r="1670" spans="1:1" x14ac:dyDescent="0.15">
      <c r="A1670" s="37"/>
    </row>
    <row r="1671" spans="1:1" x14ac:dyDescent="0.15">
      <c r="A1671" s="37"/>
    </row>
    <row r="1672" spans="1:1" x14ac:dyDescent="0.15">
      <c r="A1672" s="37"/>
    </row>
    <row r="1673" spans="1:1" x14ac:dyDescent="0.15">
      <c r="A1673" s="37"/>
    </row>
    <row r="1674" spans="1:1" x14ac:dyDescent="0.15">
      <c r="A1674" s="37"/>
    </row>
    <row r="1675" spans="1:1" x14ac:dyDescent="0.15">
      <c r="A1675" s="37"/>
    </row>
    <row r="1676" spans="1:1" x14ac:dyDescent="0.15">
      <c r="A1676" s="37"/>
    </row>
    <row r="1677" spans="1:1" x14ac:dyDescent="0.15">
      <c r="A1677" s="37"/>
    </row>
    <row r="1678" spans="1:1" x14ac:dyDescent="0.15">
      <c r="A1678" s="37"/>
    </row>
    <row r="1679" spans="1:1" x14ac:dyDescent="0.15">
      <c r="A1679" s="37"/>
    </row>
    <row r="1680" spans="1:1" x14ac:dyDescent="0.15">
      <c r="A1680" s="37"/>
    </row>
    <row r="1681" spans="1:1" x14ac:dyDescent="0.15">
      <c r="A1681" s="37"/>
    </row>
    <row r="1682" spans="1:1" x14ac:dyDescent="0.15">
      <c r="A1682" s="37"/>
    </row>
    <row r="1683" spans="1:1" x14ac:dyDescent="0.15">
      <c r="A1683" s="37"/>
    </row>
    <row r="1684" spans="1:1" x14ac:dyDescent="0.15">
      <c r="A1684" s="37"/>
    </row>
    <row r="1685" spans="1:1" x14ac:dyDescent="0.15">
      <c r="A1685" s="37"/>
    </row>
    <row r="1686" spans="1:1" x14ac:dyDescent="0.15">
      <c r="A1686" s="37"/>
    </row>
    <row r="1687" spans="1:1" x14ac:dyDescent="0.15">
      <c r="A1687" s="37"/>
    </row>
    <row r="1688" spans="1:1" x14ac:dyDescent="0.15">
      <c r="A1688" s="37"/>
    </row>
    <row r="1689" spans="1:1" x14ac:dyDescent="0.15">
      <c r="A1689" s="37"/>
    </row>
    <row r="1690" spans="1:1" x14ac:dyDescent="0.15">
      <c r="A1690" s="37"/>
    </row>
    <row r="1691" spans="1:1" x14ac:dyDescent="0.15">
      <c r="A1691" s="37"/>
    </row>
    <row r="1692" spans="1:1" x14ac:dyDescent="0.15">
      <c r="A1692" s="37"/>
    </row>
    <row r="1693" spans="1:1" x14ac:dyDescent="0.15">
      <c r="A1693" s="37"/>
    </row>
    <row r="1694" spans="1:1" x14ac:dyDescent="0.15">
      <c r="A1694" s="37"/>
    </row>
    <row r="1695" spans="1:1" x14ac:dyDescent="0.15">
      <c r="A1695" s="37"/>
    </row>
    <row r="1696" spans="1:1" x14ac:dyDescent="0.15">
      <c r="A1696" s="37"/>
    </row>
    <row r="1697" spans="1:1" x14ac:dyDescent="0.15">
      <c r="A1697" s="37"/>
    </row>
    <row r="1698" spans="1:1" x14ac:dyDescent="0.15">
      <c r="A1698" s="37"/>
    </row>
    <row r="1699" spans="1:1" x14ac:dyDescent="0.15">
      <c r="A1699" s="37"/>
    </row>
    <row r="1700" spans="1:1" x14ac:dyDescent="0.15">
      <c r="A1700" s="37"/>
    </row>
    <row r="1701" spans="1:1" x14ac:dyDescent="0.15">
      <c r="A1701" s="37"/>
    </row>
    <row r="1702" spans="1:1" x14ac:dyDescent="0.15">
      <c r="A1702" s="37"/>
    </row>
    <row r="1703" spans="1:1" x14ac:dyDescent="0.15">
      <c r="A1703" s="37"/>
    </row>
    <row r="1704" spans="1:1" x14ac:dyDescent="0.15">
      <c r="A1704" s="37"/>
    </row>
    <row r="1705" spans="1:1" x14ac:dyDescent="0.15">
      <c r="A1705" s="37"/>
    </row>
    <row r="1706" spans="1:1" x14ac:dyDescent="0.15">
      <c r="A1706" s="37"/>
    </row>
    <row r="1707" spans="1:1" x14ac:dyDescent="0.15">
      <c r="A1707" s="37"/>
    </row>
    <row r="1708" spans="1:1" x14ac:dyDescent="0.15">
      <c r="A1708" s="37"/>
    </row>
    <row r="1709" spans="1:1" x14ac:dyDescent="0.15">
      <c r="A1709" s="37"/>
    </row>
    <row r="1710" spans="1:1" x14ac:dyDescent="0.15">
      <c r="A1710" s="37"/>
    </row>
    <row r="1711" spans="1:1" x14ac:dyDescent="0.15">
      <c r="A1711" s="37"/>
    </row>
    <row r="1712" spans="1:1" x14ac:dyDescent="0.15">
      <c r="A1712" s="37"/>
    </row>
    <row r="1713" spans="1:1" x14ac:dyDescent="0.15">
      <c r="A1713" s="37"/>
    </row>
    <row r="1714" spans="1:1" x14ac:dyDescent="0.15">
      <c r="A1714" s="37"/>
    </row>
    <row r="1715" spans="1:1" x14ac:dyDescent="0.15">
      <c r="A1715" s="37"/>
    </row>
    <row r="1716" spans="1:1" x14ac:dyDescent="0.15">
      <c r="A1716" s="37"/>
    </row>
    <row r="1717" spans="1:1" x14ac:dyDescent="0.15">
      <c r="A1717" s="37"/>
    </row>
    <row r="1718" spans="1:1" x14ac:dyDescent="0.15">
      <c r="A1718" s="37"/>
    </row>
    <row r="1719" spans="1:1" x14ac:dyDescent="0.15">
      <c r="A1719" s="37"/>
    </row>
    <row r="1720" spans="1:1" x14ac:dyDescent="0.15">
      <c r="A1720" s="37"/>
    </row>
    <row r="1721" spans="1:1" x14ac:dyDescent="0.15">
      <c r="A1721" s="37"/>
    </row>
    <row r="1722" spans="1:1" x14ac:dyDescent="0.15">
      <c r="A1722" s="37"/>
    </row>
    <row r="1723" spans="1:1" x14ac:dyDescent="0.15">
      <c r="A1723" s="37"/>
    </row>
    <row r="1724" spans="1:1" x14ac:dyDescent="0.15">
      <c r="A1724" s="37"/>
    </row>
    <row r="1725" spans="1:1" x14ac:dyDescent="0.15">
      <c r="A1725" s="37"/>
    </row>
    <row r="1726" spans="1:1" x14ac:dyDescent="0.15">
      <c r="A1726" s="37"/>
    </row>
    <row r="1727" spans="1:1" x14ac:dyDescent="0.15">
      <c r="A1727" s="37"/>
    </row>
    <row r="1728" spans="1:1" x14ac:dyDescent="0.15">
      <c r="A1728" s="37"/>
    </row>
    <row r="1729" spans="1:1" x14ac:dyDescent="0.15">
      <c r="A1729" s="37"/>
    </row>
    <row r="1730" spans="1:1" x14ac:dyDescent="0.15">
      <c r="A1730" s="37"/>
    </row>
    <row r="1731" spans="1:1" x14ac:dyDescent="0.15">
      <c r="A1731" s="37"/>
    </row>
    <row r="1732" spans="1:1" x14ac:dyDescent="0.15">
      <c r="A1732" s="37"/>
    </row>
    <row r="1733" spans="1:1" x14ac:dyDescent="0.15">
      <c r="A1733" s="37"/>
    </row>
    <row r="1734" spans="1:1" x14ac:dyDescent="0.15">
      <c r="A1734" s="37"/>
    </row>
    <row r="1735" spans="1:1" x14ac:dyDescent="0.15">
      <c r="A1735" s="37"/>
    </row>
    <row r="1736" spans="1:1" x14ac:dyDescent="0.15">
      <c r="A1736" s="37"/>
    </row>
    <row r="1737" spans="1:1" x14ac:dyDescent="0.15">
      <c r="A1737" s="37"/>
    </row>
    <row r="1738" spans="1:1" x14ac:dyDescent="0.15">
      <c r="A1738" s="37"/>
    </row>
    <row r="1739" spans="1:1" x14ac:dyDescent="0.15">
      <c r="A1739" s="37"/>
    </row>
    <row r="1740" spans="1:1" x14ac:dyDescent="0.15">
      <c r="A1740" s="37"/>
    </row>
    <row r="1741" spans="1:1" x14ac:dyDescent="0.15">
      <c r="A1741" s="37"/>
    </row>
    <row r="1742" spans="1:1" x14ac:dyDescent="0.15">
      <c r="A1742" s="37"/>
    </row>
    <row r="1743" spans="1:1" x14ac:dyDescent="0.15">
      <c r="A1743" s="37"/>
    </row>
    <row r="1744" spans="1:1" x14ac:dyDescent="0.15">
      <c r="A1744" s="37"/>
    </row>
    <row r="1745" spans="1:1" x14ac:dyDescent="0.15">
      <c r="A1745" s="37"/>
    </row>
    <row r="1746" spans="1:1" x14ac:dyDescent="0.15">
      <c r="A1746" s="37"/>
    </row>
    <row r="1747" spans="1:1" x14ac:dyDescent="0.15">
      <c r="A1747" s="37"/>
    </row>
    <row r="1748" spans="1:1" x14ac:dyDescent="0.15">
      <c r="A1748" s="37"/>
    </row>
    <row r="1749" spans="1:1" x14ac:dyDescent="0.15">
      <c r="A1749" s="37"/>
    </row>
    <row r="1750" spans="1:1" x14ac:dyDescent="0.15">
      <c r="A1750" s="37"/>
    </row>
    <row r="1751" spans="1:1" x14ac:dyDescent="0.15">
      <c r="A1751" s="37"/>
    </row>
    <row r="1752" spans="1:1" x14ac:dyDescent="0.15">
      <c r="A1752" s="37"/>
    </row>
    <row r="1753" spans="1:1" x14ac:dyDescent="0.15">
      <c r="A1753" s="37"/>
    </row>
    <row r="1754" spans="1:1" x14ac:dyDescent="0.15">
      <c r="A1754" s="37"/>
    </row>
    <row r="1755" spans="1:1" x14ac:dyDescent="0.15">
      <c r="A1755" s="37"/>
    </row>
    <row r="1756" spans="1:1" x14ac:dyDescent="0.15">
      <c r="A1756" s="37"/>
    </row>
    <row r="1757" spans="1:1" x14ac:dyDescent="0.15">
      <c r="A1757" s="37"/>
    </row>
    <row r="1758" spans="1:1" x14ac:dyDescent="0.15">
      <c r="A1758" s="37"/>
    </row>
    <row r="1759" spans="1:1" x14ac:dyDescent="0.15">
      <c r="A1759" s="37"/>
    </row>
    <row r="1760" spans="1:1" x14ac:dyDescent="0.15">
      <c r="A1760" s="37"/>
    </row>
    <row r="1761" spans="1:1" x14ac:dyDescent="0.15">
      <c r="A1761" s="37"/>
    </row>
    <row r="1762" spans="1:1" x14ac:dyDescent="0.15">
      <c r="A1762" s="37"/>
    </row>
    <row r="1763" spans="1:1" x14ac:dyDescent="0.15">
      <c r="A1763" s="37"/>
    </row>
    <row r="1764" spans="1:1" x14ac:dyDescent="0.15">
      <c r="A1764" s="37"/>
    </row>
    <row r="1765" spans="1:1" x14ac:dyDescent="0.15">
      <c r="A1765" s="37"/>
    </row>
    <row r="1766" spans="1:1" x14ac:dyDescent="0.15">
      <c r="A1766" s="37"/>
    </row>
    <row r="1767" spans="1:1" x14ac:dyDescent="0.15">
      <c r="A1767" s="37"/>
    </row>
    <row r="1768" spans="1:1" x14ac:dyDescent="0.15">
      <c r="A1768" s="37"/>
    </row>
    <row r="1769" spans="1:1" x14ac:dyDescent="0.15">
      <c r="A1769" s="37"/>
    </row>
    <row r="1770" spans="1:1" x14ac:dyDescent="0.15">
      <c r="A1770" s="37"/>
    </row>
    <row r="1771" spans="1:1" x14ac:dyDescent="0.15">
      <c r="A1771" s="37"/>
    </row>
    <row r="1772" spans="1:1" x14ac:dyDescent="0.15">
      <c r="A1772" s="37"/>
    </row>
    <row r="1773" spans="1:1" x14ac:dyDescent="0.15">
      <c r="A1773" s="37"/>
    </row>
    <row r="1774" spans="1:1" x14ac:dyDescent="0.15">
      <c r="A1774" s="37"/>
    </row>
    <row r="1775" spans="1:1" x14ac:dyDescent="0.15">
      <c r="A1775" s="37"/>
    </row>
    <row r="1776" spans="1:1" x14ac:dyDescent="0.15">
      <c r="A1776" s="37"/>
    </row>
    <row r="1777" spans="1:1" x14ac:dyDescent="0.15">
      <c r="A1777" s="37"/>
    </row>
    <row r="1778" spans="1:1" x14ac:dyDescent="0.15">
      <c r="A1778" s="37"/>
    </row>
    <row r="1779" spans="1:1" x14ac:dyDescent="0.15">
      <c r="A1779" s="37"/>
    </row>
    <row r="1780" spans="1:1" x14ac:dyDescent="0.15">
      <c r="A1780" s="37"/>
    </row>
    <row r="1781" spans="1:1" x14ac:dyDescent="0.15">
      <c r="A1781" s="37"/>
    </row>
    <row r="1782" spans="1:1" x14ac:dyDescent="0.15">
      <c r="A1782" s="37"/>
    </row>
    <row r="1783" spans="1:1" x14ac:dyDescent="0.15">
      <c r="A1783" s="37"/>
    </row>
    <row r="1784" spans="1:1" x14ac:dyDescent="0.15">
      <c r="A1784" s="37"/>
    </row>
    <row r="1785" spans="1:1" x14ac:dyDescent="0.15">
      <c r="A1785" s="37"/>
    </row>
    <row r="1786" spans="1:1" x14ac:dyDescent="0.15">
      <c r="A1786" s="37"/>
    </row>
    <row r="1787" spans="1:1" x14ac:dyDescent="0.15">
      <c r="A1787" s="37"/>
    </row>
    <row r="1788" spans="1:1" x14ac:dyDescent="0.15">
      <c r="A1788" s="37"/>
    </row>
    <row r="1789" spans="1:1" x14ac:dyDescent="0.15">
      <c r="A1789" s="37"/>
    </row>
    <row r="1790" spans="1:1" x14ac:dyDescent="0.15">
      <c r="A1790" s="37"/>
    </row>
    <row r="1791" spans="1:1" x14ac:dyDescent="0.15">
      <c r="A1791" s="37"/>
    </row>
    <row r="1792" spans="1:1" x14ac:dyDescent="0.15">
      <c r="A1792" s="37"/>
    </row>
    <row r="1793" spans="1:1" x14ac:dyDescent="0.15">
      <c r="A1793" s="37"/>
    </row>
    <row r="1794" spans="1:1" x14ac:dyDescent="0.15">
      <c r="A1794" s="37"/>
    </row>
    <row r="1795" spans="1:1" x14ac:dyDescent="0.15">
      <c r="A1795" s="37"/>
    </row>
    <row r="1796" spans="1:1" x14ac:dyDescent="0.15">
      <c r="A1796" s="37"/>
    </row>
    <row r="1797" spans="1:1" x14ac:dyDescent="0.15">
      <c r="A1797" s="37"/>
    </row>
    <row r="1798" spans="1:1" x14ac:dyDescent="0.15">
      <c r="A1798" s="37"/>
    </row>
    <row r="1799" spans="1:1" x14ac:dyDescent="0.15">
      <c r="A1799" s="37"/>
    </row>
    <row r="1800" spans="1:1" x14ac:dyDescent="0.15">
      <c r="A1800" s="37"/>
    </row>
    <row r="1801" spans="1:1" x14ac:dyDescent="0.15">
      <c r="A1801" s="37"/>
    </row>
    <row r="1802" spans="1:1" x14ac:dyDescent="0.15">
      <c r="A1802" s="37"/>
    </row>
    <row r="1803" spans="1:1" x14ac:dyDescent="0.15">
      <c r="A1803" s="37"/>
    </row>
    <row r="1804" spans="1:1" x14ac:dyDescent="0.15">
      <c r="A1804" s="37"/>
    </row>
    <row r="1805" spans="1:1" x14ac:dyDescent="0.15">
      <c r="A1805" s="37"/>
    </row>
    <row r="1806" spans="1:1" x14ac:dyDescent="0.15">
      <c r="A1806" s="37"/>
    </row>
    <row r="1807" spans="1:1" x14ac:dyDescent="0.15">
      <c r="A1807" s="37"/>
    </row>
    <row r="1808" spans="1:1" x14ac:dyDescent="0.15">
      <c r="A1808" s="37"/>
    </row>
    <row r="1809" spans="1:1" x14ac:dyDescent="0.15">
      <c r="A1809" s="37"/>
    </row>
    <row r="1810" spans="1:1" x14ac:dyDescent="0.15">
      <c r="A1810" s="37"/>
    </row>
    <row r="1811" spans="1:1" x14ac:dyDescent="0.15">
      <c r="A1811" s="37"/>
    </row>
    <row r="1812" spans="1:1" x14ac:dyDescent="0.15">
      <c r="A1812" s="37"/>
    </row>
    <row r="1813" spans="1:1" x14ac:dyDescent="0.15">
      <c r="A1813" s="37"/>
    </row>
    <row r="1814" spans="1:1" x14ac:dyDescent="0.15">
      <c r="A1814" s="37"/>
    </row>
    <row r="1815" spans="1:1" x14ac:dyDescent="0.15">
      <c r="A1815" s="37"/>
    </row>
    <row r="1816" spans="1:1" x14ac:dyDescent="0.15">
      <c r="A1816" s="37"/>
    </row>
    <row r="1817" spans="1:1" x14ac:dyDescent="0.15">
      <c r="A1817" s="37"/>
    </row>
    <row r="1818" spans="1:1" x14ac:dyDescent="0.15">
      <c r="A1818" s="37"/>
    </row>
    <row r="1819" spans="1:1" x14ac:dyDescent="0.15">
      <c r="A1819" s="37"/>
    </row>
    <row r="1820" spans="1:1" x14ac:dyDescent="0.15">
      <c r="A1820" s="37"/>
    </row>
    <row r="1821" spans="1:1" x14ac:dyDescent="0.15">
      <c r="A1821" s="37"/>
    </row>
    <row r="1822" spans="1:1" x14ac:dyDescent="0.15">
      <c r="A1822" s="37"/>
    </row>
    <row r="1823" spans="1:1" x14ac:dyDescent="0.15">
      <c r="A1823" s="37"/>
    </row>
    <row r="1824" spans="1:1" x14ac:dyDescent="0.15">
      <c r="A1824" s="37"/>
    </row>
    <row r="1825" spans="1:1" x14ac:dyDescent="0.15">
      <c r="A1825" s="37"/>
    </row>
    <row r="1826" spans="1:1" x14ac:dyDescent="0.15">
      <c r="A1826" s="37"/>
    </row>
    <row r="1827" spans="1:1" x14ac:dyDescent="0.15">
      <c r="A1827" s="37"/>
    </row>
    <row r="1828" spans="1:1" x14ac:dyDescent="0.15">
      <c r="A1828" s="37"/>
    </row>
    <row r="1829" spans="1:1" x14ac:dyDescent="0.15">
      <c r="A1829" s="37"/>
    </row>
    <row r="1830" spans="1:1" x14ac:dyDescent="0.15">
      <c r="A1830" s="37"/>
    </row>
    <row r="1831" spans="1:1" x14ac:dyDescent="0.15">
      <c r="A1831" s="37"/>
    </row>
    <row r="1832" spans="1:1" x14ac:dyDescent="0.15">
      <c r="A1832" s="37"/>
    </row>
    <row r="1833" spans="1:1" x14ac:dyDescent="0.15">
      <c r="A1833" s="37"/>
    </row>
    <row r="1834" spans="1:1" x14ac:dyDescent="0.15">
      <c r="A1834" s="37"/>
    </row>
    <row r="1835" spans="1:1" x14ac:dyDescent="0.15">
      <c r="A1835" s="37"/>
    </row>
    <row r="1836" spans="1:1" x14ac:dyDescent="0.15">
      <c r="A1836" s="37"/>
    </row>
    <row r="1837" spans="1:1" x14ac:dyDescent="0.15">
      <c r="A1837" s="37"/>
    </row>
    <row r="1838" spans="1:1" x14ac:dyDescent="0.15">
      <c r="A1838" s="37"/>
    </row>
    <row r="1839" spans="1:1" x14ac:dyDescent="0.15">
      <c r="A1839" s="37"/>
    </row>
    <row r="1840" spans="1:1" x14ac:dyDescent="0.15">
      <c r="A1840" s="37"/>
    </row>
    <row r="1841" spans="1:1" x14ac:dyDescent="0.15">
      <c r="A1841" s="37"/>
    </row>
    <row r="1842" spans="1:1" x14ac:dyDescent="0.15">
      <c r="A1842" s="37"/>
    </row>
    <row r="1843" spans="1:1" x14ac:dyDescent="0.15">
      <c r="A1843" s="37"/>
    </row>
    <row r="1844" spans="1:1" x14ac:dyDescent="0.15">
      <c r="A1844" s="37"/>
    </row>
    <row r="1845" spans="1:1" x14ac:dyDescent="0.15">
      <c r="A1845" s="37"/>
    </row>
    <row r="1846" spans="1:1" x14ac:dyDescent="0.15">
      <c r="A1846" s="37"/>
    </row>
    <row r="1847" spans="1:1" x14ac:dyDescent="0.15">
      <c r="A1847" s="37"/>
    </row>
    <row r="1848" spans="1:1" x14ac:dyDescent="0.15">
      <c r="A1848" s="37"/>
    </row>
    <row r="1849" spans="1:1" x14ac:dyDescent="0.15">
      <c r="A1849" s="37"/>
    </row>
    <row r="1850" spans="1:1" x14ac:dyDescent="0.15">
      <c r="A1850" s="37"/>
    </row>
    <row r="1851" spans="1:1" x14ac:dyDescent="0.15">
      <c r="A1851" s="37"/>
    </row>
    <row r="1852" spans="1:1" x14ac:dyDescent="0.15">
      <c r="A1852" s="37"/>
    </row>
    <row r="1853" spans="1:1" x14ac:dyDescent="0.15">
      <c r="A1853" s="37"/>
    </row>
    <row r="1854" spans="1:1" x14ac:dyDescent="0.15">
      <c r="A1854" s="37"/>
    </row>
    <row r="1855" spans="1:1" x14ac:dyDescent="0.15">
      <c r="A1855" s="37"/>
    </row>
    <row r="1856" spans="1:1" x14ac:dyDescent="0.15">
      <c r="A1856" s="37"/>
    </row>
    <row r="1857" spans="1:1" x14ac:dyDescent="0.15">
      <c r="A1857" s="37"/>
    </row>
    <row r="1858" spans="1:1" x14ac:dyDescent="0.15">
      <c r="A1858" s="37"/>
    </row>
    <row r="1859" spans="1:1" x14ac:dyDescent="0.15">
      <c r="A1859" s="37"/>
    </row>
    <row r="1860" spans="1:1" x14ac:dyDescent="0.15">
      <c r="A1860" s="37"/>
    </row>
    <row r="1861" spans="1:1" x14ac:dyDescent="0.15">
      <c r="A1861" s="37"/>
    </row>
    <row r="1862" spans="1:1" x14ac:dyDescent="0.15">
      <c r="A1862" s="37"/>
    </row>
    <row r="1863" spans="1:1" x14ac:dyDescent="0.15">
      <c r="A1863" s="37"/>
    </row>
    <row r="1864" spans="1:1" x14ac:dyDescent="0.15">
      <c r="A1864" s="37"/>
    </row>
    <row r="1865" spans="1:1" x14ac:dyDescent="0.15">
      <c r="A1865" s="37"/>
    </row>
    <row r="1866" spans="1:1" x14ac:dyDescent="0.15">
      <c r="A1866" s="37"/>
    </row>
    <row r="1867" spans="1:1" x14ac:dyDescent="0.15">
      <c r="A1867" s="37"/>
    </row>
    <row r="1868" spans="1:1" x14ac:dyDescent="0.15">
      <c r="A1868" s="37"/>
    </row>
    <row r="1869" spans="1:1" x14ac:dyDescent="0.15">
      <c r="A1869" s="37"/>
    </row>
    <row r="1870" spans="1:1" x14ac:dyDescent="0.15">
      <c r="A1870" s="37"/>
    </row>
    <row r="1871" spans="1:1" x14ac:dyDescent="0.15">
      <c r="A1871" s="37"/>
    </row>
    <row r="1872" spans="1:1" x14ac:dyDescent="0.15">
      <c r="A1872" s="37"/>
    </row>
    <row r="1873" spans="1:1" x14ac:dyDescent="0.15">
      <c r="A1873" s="37"/>
    </row>
    <row r="1874" spans="1:1" x14ac:dyDescent="0.15">
      <c r="A1874" s="37"/>
    </row>
    <row r="1875" spans="1:1" x14ac:dyDescent="0.15">
      <c r="A1875" s="37"/>
    </row>
    <row r="1876" spans="1:1" x14ac:dyDescent="0.15">
      <c r="A1876" s="37"/>
    </row>
    <row r="1877" spans="1:1" x14ac:dyDescent="0.15">
      <c r="A1877" s="37"/>
    </row>
    <row r="1878" spans="1:1" x14ac:dyDescent="0.15">
      <c r="A1878" s="37"/>
    </row>
    <row r="1879" spans="1:1" x14ac:dyDescent="0.15">
      <c r="A1879" s="37"/>
    </row>
    <row r="1880" spans="1:1" x14ac:dyDescent="0.15">
      <c r="A1880" s="37"/>
    </row>
    <row r="1881" spans="1:1" x14ac:dyDescent="0.15">
      <c r="A1881" s="37"/>
    </row>
    <row r="1882" spans="1:1" x14ac:dyDescent="0.15">
      <c r="A1882" s="37"/>
    </row>
    <row r="1883" spans="1:1" x14ac:dyDescent="0.15">
      <c r="A1883" s="37"/>
    </row>
    <row r="1884" spans="1:1" x14ac:dyDescent="0.15">
      <c r="A1884" s="37"/>
    </row>
    <row r="1885" spans="1:1" x14ac:dyDescent="0.15">
      <c r="A1885" s="37"/>
    </row>
    <row r="1886" spans="1:1" x14ac:dyDescent="0.15">
      <c r="A1886" s="37"/>
    </row>
    <row r="1887" spans="1:1" x14ac:dyDescent="0.15">
      <c r="A1887" s="37"/>
    </row>
    <row r="1888" spans="1:1" x14ac:dyDescent="0.15">
      <c r="A1888" s="37"/>
    </row>
    <row r="1889" spans="1:1" x14ac:dyDescent="0.15">
      <c r="A1889" s="37"/>
    </row>
    <row r="1890" spans="1:1" x14ac:dyDescent="0.15">
      <c r="A1890" s="37"/>
    </row>
    <row r="1891" spans="1:1" x14ac:dyDescent="0.15">
      <c r="A1891" s="37"/>
    </row>
    <row r="1892" spans="1:1" x14ac:dyDescent="0.15">
      <c r="A1892" s="37"/>
    </row>
    <row r="1893" spans="1:1" x14ac:dyDescent="0.15">
      <c r="A1893" s="37"/>
    </row>
    <row r="1894" spans="1:1" x14ac:dyDescent="0.15">
      <c r="A1894" s="37"/>
    </row>
    <row r="1895" spans="1:1" x14ac:dyDescent="0.15">
      <c r="A1895" s="37"/>
    </row>
    <row r="1896" spans="1:1" x14ac:dyDescent="0.15">
      <c r="A1896" s="37"/>
    </row>
    <row r="1897" spans="1:1" x14ac:dyDescent="0.15">
      <c r="A1897" s="37"/>
    </row>
    <row r="1898" spans="1:1" x14ac:dyDescent="0.15">
      <c r="A1898" s="37"/>
    </row>
    <row r="1899" spans="1:1" x14ac:dyDescent="0.15">
      <c r="A1899" s="37"/>
    </row>
    <row r="1900" spans="1:1" x14ac:dyDescent="0.15">
      <c r="A1900" s="37"/>
    </row>
    <row r="1901" spans="1:1" x14ac:dyDescent="0.15">
      <c r="A1901" s="37"/>
    </row>
    <row r="1902" spans="1:1" x14ac:dyDescent="0.15">
      <c r="A1902" s="37"/>
    </row>
    <row r="1903" spans="1:1" x14ac:dyDescent="0.15">
      <c r="A1903" s="37"/>
    </row>
    <row r="1904" spans="1:1" x14ac:dyDescent="0.15">
      <c r="A1904" s="37"/>
    </row>
    <row r="1905" spans="1:1" x14ac:dyDescent="0.15">
      <c r="A1905" s="37"/>
    </row>
    <row r="1906" spans="1:1" x14ac:dyDescent="0.15">
      <c r="A1906" s="37"/>
    </row>
    <row r="1907" spans="1:1" x14ac:dyDescent="0.15">
      <c r="A1907" s="37"/>
    </row>
    <row r="1908" spans="1:1" x14ac:dyDescent="0.15">
      <c r="A1908" s="37"/>
    </row>
    <row r="1909" spans="1:1" x14ac:dyDescent="0.15">
      <c r="A1909" s="37"/>
    </row>
    <row r="1910" spans="1:1" x14ac:dyDescent="0.15">
      <c r="A1910" s="37"/>
    </row>
    <row r="1911" spans="1:1" x14ac:dyDescent="0.15">
      <c r="A1911" s="37"/>
    </row>
    <row r="1912" spans="1:1" x14ac:dyDescent="0.15">
      <c r="A1912" s="37"/>
    </row>
    <row r="1913" spans="1:1" x14ac:dyDescent="0.15">
      <c r="A1913" s="37"/>
    </row>
    <row r="1914" spans="1:1" x14ac:dyDescent="0.15">
      <c r="A1914" s="37"/>
    </row>
    <row r="1915" spans="1:1" x14ac:dyDescent="0.15">
      <c r="A1915" s="37"/>
    </row>
    <row r="1916" spans="1:1" x14ac:dyDescent="0.15">
      <c r="A1916" s="37"/>
    </row>
    <row r="1917" spans="1:1" x14ac:dyDescent="0.15">
      <c r="A1917" s="37"/>
    </row>
    <row r="1918" spans="1:1" x14ac:dyDescent="0.15">
      <c r="A1918" s="37"/>
    </row>
    <row r="1919" spans="1:1" x14ac:dyDescent="0.15">
      <c r="A1919" s="37"/>
    </row>
    <row r="1920" spans="1:1" x14ac:dyDescent="0.15">
      <c r="A1920" s="37"/>
    </row>
    <row r="1921" spans="1:1" x14ac:dyDescent="0.15">
      <c r="A1921" s="37"/>
    </row>
    <row r="1922" spans="1:1" x14ac:dyDescent="0.15">
      <c r="A1922" s="37"/>
    </row>
    <row r="1923" spans="1:1" x14ac:dyDescent="0.15">
      <c r="A1923" s="37"/>
    </row>
    <row r="1924" spans="1:1" x14ac:dyDescent="0.15">
      <c r="A1924" s="37"/>
    </row>
    <row r="1925" spans="1:1" x14ac:dyDescent="0.15">
      <c r="A1925" s="37"/>
    </row>
    <row r="1926" spans="1:1" x14ac:dyDescent="0.15">
      <c r="A1926" s="37"/>
    </row>
    <row r="1927" spans="1:1" x14ac:dyDescent="0.15">
      <c r="A1927" s="37"/>
    </row>
    <row r="1928" spans="1:1" x14ac:dyDescent="0.15">
      <c r="A1928" s="37"/>
    </row>
    <row r="1929" spans="1:1" x14ac:dyDescent="0.15">
      <c r="A1929" s="37"/>
    </row>
    <row r="1930" spans="1:1" x14ac:dyDescent="0.15">
      <c r="A1930" s="37"/>
    </row>
    <row r="1931" spans="1:1" x14ac:dyDescent="0.15">
      <c r="A1931" s="37"/>
    </row>
    <row r="1932" spans="1:1" x14ac:dyDescent="0.15">
      <c r="A1932" s="37"/>
    </row>
    <row r="1933" spans="1:1" x14ac:dyDescent="0.15">
      <c r="A1933" s="37"/>
    </row>
    <row r="1934" spans="1:1" x14ac:dyDescent="0.15">
      <c r="A1934" s="37"/>
    </row>
    <row r="1935" spans="1:1" x14ac:dyDescent="0.15">
      <c r="A1935" s="37"/>
    </row>
    <row r="1936" spans="1:1" x14ac:dyDescent="0.15">
      <c r="A1936" s="37"/>
    </row>
    <row r="1937" spans="1:1" x14ac:dyDescent="0.15">
      <c r="A1937" s="37"/>
    </row>
    <row r="1938" spans="1:1" x14ac:dyDescent="0.15">
      <c r="A1938" s="37"/>
    </row>
    <row r="1939" spans="1:1" x14ac:dyDescent="0.15">
      <c r="A1939" s="37"/>
    </row>
    <row r="1940" spans="1:1" x14ac:dyDescent="0.15">
      <c r="A1940" s="37"/>
    </row>
    <row r="1941" spans="1:1" x14ac:dyDescent="0.15">
      <c r="A1941" s="37"/>
    </row>
    <row r="1942" spans="1:1" x14ac:dyDescent="0.15">
      <c r="A1942" s="37"/>
    </row>
    <row r="1943" spans="1:1" x14ac:dyDescent="0.15">
      <c r="A1943" s="37"/>
    </row>
    <row r="1944" spans="1:1" x14ac:dyDescent="0.15">
      <c r="A1944" s="37"/>
    </row>
    <row r="1945" spans="1:1" x14ac:dyDescent="0.15">
      <c r="A1945" s="37"/>
    </row>
    <row r="1946" spans="1:1" x14ac:dyDescent="0.15">
      <c r="A1946" s="37"/>
    </row>
    <row r="1947" spans="1:1" x14ac:dyDescent="0.15">
      <c r="A1947" s="37"/>
    </row>
    <row r="1948" spans="1:1" x14ac:dyDescent="0.15">
      <c r="A1948" s="37"/>
    </row>
    <row r="1949" spans="1:1" x14ac:dyDescent="0.15">
      <c r="A1949" s="37"/>
    </row>
    <row r="1950" spans="1:1" x14ac:dyDescent="0.15">
      <c r="A1950" s="37"/>
    </row>
    <row r="1951" spans="1:1" x14ac:dyDescent="0.15">
      <c r="A1951" s="37"/>
    </row>
    <row r="1952" spans="1:1" x14ac:dyDescent="0.15">
      <c r="A1952" s="37"/>
    </row>
    <row r="1953" spans="1:1" x14ac:dyDescent="0.15">
      <c r="A1953" s="37"/>
    </row>
    <row r="1954" spans="1:1" x14ac:dyDescent="0.15">
      <c r="A1954" s="37"/>
    </row>
    <row r="1955" spans="1:1" x14ac:dyDescent="0.15">
      <c r="A1955" s="37"/>
    </row>
    <row r="1956" spans="1:1" x14ac:dyDescent="0.15">
      <c r="A1956" s="37"/>
    </row>
    <row r="1957" spans="1:1" x14ac:dyDescent="0.15">
      <c r="A1957" s="37"/>
    </row>
    <row r="1958" spans="1:1" x14ac:dyDescent="0.15">
      <c r="A1958" s="37"/>
    </row>
    <row r="1959" spans="1:1" x14ac:dyDescent="0.15">
      <c r="A1959" s="37"/>
    </row>
    <row r="1960" spans="1:1" x14ac:dyDescent="0.15">
      <c r="A1960" s="37"/>
    </row>
    <row r="1961" spans="1:1" x14ac:dyDescent="0.15">
      <c r="A1961" s="37"/>
    </row>
    <row r="1962" spans="1:1" x14ac:dyDescent="0.15">
      <c r="A1962" s="37"/>
    </row>
    <row r="1963" spans="1:1" x14ac:dyDescent="0.15">
      <c r="A1963" s="37"/>
    </row>
    <row r="1964" spans="1:1" x14ac:dyDescent="0.15">
      <c r="A1964" s="37"/>
    </row>
    <row r="1965" spans="1:1" x14ac:dyDescent="0.15">
      <c r="A1965" s="37"/>
    </row>
    <row r="1966" spans="1:1" x14ac:dyDescent="0.15">
      <c r="A1966" s="37"/>
    </row>
    <row r="1967" spans="1:1" x14ac:dyDescent="0.15">
      <c r="A1967" s="37"/>
    </row>
    <row r="1968" spans="1:1" x14ac:dyDescent="0.15">
      <c r="A1968" s="37"/>
    </row>
    <row r="1969" spans="1:1" x14ac:dyDescent="0.15">
      <c r="A1969" s="37"/>
    </row>
    <row r="1970" spans="1:1" x14ac:dyDescent="0.15">
      <c r="A1970" s="37"/>
    </row>
    <row r="1971" spans="1:1" x14ac:dyDescent="0.15">
      <c r="A1971" s="37"/>
    </row>
    <row r="1972" spans="1:1" x14ac:dyDescent="0.15">
      <c r="A1972" s="37"/>
    </row>
    <row r="1973" spans="1:1" x14ac:dyDescent="0.15">
      <c r="A1973" s="37"/>
    </row>
    <row r="1974" spans="1:1" x14ac:dyDescent="0.15">
      <c r="A1974" s="37"/>
    </row>
    <row r="1975" spans="1:1" x14ac:dyDescent="0.15">
      <c r="A1975" s="37"/>
    </row>
    <row r="1976" spans="1:1" x14ac:dyDescent="0.15">
      <c r="A1976" s="37"/>
    </row>
    <row r="1977" spans="1:1" x14ac:dyDescent="0.15">
      <c r="A1977" s="37"/>
    </row>
    <row r="1978" spans="1:1" x14ac:dyDescent="0.15">
      <c r="A1978" s="37"/>
    </row>
    <row r="1979" spans="1:1" x14ac:dyDescent="0.15">
      <c r="A1979" s="37"/>
    </row>
    <row r="1980" spans="1:1" x14ac:dyDescent="0.15">
      <c r="A1980" s="37"/>
    </row>
    <row r="1981" spans="1:1" x14ac:dyDescent="0.15">
      <c r="A1981" s="37"/>
    </row>
    <row r="1982" spans="1:1" x14ac:dyDescent="0.15">
      <c r="A1982" s="37"/>
    </row>
    <row r="1983" spans="1:1" x14ac:dyDescent="0.15">
      <c r="A1983" s="37"/>
    </row>
    <row r="1984" spans="1:1" x14ac:dyDescent="0.15">
      <c r="A1984" s="37"/>
    </row>
    <row r="1985" spans="1:1" x14ac:dyDescent="0.15">
      <c r="A1985" s="37"/>
    </row>
    <row r="1986" spans="1:1" x14ac:dyDescent="0.15">
      <c r="A1986" s="37"/>
    </row>
    <row r="1987" spans="1:1" x14ac:dyDescent="0.15">
      <c r="A1987" s="37"/>
    </row>
    <row r="1988" spans="1:1" x14ac:dyDescent="0.15">
      <c r="A1988" s="37"/>
    </row>
    <row r="1989" spans="1:1" x14ac:dyDescent="0.15">
      <c r="A1989" s="37"/>
    </row>
    <row r="1990" spans="1:1" x14ac:dyDescent="0.15">
      <c r="A1990" s="37"/>
    </row>
    <row r="1991" spans="1:1" x14ac:dyDescent="0.15">
      <c r="A1991" s="37"/>
    </row>
    <row r="1992" spans="1:1" x14ac:dyDescent="0.15">
      <c r="A1992" s="37"/>
    </row>
    <row r="1993" spans="1:1" x14ac:dyDescent="0.15">
      <c r="A1993" s="37"/>
    </row>
    <row r="1994" spans="1:1" x14ac:dyDescent="0.15">
      <c r="A1994" s="37"/>
    </row>
    <row r="1995" spans="1:1" x14ac:dyDescent="0.15">
      <c r="A1995" s="37"/>
    </row>
    <row r="1996" spans="1:1" x14ac:dyDescent="0.15">
      <c r="A1996" s="37"/>
    </row>
    <row r="1997" spans="1:1" x14ac:dyDescent="0.15">
      <c r="A1997" s="37"/>
    </row>
    <row r="1998" spans="1:1" x14ac:dyDescent="0.15">
      <c r="A1998" s="37"/>
    </row>
    <row r="1999" spans="1:1" x14ac:dyDescent="0.15">
      <c r="A1999" s="37"/>
    </row>
    <row r="2000" spans="1:1" x14ac:dyDescent="0.15">
      <c r="A2000" s="37"/>
    </row>
    <row r="2001" spans="1:1" x14ac:dyDescent="0.15">
      <c r="A2001" s="37"/>
    </row>
    <row r="2002" spans="1:1" x14ac:dyDescent="0.15">
      <c r="A2002" s="37"/>
    </row>
    <row r="2003" spans="1:1" x14ac:dyDescent="0.15">
      <c r="A2003" s="37"/>
    </row>
    <row r="2004" spans="1:1" x14ac:dyDescent="0.15">
      <c r="A2004" s="37"/>
    </row>
    <row r="2005" spans="1:1" x14ac:dyDescent="0.15">
      <c r="A2005" s="37"/>
    </row>
    <row r="2006" spans="1:1" x14ac:dyDescent="0.15">
      <c r="A2006" s="37"/>
    </row>
    <row r="2007" spans="1:1" x14ac:dyDescent="0.15">
      <c r="A2007" s="37"/>
    </row>
    <row r="2008" spans="1:1" x14ac:dyDescent="0.15">
      <c r="A2008" s="37"/>
    </row>
    <row r="2009" spans="1:1" x14ac:dyDescent="0.15">
      <c r="A2009" s="37"/>
    </row>
    <row r="2010" spans="1:1" x14ac:dyDescent="0.15">
      <c r="A2010" s="37"/>
    </row>
    <row r="2011" spans="1:1" x14ac:dyDescent="0.15">
      <c r="A2011" s="37"/>
    </row>
    <row r="2012" spans="1:1" x14ac:dyDescent="0.15">
      <c r="A2012" s="37"/>
    </row>
    <row r="2013" spans="1:1" x14ac:dyDescent="0.15">
      <c r="A2013" s="37"/>
    </row>
    <row r="2014" spans="1:1" x14ac:dyDescent="0.15">
      <c r="A2014" s="37"/>
    </row>
    <row r="2015" spans="1:1" x14ac:dyDescent="0.15">
      <c r="A2015" s="37"/>
    </row>
    <row r="2016" spans="1:1" x14ac:dyDescent="0.15">
      <c r="A2016" s="37"/>
    </row>
    <row r="2017" spans="1:1" x14ac:dyDescent="0.15">
      <c r="A2017" s="37"/>
    </row>
    <row r="2018" spans="1:1" x14ac:dyDescent="0.15">
      <c r="A2018" s="37"/>
    </row>
    <row r="2019" spans="1:1" x14ac:dyDescent="0.15">
      <c r="A2019" s="37"/>
    </row>
    <row r="2020" spans="1:1" x14ac:dyDescent="0.15">
      <c r="A2020" s="37"/>
    </row>
    <row r="2021" spans="1:1" x14ac:dyDescent="0.15">
      <c r="A2021" s="37"/>
    </row>
    <row r="2022" spans="1:1" x14ac:dyDescent="0.15">
      <c r="A2022" s="37"/>
    </row>
    <row r="2023" spans="1:1" x14ac:dyDescent="0.15">
      <c r="A2023" s="37"/>
    </row>
    <row r="2024" spans="1:1" x14ac:dyDescent="0.15">
      <c r="A2024" s="37"/>
    </row>
    <row r="2025" spans="1:1" x14ac:dyDescent="0.15">
      <c r="A2025" s="37"/>
    </row>
    <row r="2026" spans="1:1" x14ac:dyDescent="0.15">
      <c r="A2026" s="37"/>
    </row>
    <row r="2027" spans="1:1" x14ac:dyDescent="0.15">
      <c r="A2027" s="37"/>
    </row>
    <row r="2028" spans="1:1" x14ac:dyDescent="0.15">
      <c r="A2028" s="37"/>
    </row>
    <row r="2029" spans="1:1" x14ac:dyDescent="0.15">
      <c r="A2029" s="37"/>
    </row>
    <row r="2030" spans="1:1" x14ac:dyDescent="0.15">
      <c r="A2030" s="37"/>
    </row>
    <row r="2031" spans="1:1" x14ac:dyDescent="0.15">
      <c r="A2031" s="37"/>
    </row>
    <row r="2032" spans="1:1" x14ac:dyDescent="0.15">
      <c r="A2032" s="37"/>
    </row>
    <row r="2033" spans="1:1" x14ac:dyDescent="0.15">
      <c r="A2033" s="37"/>
    </row>
    <row r="2034" spans="1:1" x14ac:dyDescent="0.15">
      <c r="A2034" s="37"/>
    </row>
    <row r="2035" spans="1:1" x14ac:dyDescent="0.15">
      <c r="A2035" s="37"/>
    </row>
    <row r="2036" spans="1:1" x14ac:dyDescent="0.15">
      <c r="A2036" s="37"/>
    </row>
    <row r="2037" spans="1:1" x14ac:dyDescent="0.15">
      <c r="A2037" s="37"/>
    </row>
    <row r="2038" spans="1:1" x14ac:dyDescent="0.15">
      <c r="A2038" s="37"/>
    </row>
    <row r="2039" spans="1:1" x14ac:dyDescent="0.15">
      <c r="A2039" s="37"/>
    </row>
    <row r="2040" spans="1:1" x14ac:dyDescent="0.15">
      <c r="A2040" s="37"/>
    </row>
    <row r="2041" spans="1:1" x14ac:dyDescent="0.15">
      <c r="A2041" s="37"/>
    </row>
    <row r="2042" spans="1:1" x14ac:dyDescent="0.15">
      <c r="A2042" s="37"/>
    </row>
    <row r="2043" spans="1:1" x14ac:dyDescent="0.15">
      <c r="A2043" s="37"/>
    </row>
    <row r="2044" spans="1:1" x14ac:dyDescent="0.15">
      <c r="A2044" s="37"/>
    </row>
    <row r="2045" spans="1:1" x14ac:dyDescent="0.15">
      <c r="A2045" s="37"/>
    </row>
    <row r="2046" spans="1:1" x14ac:dyDescent="0.15">
      <c r="A2046" s="37"/>
    </row>
    <row r="2047" spans="1:1" x14ac:dyDescent="0.15">
      <c r="A2047" s="37"/>
    </row>
    <row r="2048" spans="1:1" x14ac:dyDescent="0.15">
      <c r="A2048" s="37"/>
    </row>
    <row r="2049" spans="1:1" x14ac:dyDescent="0.15">
      <c r="A2049" s="37"/>
    </row>
    <row r="2050" spans="1:1" x14ac:dyDescent="0.15">
      <c r="A2050" s="37"/>
    </row>
    <row r="2051" spans="1:1" x14ac:dyDescent="0.15">
      <c r="A2051" s="37"/>
    </row>
    <row r="2052" spans="1:1" x14ac:dyDescent="0.15">
      <c r="A2052" s="37"/>
    </row>
    <row r="2053" spans="1:1" x14ac:dyDescent="0.15">
      <c r="A2053" s="37"/>
    </row>
    <row r="2054" spans="1:1" x14ac:dyDescent="0.15">
      <c r="A2054" s="37"/>
    </row>
    <row r="2055" spans="1:1" x14ac:dyDescent="0.15">
      <c r="A2055" s="37"/>
    </row>
    <row r="2056" spans="1:1" x14ac:dyDescent="0.15">
      <c r="A2056" s="37"/>
    </row>
    <row r="2057" spans="1:1" x14ac:dyDescent="0.15">
      <c r="A2057" s="37"/>
    </row>
    <row r="2058" spans="1:1" x14ac:dyDescent="0.15">
      <c r="A2058" s="37"/>
    </row>
    <row r="2059" spans="1:1" x14ac:dyDescent="0.15">
      <c r="A2059" s="37"/>
    </row>
    <row r="2060" spans="1:1" x14ac:dyDescent="0.15">
      <c r="A2060" s="37"/>
    </row>
    <row r="2061" spans="1:1" x14ac:dyDescent="0.15">
      <c r="A2061" s="37"/>
    </row>
    <row r="2062" spans="1:1" x14ac:dyDescent="0.15">
      <c r="A2062" s="37"/>
    </row>
    <row r="2063" spans="1:1" x14ac:dyDescent="0.15">
      <c r="A2063" s="37"/>
    </row>
    <row r="2064" spans="1:1" x14ac:dyDescent="0.15">
      <c r="A2064" s="37"/>
    </row>
    <row r="2065" spans="1:1" x14ac:dyDescent="0.15">
      <c r="A2065" s="37"/>
    </row>
    <row r="2066" spans="1:1" x14ac:dyDescent="0.15">
      <c r="A2066" s="37"/>
    </row>
    <row r="2067" spans="1:1" x14ac:dyDescent="0.15">
      <c r="A2067" s="37"/>
    </row>
    <row r="2068" spans="1:1" x14ac:dyDescent="0.15">
      <c r="A2068" s="37"/>
    </row>
    <row r="2069" spans="1:1" x14ac:dyDescent="0.15">
      <c r="A2069" s="37"/>
    </row>
    <row r="2070" spans="1:1" x14ac:dyDescent="0.15">
      <c r="A2070" s="37"/>
    </row>
    <row r="2071" spans="1:1" x14ac:dyDescent="0.15">
      <c r="A2071" s="37"/>
    </row>
    <row r="2072" spans="1:1" x14ac:dyDescent="0.15">
      <c r="A2072" s="37"/>
    </row>
    <row r="2073" spans="1:1" x14ac:dyDescent="0.15">
      <c r="A2073" s="37"/>
    </row>
    <row r="2074" spans="1:1" x14ac:dyDescent="0.15">
      <c r="A2074" s="37"/>
    </row>
    <row r="2075" spans="1:1" x14ac:dyDescent="0.15">
      <c r="A2075" s="37"/>
    </row>
    <row r="2076" spans="1:1" x14ac:dyDescent="0.15">
      <c r="A2076" s="37"/>
    </row>
    <row r="2077" spans="1:1" x14ac:dyDescent="0.15">
      <c r="A2077" s="37"/>
    </row>
    <row r="2078" spans="1:1" x14ac:dyDescent="0.15">
      <c r="A2078" s="37"/>
    </row>
    <row r="2079" spans="1:1" x14ac:dyDescent="0.15">
      <c r="A2079" s="37"/>
    </row>
    <row r="2080" spans="1:1" x14ac:dyDescent="0.15">
      <c r="A2080" s="37"/>
    </row>
    <row r="2081" spans="1:1" x14ac:dyDescent="0.15">
      <c r="A2081" s="37"/>
    </row>
    <row r="2082" spans="1:1" x14ac:dyDescent="0.15">
      <c r="A2082" s="37"/>
    </row>
    <row r="2083" spans="1:1" x14ac:dyDescent="0.15">
      <c r="A2083" s="37"/>
    </row>
    <row r="2084" spans="1:1" x14ac:dyDescent="0.15">
      <c r="A2084" s="37"/>
    </row>
    <row r="2085" spans="1:1" x14ac:dyDescent="0.15">
      <c r="A2085" s="37"/>
    </row>
    <row r="2086" spans="1:1" x14ac:dyDescent="0.15">
      <c r="A2086" s="37"/>
    </row>
    <row r="2087" spans="1:1" x14ac:dyDescent="0.15">
      <c r="A2087" s="37"/>
    </row>
    <row r="2088" spans="1:1" x14ac:dyDescent="0.15">
      <c r="A2088" s="37"/>
    </row>
    <row r="2089" spans="1:1" x14ac:dyDescent="0.15">
      <c r="A2089" s="37"/>
    </row>
    <row r="2090" spans="1:1" x14ac:dyDescent="0.15">
      <c r="A2090" s="37"/>
    </row>
    <row r="2091" spans="1:1" x14ac:dyDescent="0.15">
      <c r="A2091" s="37"/>
    </row>
    <row r="2092" spans="1:1" x14ac:dyDescent="0.15">
      <c r="A2092" s="37"/>
    </row>
    <row r="2093" spans="1:1" x14ac:dyDescent="0.15">
      <c r="A2093" s="37"/>
    </row>
    <row r="2094" spans="1:1" x14ac:dyDescent="0.15">
      <c r="A2094" s="37"/>
    </row>
    <row r="2095" spans="1:1" x14ac:dyDescent="0.15">
      <c r="A2095" s="37"/>
    </row>
    <row r="2096" spans="1:1" x14ac:dyDescent="0.15">
      <c r="A2096" s="37"/>
    </row>
    <row r="2097" spans="1:1" x14ac:dyDescent="0.15">
      <c r="A2097" s="37"/>
    </row>
    <row r="2098" spans="1:1" x14ac:dyDescent="0.15">
      <c r="A2098" s="37"/>
    </row>
    <row r="2099" spans="1:1" x14ac:dyDescent="0.15">
      <c r="A2099" s="37"/>
    </row>
    <row r="2100" spans="1:1" x14ac:dyDescent="0.15">
      <c r="A2100" s="37"/>
    </row>
    <row r="2101" spans="1:1" x14ac:dyDescent="0.15">
      <c r="A2101" s="37"/>
    </row>
    <row r="2102" spans="1:1" x14ac:dyDescent="0.15">
      <c r="A2102" s="37"/>
    </row>
    <row r="2103" spans="1:1" x14ac:dyDescent="0.15">
      <c r="A2103" s="37"/>
    </row>
    <row r="2104" spans="1:1" x14ac:dyDescent="0.15">
      <c r="A2104" s="37"/>
    </row>
    <row r="2105" spans="1:1" x14ac:dyDescent="0.15">
      <c r="A2105" s="37"/>
    </row>
    <row r="2106" spans="1:1" x14ac:dyDescent="0.15">
      <c r="A2106" s="37"/>
    </row>
    <row r="2107" spans="1:1" x14ac:dyDescent="0.15">
      <c r="A2107" s="37"/>
    </row>
    <row r="2108" spans="1:1" x14ac:dyDescent="0.15">
      <c r="A2108" s="37"/>
    </row>
    <row r="2109" spans="1:1" x14ac:dyDescent="0.15">
      <c r="A2109" s="37"/>
    </row>
    <row r="2110" spans="1:1" x14ac:dyDescent="0.15">
      <c r="A2110" s="37"/>
    </row>
    <row r="2111" spans="1:1" x14ac:dyDescent="0.15">
      <c r="A2111" s="37"/>
    </row>
    <row r="2112" spans="1:1" x14ac:dyDescent="0.15">
      <c r="A2112" s="37"/>
    </row>
    <row r="2113" spans="1:1" x14ac:dyDescent="0.15">
      <c r="A2113" s="37"/>
    </row>
    <row r="2114" spans="1:1" x14ac:dyDescent="0.15">
      <c r="A2114" s="37"/>
    </row>
    <row r="2115" spans="1:1" x14ac:dyDescent="0.15">
      <c r="A2115" s="37"/>
    </row>
    <row r="2116" spans="1:1" x14ac:dyDescent="0.15">
      <c r="A2116" s="37"/>
    </row>
    <row r="2117" spans="1:1" x14ac:dyDescent="0.15">
      <c r="A2117" s="37"/>
    </row>
    <row r="2118" spans="1:1" x14ac:dyDescent="0.15">
      <c r="A2118" s="37"/>
    </row>
    <row r="2119" spans="1:1" x14ac:dyDescent="0.15">
      <c r="A2119" s="37"/>
    </row>
    <row r="2120" spans="1:1" x14ac:dyDescent="0.15">
      <c r="A2120" s="37"/>
    </row>
    <row r="2121" spans="1:1" x14ac:dyDescent="0.15">
      <c r="A2121" s="37"/>
    </row>
    <row r="2122" spans="1:1" x14ac:dyDescent="0.15">
      <c r="A2122" s="37"/>
    </row>
    <row r="2123" spans="1:1" x14ac:dyDescent="0.15">
      <c r="A2123" s="37"/>
    </row>
    <row r="2124" spans="1:1" x14ac:dyDescent="0.15">
      <c r="A2124" s="37"/>
    </row>
    <row r="2125" spans="1:1" x14ac:dyDescent="0.15">
      <c r="A2125" s="37"/>
    </row>
    <row r="2126" spans="1:1" x14ac:dyDescent="0.15">
      <c r="A2126" s="37"/>
    </row>
    <row r="2127" spans="1:1" x14ac:dyDescent="0.15">
      <c r="A2127" s="37"/>
    </row>
    <row r="2128" spans="1:1" x14ac:dyDescent="0.15">
      <c r="A2128" s="37"/>
    </row>
    <row r="2129" spans="1:1" x14ac:dyDescent="0.15">
      <c r="A2129" s="37"/>
    </row>
    <row r="2130" spans="1:1" x14ac:dyDescent="0.15">
      <c r="A2130" s="37"/>
    </row>
    <row r="2131" spans="1:1" x14ac:dyDescent="0.15">
      <c r="A2131" s="37"/>
    </row>
    <row r="2132" spans="1:1" x14ac:dyDescent="0.15">
      <c r="A2132" s="37"/>
    </row>
    <row r="2133" spans="1:1" x14ac:dyDescent="0.15">
      <c r="A2133" s="37"/>
    </row>
    <row r="2134" spans="1:1" x14ac:dyDescent="0.15">
      <c r="A2134" s="37"/>
    </row>
    <row r="2135" spans="1:1" x14ac:dyDescent="0.15">
      <c r="A2135" s="37"/>
    </row>
    <row r="2136" spans="1:1" x14ac:dyDescent="0.15">
      <c r="A2136" s="37"/>
    </row>
    <row r="2137" spans="1:1" x14ac:dyDescent="0.15">
      <c r="A2137" s="37"/>
    </row>
    <row r="2138" spans="1:1" x14ac:dyDescent="0.15">
      <c r="A2138" s="37"/>
    </row>
    <row r="2139" spans="1:1" x14ac:dyDescent="0.15">
      <c r="A2139" s="37"/>
    </row>
    <row r="2140" spans="1:1" x14ac:dyDescent="0.15">
      <c r="A2140" s="37"/>
    </row>
    <row r="2141" spans="1:1" x14ac:dyDescent="0.15">
      <c r="A2141" s="37"/>
    </row>
    <row r="2142" spans="1:1" x14ac:dyDescent="0.15">
      <c r="A2142" s="37"/>
    </row>
    <row r="2143" spans="1:1" x14ac:dyDescent="0.15">
      <c r="A2143" s="37"/>
    </row>
    <row r="2144" spans="1:1" x14ac:dyDescent="0.15">
      <c r="A2144" s="37"/>
    </row>
    <row r="2145" spans="1:1" x14ac:dyDescent="0.15">
      <c r="A2145" s="37"/>
    </row>
    <row r="2146" spans="1:1" x14ac:dyDescent="0.15">
      <c r="A2146" s="37"/>
    </row>
    <row r="2147" spans="1:1" x14ac:dyDescent="0.15">
      <c r="A2147" s="37"/>
    </row>
    <row r="2148" spans="1:1" x14ac:dyDescent="0.15">
      <c r="A2148" s="37"/>
    </row>
    <row r="2149" spans="1:1" x14ac:dyDescent="0.15">
      <c r="A2149" s="37"/>
    </row>
    <row r="2150" spans="1:1" x14ac:dyDescent="0.15">
      <c r="A2150" s="37"/>
    </row>
    <row r="2151" spans="1:1" x14ac:dyDescent="0.15">
      <c r="A2151" s="37"/>
    </row>
    <row r="2152" spans="1:1" x14ac:dyDescent="0.15">
      <c r="A2152" s="37"/>
    </row>
    <row r="2153" spans="1:1" x14ac:dyDescent="0.15">
      <c r="A2153" s="37"/>
    </row>
    <row r="2154" spans="1:1" x14ac:dyDescent="0.15">
      <c r="A2154" s="37"/>
    </row>
    <row r="2155" spans="1:1" x14ac:dyDescent="0.15">
      <c r="A2155" s="37"/>
    </row>
    <row r="2156" spans="1:1" x14ac:dyDescent="0.15">
      <c r="A2156" s="37"/>
    </row>
    <row r="2157" spans="1:1" x14ac:dyDescent="0.15">
      <c r="A2157" s="37"/>
    </row>
    <row r="2158" spans="1:1" x14ac:dyDescent="0.15">
      <c r="A2158" s="37"/>
    </row>
    <row r="2159" spans="1:1" x14ac:dyDescent="0.15">
      <c r="A2159" s="37"/>
    </row>
    <row r="2160" spans="1:1" x14ac:dyDescent="0.15">
      <c r="A2160" s="37"/>
    </row>
    <row r="2161" spans="1:1" x14ac:dyDescent="0.15">
      <c r="A2161" s="37"/>
    </row>
    <row r="2162" spans="1:1" x14ac:dyDescent="0.15">
      <c r="A2162" s="37"/>
    </row>
    <row r="2163" spans="1:1" x14ac:dyDescent="0.15">
      <c r="A2163" s="37"/>
    </row>
    <row r="2164" spans="1:1" x14ac:dyDescent="0.15">
      <c r="A2164" s="37"/>
    </row>
    <row r="2165" spans="1:1" x14ac:dyDescent="0.15">
      <c r="A2165" s="37"/>
    </row>
    <row r="2166" spans="1:1" x14ac:dyDescent="0.15">
      <c r="A2166" s="37"/>
    </row>
    <row r="2167" spans="1:1" x14ac:dyDescent="0.15">
      <c r="A2167" s="37"/>
    </row>
    <row r="2168" spans="1:1" x14ac:dyDescent="0.15">
      <c r="A2168" s="37"/>
    </row>
    <row r="2169" spans="1:1" x14ac:dyDescent="0.15">
      <c r="A2169" s="37"/>
    </row>
    <row r="2170" spans="1:1" x14ac:dyDescent="0.15">
      <c r="A2170" s="37"/>
    </row>
    <row r="2171" spans="1:1" x14ac:dyDescent="0.15">
      <c r="A2171" s="37"/>
    </row>
    <row r="2172" spans="1:1" x14ac:dyDescent="0.15">
      <c r="A2172" s="37"/>
    </row>
    <row r="2173" spans="1:1" x14ac:dyDescent="0.15">
      <c r="A2173" s="37"/>
    </row>
    <row r="2174" spans="1:1" x14ac:dyDescent="0.15">
      <c r="A2174" s="37"/>
    </row>
    <row r="2175" spans="1:1" x14ac:dyDescent="0.15">
      <c r="A2175" s="37"/>
    </row>
    <row r="2176" spans="1:1" x14ac:dyDescent="0.15">
      <c r="A2176" s="37"/>
    </row>
    <row r="2177" spans="1:1" x14ac:dyDescent="0.15">
      <c r="A2177" s="37"/>
    </row>
    <row r="2178" spans="1:1" x14ac:dyDescent="0.15">
      <c r="A2178" s="37"/>
    </row>
    <row r="2179" spans="1:1" x14ac:dyDescent="0.15">
      <c r="A2179" s="37"/>
    </row>
    <row r="2180" spans="1:1" x14ac:dyDescent="0.15">
      <c r="A2180" s="37"/>
    </row>
    <row r="2181" spans="1:1" x14ac:dyDescent="0.15">
      <c r="A2181" s="37"/>
    </row>
    <row r="2182" spans="1:1" x14ac:dyDescent="0.15">
      <c r="A2182" s="37"/>
    </row>
    <row r="2183" spans="1:1" x14ac:dyDescent="0.15">
      <c r="A2183" s="37"/>
    </row>
    <row r="2184" spans="1:1" x14ac:dyDescent="0.15">
      <c r="A2184" s="37"/>
    </row>
    <row r="2185" spans="1:1" x14ac:dyDescent="0.15">
      <c r="A2185" s="37"/>
    </row>
    <row r="2186" spans="1:1" x14ac:dyDescent="0.15">
      <c r="A2186" s="37"/>
    </row>
    <row r="2187" spans="1:1" x14ac:dyDescent="0.15">
      <c r="A2187" s="37"/>
    </row>
    <row r="2188" spans="1:1" x14ac:dyDescent="0.15">
      <c r="A2188" s="37"/>
    </row>
    <row r="2189" spans="1:1" x14ac:dyDescent="0.15">
      <c r="A2189" s="37"/>
    </row>
    <row r="2190" spans="1:1" x14ac:dyDescent="0.15">
      <c r="A2190" s="37"/>
    </row>
    <row r="2191" spans="1:1" x14ac:dyDescent="0.15">
      <c r="A2191" s="37"/>
    </row>
    <row r="2192" spans="1:1" x14ac:dyDescent="0.15">
      <c r="A2192" s="37"/>
    </row>
    <row r="2193" spans="1:1" x14ac:dyDescent="0.15">
      <c r="A2193" s="37"/>
    </row>
    <row r="2194" spans="1:1" x14ac:dyDescent="0.15">
      <c r="A2194" s="37"/>
    </row>
    <row r="2195" spans="1:1" x14ac:dyDescent="0.15">
      <c r="A2195" s="37"/>
    </row>
    <row r="2196" spans="1:1" x14ac:dyDescent="0.15">
      <c r="A2196" s="37"/>
    </row>
    <row r="2197" spans="1:1" x14ac:dyDescent="0.15">
      <c r="A2197" s="37"/>
    </row>
    <row r="2198" spans="1:1" x14ac:dyDescent="0.15">
      <c r="A2198" s="37"/>
    </row>
    <row r="2199" spans="1:1" x14ac:dyDescent="0.15">
      <c r="A2199" s="37"/>
    </row>
    <row r="2200" spans="1:1" x14ac:dyDescent="0.15">
      <c r="A2200" s="37"/>
    </row>
    <row r="2201" spans="1:1" x14ac:dyDescent="0.15">
      <c r="A2201" s="37"/>
    </row>
    <row r="2202" spans="1:1" x14ac:dyDescent="0.15">
      <c r="A2202" s="37"/>
    </row>
    <row r="2203" spans="1:1" x14ac:dyDescent="0.15">
      <c r="A2203" s="37"/>
    </row>
    <row r="2204" spans="1:1" x14ac:dyDescent="0.15">
      <c r="A2204" s="37"/>
    </row>
    <row r="2205" spans="1:1" x14ac:dyDescent="0.15">
      <c r="A2205" s="37"/>
    </row>
    <row r="2206" spans="1:1" x14ac:dyDescent="0.15">
      <c r="A2206" s="37"/>
    </row>
    <row r="2207" spans="1:1" x14ac:dyDescent="0.15">
      <c r="A2207" s="37"/>
    </row>
    <row r="2208" spans="1:1" x14ac:dyDescent="0.15">
      <c r="A2208" s="37"/>
    </row>
    <row r="2209" spans="1:1" x14ac:dyDescent="0.15">
      <c r="A2209" s="37"/>
    </row>
    <row r="2210" spans="1:1" x14ac:dyDescent="0.15">
      <c r="A2210" s="37"/>
    </row>
    <row r="2211" spans="1:1" x14ac:dyDescent="0.15">
      <c r="A2211" s="37"/>
    </row>
    <row r="2212" spans="1:1" x14ac:dyDescent="0.15">
      <c r="A2212" s="37"/>
    </row>
    <row r="2213" spans="1:1" x14ac:dyDescent="0.15">
      <c r="A2213" s="37"/>
    </row>
    <row r="2214" spans="1:1" x14ac:dyDescent="0.15">
      <c r="A2214" s="37"/>
    </row>
    <row r="2215" spans="1:1" x14ac:dyDescent="0.15">
      <c r="A2215" s="37"/>
    </row>
    <row r="2216" spans="1:1" x14ac:dyDescent="0.15">
      <c r="A2216" s="37"/>
    </row>
    <row r="2217" spans="1:1" x14ac:dyDescent="0.15">
      <c r="A2217" s="37"/>
    </row>
    <row r="2218" spans="1:1" x14ac:dyDescent="0.15">
      <c r="A2218" s="37"/>
    </row>
    <row r="2219" spans="1:1" x14ac:dyDescent="0.15">
      <c r="A2219" s="37"/>
    </row>
    <row r="2220" spans="1:1" x14ac:dyDescent="0.15">
      <c r="A2220" s="37"/>
    </row>
    <row r="2221" spans="1:1" x14ac:dyDescent="0.15">
      <c r="A2221" s="37"/>
    </row>
    <row r="2222" spans="1:1" x14ac:dyDescent="0.15">
      <c r="A2222" s="37"/>
    </row>
    <row r="2223" spans="1:1" x14ac:dyDescent="0.15">
      <c r="A2223" s="37"/>
    </row>
    <row r="2224" spans="1:1" x14ac:dyDescent="0.15">
      <c r="A2224" s="37"/>
    </row>
    <row r="2225" spans="1:1" x14ac:dyDescent="0.15">
      <c r="A2225" s="37"/>
    </row>
    <row r="2226" spans="1:1" x14ac:dyDescent="0.15">
      <c r="A2226" s="37"/>
    </row>
    <row r="2227" spans="1:1" x14ac:dyDescent="0.15">
      <c r="A2227" s="37"/>
    </row>
    <row r="2228" spans="1:1" x14ac:dyDescent="0.15">
      <c r="A2228" s="37"/>
    </row>
    <row r="2229" spans="1:1" x14ac:dyDescent="0.15">
      <c r="A2229" s="37"/>
    </row>
    <row r="2230" spans="1:1" x14ac:dyDescent="0.15">
      <c r="A2230" s="37"/>
    </row>
    <row r="2231" spans="1:1" x14ac:dyDescent="0.15">
      <c r="A2231" s="37"/>
    </row>
    <row r="2232" spans="1:1" x14ac:dyDescent="0.15">
      <c r="A2232" s="37"/>
    </row>
    <row r="2233" spans="1:1" x14ac:dyDescent="0.15">
      <c r="A2233" s="37"/>
    </row>
    <row r="2234" spans="1:1" x14ac:dyDescent="0.15">
      <c r="A2234" s="37"/>
    </row>
    <row r="2235" spans="1:1" x14ac:dyDescent="0.15">
      <c r="A2235" s="37"/>
    </row>
    <row r="2236" spans="1:1" x14ac:dyDescent="0.15">
      <c r="A2236" s="37"/>
    </row>
    <row r="2237" spans="1:1" x14ac:dyDescent="0.15">
      <c r="A2237" s="37"/>
    </row>
    <row r="2238" spans="1:1" x14ac:dyDescent="0.15">
      <c r="A2238" s="37"/>
    </row>
    <row r="2239" spans="1:1" x14ac:dyDescent="0.15">
      <c r="A2239" s="37"/>
    </row>
    <row r="2240" spans="1:1" x14ac:dyDescent="0.15">
      <c r="A2240" s="37"/>
    </row>
    <row r="2241" spans="1:1" x14ac:dyDescent="0.15">
      <c r="A2241" s="37"/>
    </row>
    <row r="2242" spans="1:1" x14ac:dyDescent="0.15">
      <c r="A2242" s="37"/>
    </row>
    <row r="2243" spans="1:1" x14ac:dyDescent="0.15">
      <c r="A2243" s="37"/>
    </row>
    <row r="2244" spans="1:1" x14ac:dyDescent="0.15">
      <c r="A2244" s="37"/>
    </row>
    <row r="2245" spans="1:1" x14ac:dyDescent="0.15">
      <c r="A2245" s="37"/>
    </row>
    <row r="2246" spans="1:1" x14ac:dyDescent="0.15">
      <c r="A2246" s="37"/>
    </row>
    <row r="2247" spans="1:1" x14ac:dyDescent="0.15">
      <c r="A2247" s="37"/>
    </row>
    <row r="2248" spans="1:1" x14ac:dyDescent="0.15">
      <c r="A2248" s="37"/>
    </row>
    <row r="2249" spans="1:1" x14ac:dyDescent="0.15">
      <c r="A2249" s="37"/>
    </row>
    <row r="2250" spans="1:1" x14ac:dyDescent="0.15">
      <c r="A2250" s="37"/>
    </row>
    <row r="2251" spans="1:1" x14ac:dyDescent="0.15">
      <c r="A2251" s="37"/>
    </row>
    <row r="2252" spans="1:1" x14ac:dyDescent="0.15">
      <c r="A2252" s="37"/>
    </row>
    <row r="2253" spans="1:1" x14ac:dyDescent="0.15">
      <c r="A2253" s="37"/>
    </row>
    <row r="2254" spans="1:1" x14ac:dyDescent="0.15">
      <c r="A2254" s="37"/>
    </row>
    <row r="2255" spans="1:1" x14ac:dyDescent="0.15">
      <c r="A2255" s="37"/>
    </row>
    <row r="2256" spans="1:1" x14ac:dyDescent="0.15">
      <c r="A2256" s="37"/>
    </row>
    <row r="2257" spans="1:1" x14ac:dyDescent="0.15">
      <c r="A2257" s="37"/>
    </row>
    <row r="2258" spans="1:1" x14ac:dyDescent="0.15">
      <c r="A2258" s="37"/>
    </row>
    <row r="2259" spans="1:1" x14ac:dyDescent="0.15">
      <c r="A2259" s="37"/>
    </row>
    <row r="2260" spans="1:1" x14ac:dyDescent="0.15">
      <c r="A2260" s="37"/>
    </row>
    <row r="2261" spans="1:1" x14ac:dyDescent="0.15">
      <c r="A2261" s="37"/>
    </row>
    <row r="2262" spans="1:1" x14ac:dyDescent="0.15">
      <c r="A2262" s="37"/>
    </row>
    <row r="2263" spans="1:1" x14ac:dyDescent="0.15">
      <c r="A2263" s="37"/>
    </row>
    <row r="2264" spans="1:1" x14ac:dyDescent="0.15">
      <c r="A2264" s="37"/>
    </row>
    <row r="2265" spans="1:1" x14ac:dyDescent="0.15">
      <c r="A2265" s="37"/>
    </row>
    <row r="2266" spans="1:1" x14ac:dyDescent="0.15">
      <c r="A2266" s="37"/>
    </row>
    <row r="2267" spans="1:1" x14ac:dyDescent="0.15">
      <c r="A2267" s="37"/>
    </row>
    <row r="2268" spans="1:1" x14ac:dyDescent="0.15">
      <c r="A2268" s="37"/>
    </row>
    <row r="2269" spans="1:1" x14ac:dyDescent="0.15">
      <c r="A2269" s="37"/>
    </row>
    <row r="2270" spans="1:1" x14ac:dyDescent="0.15">
      <c r="A2270" s="37"/>
    </row>
    <row r="2271" spans="1:1" x14ac:dyDescent="0.15">
      <c r="A2271" s="37"/>
    </row>
    <row r="2272" spans="1:1" x14ac:dyDescent="0.15">
      <c r="A2272" s="37"/>
    </row>
    <row r="2273" spans="1:1" x14ac:dyDescent="0.15">
      <c r="A2273" s="37"/>
    </row>
    <row r="2274" spans="1:1" x14ac:dyDescent="0.15">
      <c r="A2274" s="37"/>
    </row>
    <row r="2275" spans="1:1" x14ac:dyDescent="0.15">
      <c r="A2275" s="37"/>
    </row>
    <row r="2276" spans="1:1" x14ac:dyDescent="0.15">
      <c r="A2276" s="37"/>
    </row>
    <row r="2277" spans="1:1" x14ac:dyDescent="0.15">
      <c r="A2277" s="37"/>
    </row>
    <row r="2278" spans="1:1" x14ac:dyDescent="0.15">
      <c r="A2278" s="37"/>
    </row>
    <row r="2279" spans="1:1" x14ac:dyDescent="0.15">
      <c r="A2279" s="37"/>
    </row>
    <row r="2280" spans="1:1" x14ac:dyDescent="0.15">
      <c r="A2280" s="37"/>
    </row>
    <row r="2281" spans="1:1" x14ac:dyDescent="0.15">
      <c r="A2281" s="37"/>
    </row>
    <row r="2282" spans="1:1" x14ac:dyDescent="0.15">
      <c r="A2282" s="37"/>
    </row>
    <row r="2283" spans="1:1" x14ac:dyDescent="0.15">
      <c r="A2283" s="37"/>
    </row>
    <row r="2284" spans="1:1" x14ac:dyDescent="0.15">
      <c r="A2284" s="37"/>
    </row>
    <row r="2285" spans="1:1" x14ac:dyDescent="0.15">
      <c r="A2285" s="37"/>
    </row>
    <row r="2286" spans="1:1" x14ac:dyDescent="0.15">
      <c r="A2286" s="37"/>
    </row>
    <row r="2287" spans="1:1" x14ac:dyDescent="0.15">
      <c r="A2287" s="37"/>
    </row>
    <row r="2288" spans="1:1" x14ac:dyDescent="0.15">
      <c r="A2288" s="37"/>
    </row>
    <row r="2289" spans="1:1" x14ac:dyDescent="0.15">
      <c r="A2289" s="37"/>
    </row>
    <row r="2290" spans="1:1" x14ac:dyDescent="0.15">
      <c r="A2290" s="37"/>
    </row>
    <row r="2291" spans="1:1" x14ac:dyDescent="0.15">
      <c r="A2291" s="37"/>
    </row>
    <row r="2292" spans="1:1" x14ac:dyDescent="0.15">
      <c r="A2292" s="37"/>
    </row>
    <row r="2293" spans="1:1" x14ac:dyDescent="0.15">
      <c r="A2293" s="37"/>
    </row>
    <row r="2294" spans="1:1" x14ac:dyDescent="0.15">
      <c r="A2294" s="37"/>
    </row>
    <row r="2295" spans="1:1" x14ac:dyDescent="0.15">
      <c r="A2295" s="37"/>
    </row>
    <row r="2296" spans="1:1" x14ac:dyDescent="0.15">
      <c r="A2296" s="37"/>
    </row>
    <row r="2297" spans="1:1" x14ac:dyDescent="0.15">
      <c r="A2297" s="37"/>
    </row>
    <row r="2298" spans="1:1" x14ac:dyDescent="0.15">
      <c r="A2298" s="37"/>
    </row>
    <row r="2299" spans="1:1" x14ac:dyDescent="0.15">
      <c r="A2299" s="37"/>
    </row>
    <row r="2300" spans="1:1" x14ac:dyDescent="0.15">
      <c r="A2300" s="37"/>
    </row>
    <row r="2301" spans="1:1" x14ac:dyDescent="0.15">
      <c r="A2301" s="37"/>
    </row>
    <row r="2302" spans="1:1" x14ac:dyDescent="0.15">
      <c r="A2302" s="37"/>
    </row>
    <row r="2303" spans="1:1" x14ac:dyDescent="0.15">
      <c r="A2303" s="37"/>
    </row>
    <row r="2304" spans="1:1" x14ac:dyDescent="0.15">
      <c r="A2304" s="37"/>
    </row>
    <row r="2305" spans="1:1" x14ac:dyDescent="0.15">
      <c r="A2305" s="37"/>
    </row>
    <row r="2306" spans="1:1" x14ac:dyDescent="0.15">
      <c r="A2306" s="37"/>
    </row>
    <row r="2307" spans="1:1" x14ac:dyDescent="0.15">
      <c r="A2307" s="37"/>
    </row>
    <row r="2308" spans="1:1" x14ac:dyDescent="0.15">
      <c r="A2308" s="37"/>
    </row>
    <row r="2309" spans="1:1" x14ac:dyDescent="0.15">
      <c r="A2309" s="37"/>
    </row>
    <row r="2310" spans="1:1" x14ac:dyDescent="0.15">
      <c r="A2310" s="37"/>
    </row>
    <row r="2311" spans="1:1" x14ac:dyDescent="0.15">
      <c r="A2311" s="37"/>
    </row>
    <row r="2312" spans="1:1" x14ac:dyDescent="0.15">
      <c r="A2312" s="37"/>
    </row>
    <row r="2313" spans="1:1" x14ac:dyDescent="0.15">
      <c r="A2313" s="37"/>
    </row>
    <row r="2314" spans="1:1" x14ac:dyDescent="0.15">
      <c r="A2314" s="37"/>
    </row>
    <row r="2315" spans="1:1" x14ac:dyDescent="0.15">
      <c r="A2315" s="37"/>
    </row>
    <row r="2316" spans="1:1" x14ac:dyDescent="0.15">
      <c r="A2316" s="37"/>
    </row>
    <row r="2317" spans="1:1" x14ac:dyDescent="0.15">
      <c r="A2317" s="37"/>
    </row>
    <row r="2318" spans="1:1" x14ac:dyDescent="0.15">
      <c r="A2318" s="37"/>
    </row>
    <row r="2319" spans="1:1" x14ac:dyDescent="0.15">
      <c r="A2319" s="37"/>
    </row>
    <row r="2320" spans="1:1" x14ac:dyDescent="0.15">
      <c r="A2320" s="37"/>
    </row>
    <row r="2321" spans="1:1" x14ac:dyDescent="0.15">
      <c r="A2321" s="37"/>
    </row>
    <row r="2322" spans="1:1" x14ac:dyDescent="0.15">
      <c r="A2322" s="37"/>
    </row>
    <row r="2323" spans="1:1" x14ac:dyDescent="0.15">
      <c r="A2323" s="37"/>
    </row>
    <row r="2324" spans="1:1" x14ac:dyDescent="0.15">
      <c r="A2324" s="37"/>
    </row>
    <row r="2325" spans="1:1" x14ac:dyDescent="0.15">
      <c r="A2325" s="37"/>
    </row>
    <row r="2326" spans="1:1" x14ac:dyDescent="0.15">
      <c r="A2326" s="37"/>
    </row>
    <row r="2327" spans="1:1" x14ac:dyDescent="0.15">
      <c r="A2327" s="37"/>
    </row>
    <row r="2328" spans="1:1" x14ac:dyDescent="0.15">
      <c r="A2328" s="37"/>
    </row>
    <row r="2329" spans="1:1" x14ac:dyDescent="0.15">
      <c r="A2329" s="37"/>
    </row>
    <row r="2330" spans="1:1" x14ac:dyDescent="0.15">
      <c r="A2330" s="37"/>
    </row>
    <row r="2331" spans="1:1" x14ac:dyDescent="0.15">
      <c r="A2331" s="37"/>
    </row>
    <row r="2332" spans="1:1" x14ac:dyDescent="0.15">
      <c r="A2332" s="37"/>
    </row>
    <row r="2333" spans="1:1" x14ac:dyDescent="0.15">
      <c r="A2333" s="37"/>
    </row>
    <row r="2334" spans="1:1" x14ac:dyDescent="0.15">
      <c r="A2334" s="37"/>
    </row>
    <row r="2335" spans="1:1" x14ac:dyDescent="0.15">
      <c r="A2335" s="37"/>
    </row>
    <row r="2336" spans="1:1" x14ac:dyDescent="0.15">
      <c r="A2336" s="37"/>
    </row>
    <row r="2337" spans="1:1" x14ac:dyDescent="0.15">
      <c r="A2337" s="37"/>
    </row>
    <row r="2338" spans="1:1" x14ac:dyDescent="0.15">
      <c r="A2338" s="37"/>
    </row>
    <row r="2339" spans="1:1" x14ac:dyDescent="0.15">
      <c r="A2339" s="37"/>
    </row>
    <row r="2340" spans="1:1" x14ac:dyDescent="0.15">
      <c r="A2340" s="37"/>
    </row>
    <row r="2341" spans="1:1" x14ac:dyDescent="0.15">
      <c r="A2341" s="37"/>
    </row>
    <row r="2342" spans="1:1" x14ac:dyDescent="0.15">
      <c r="A2342" s="37"/>
    </row>
    <row r="2343" spans="1:1" x14ac:dyDescent="0.15">
      <c r="A2343" s="37"/>
    </row>
    <row r="2344" spans="1:1" x14ac:dyDescent="0.15">
      <c r="A2344" s="37"/>
    </row>
    <row r="2345" spans="1:1" x14ac:dyDescent="0.15">
      <c r="A2345" s="37"/>
    </row>
    <row r="2346" spans="1:1" x14ac:dyDescent="0.15">
      <c r="A2346" s="37"/>
    </row>
    <row r="2347" spans="1:1" x14ac:dyDescent="0.15">
      <c r="A2347" s="37"/>
    </row>
    <row r="2348" spans="1:1" x14ac:dyDescent="0.15">
      <c r="A2348" s="37"/>
    </row>
    <row r="2349" spans="1:1" x14ac:dyDescent="0.15">
      <c r="A2349" s="37"/>
    </row>
    <row r="2350" spans="1:1" x14ac:dyDescent="0.15">
      <c r="A2350" s="37"/>
    </row>
    <row r="2351" spans="1:1" x14ac:dyDescent="0.15">
      <c r="A2351" s="37"/>
    </row>
    <row r="2352" spans="1:1" x14ac:dyDescent="0.15">
      <c r="A2352" s="37"/>
    </row>
    <row r="2353" spans="1:1" x14ac:dyDescent="0.15">
      <c r="A2353" s="37"/>
    </row>
    <row r="2354" spans="1:1" x14ac:dyDescent="0.15">
      <c r="A2354" s="37"/>
    </row>
    <row r="2355" spans="1:1" x14ac:dyDescent="0.15">
      <c r="A2355" s="37"/>
    </row>
    <row r="2356" spans="1:1" x14ac:dyDescent="0.15">
      <c r="A2356" s="37"/>
    </row>
    <row r="2357" spans="1:1" x14ac:dyDescent="0.15">
      <c r="A2357" s="37"/>
    </row>
    <row r="2358" spans="1:1" x14ac:dyDescent="0.15">
      <c r="A2358" s="37"/>
    </row>
    <row r="2359" spans="1:1" x14ac:dyDescent="0.15">
      <c r="A2359" s="37"/>
    </row>
    <row r="2360" spans="1:1" x14ac:dyDescent="0.15">
      <c r="A2360" s="37"/>
    </row>
    <row r="2361" spans="1:1" x14ac:dyDescent="0.15">
      <c r="A2361" s="37"/>
    </row>
    <row r="2362" spans="1:1" x14ac:dyDescent="0.15">
      <c r="A2362" s="37"/>
    </row>
    <row r="2363" spans="1:1" x14ac:dyDescent="0.15">
      <c r="A2363" s="37"/>
    </row>
    <row r="2364" spans="1:1" x14ac:dyDescent="0.15">
      <c r="A2364" s="37"/>
    </row>
    <row r="2365" spans="1:1" x14ac:dyDescent="0.15">
      <c r="A2365" s="37"/>
    </row>
    <row r="2366" spans="1:1" x14ac:dyDescent="0.15">
      <c r="A2366" s="37"/>
    </row>
    <row r="2367" spans="1:1" x14ac:dyDescent="0.15">
      <c r="A2367" s="37"/>
    </row>
    <row r="2368" spans="1:1" x14ac:dyDescent="0.15">
      <c r="A2368" s="37"/>
    </row>
    <row r="2369" spans="1:1" x14ac:dyDescent="0.15">
      <c r="A2369" s="37"/>
    </row>
    <row r="2370" spans="1:1" x14ac:dyDescent="0.15">
      <c r="A2370" s="37"/>
    </row>
    <row r="2371" spans="1:1" x14ac:dyDescent="0.15">
      <c r="A2371" s="37"/>
    </row>
    <row r="2372" spans="1:1" x14ac:dyDescent="0.15">
      <c r="A2372" s="37"/>
    </row>
    <row r="2373" spans="1:1" x14ac:dyDescent="0.15">
      <c r="A2373" s="37"/>
    </row>
    <row r="2374" spans="1:1" x14ac:dyDescent="0.15">
      <c r="A2374" s="37"/>
    </row>
    <row r="2375" spans="1:1" x14ac:dyDescent="0.15">
      <c r="A2375" s="37"/>
    </row>
    <row r="2376" spans="1:1" x14ac:dyDescent="0.15">
      <c r="A2376" s="37"/>
    </row>
    <row r="2377" spans="1:1" x14ac:dyDescent="0.15">
      <c r="A2377" s="37"/>
    </row>
    <row r="2378" spans="1:1" x14ac:dyDescent="0.15">
      <c r="A2378" s="37"/>
    </row>
    <row r="2379" spans="1:1" x14ac:dyDescent="0.15">
      <c r="A2379" s="37"/>
    </row>
    <row r="2380" spans="1:1" x14ac:dyDescent="0.15">
      <c r="A2380" s="37"/>
    </row>
    <row r="2381" spans="1:1" x14ac:dyDescent="0.15">
      <c r="A2381" s="37"/>
    </row>
    <row r="2382" spans="1:1" x14ac:dyDescent="0.15">
      <c r="A2382" s="37"/>
    </row>
    <row r="2383" spans="1:1" x14ac:dyDescent="0.15">
      <c r="A2383" s="37"/>
    </row>
    <row r="2384" spans="1:1" x14ac:dyDescent="0.15">
      <c r="A2384" s="37"/>
    </row>
    <row r="2385" spans="1:1" x14ac:dyDescent="0.15">
      <c r="A2385" s="37"/>
    </row>
    <row r="2386" spans="1:1" x14ac:dyDescent="0.15">
      <c r="A2386" s="37"/>
    </row>
    <row r="2387" spans="1:1" x14ac:dyDescent="0.15">
      <c r="A2387" s="37"/>
    </row>
    <row r="2388" spans="1:1" x14ac:dyDescent="0.15">
      <c r="A2388" s="37"/>
    </row>
    <row r="2389" spans="1:1" x14ac:dyDescent="0.15">
      <c r="A2389" s="37"/>
    </row>
    <row r="2390" spans="1:1" x14ac:dyDescent="0.15">
      <c r="A2390" s="37"/>
    </row>
    <row r="2391" spans="1:1" x14ac:dyDescent="0.15">
      <c r="A2391" s="37"/>
    </row>
    <row r="2392" spans="1:1" x14ac:dyDescent="0.15">
      <c r="A2392" s="37"/>
    </row>
    <row r="2393" spans="1:1" x14ac:dyDescent="0.15">
      <c r="A2393" s="37"/>
    </row>
    <row r="2394" spans="1:1" x14ac:dyDescent="0.15">
      <c r="A2394" s="37"/>
    </row>
    <row r="2395" spans="1:1" x14ac:dyDescent="0.15">
      <c r="A2395" s="37"/>
    </row>
    <row r="2396" spans="1:1" x14ac:dyDescent="0.15">
      <c r="A2396" s="37"/>
    </row>
    <row r="2397" spans="1:1" x14ac:dyDescent="0.15">
      <c r="A2397" s="37"/>
    </row>
    <row r="2398" spans="1:1" x14ac:dyDescent="0.15">
      <c r="A2398" s="37"/>
    </row>
    <row r="2399" spans="1:1" x14ac:dyDescent="0.15">
      <c r="A2399" s="37"/>
    </row>
    <row r="2400" spans="1:1" x14ac:dyDescent="0.15">
      <c r="A2400" s="37"/>
    </row>
    <row r="2401" spans="1:1" x14ac:dyDescent="0.15">
      <c r="A2401" s="37"/>
    </row>
    <row r="2402" spans="1:1" x14ac:dyDescent="0.15">
      <c r="A2402" s="37"/>
    </row>
    <row r="2403" spans="1:1" x14ac:dyDescent="0.15">
      <c r="A2403" s="37"/>
    </row>
    <row r="2404" spans="1:1" x14ac:dyDescent="0.15">
      <c r="A2404" s="37"/>
    </row>
    <row r="2405" spans="1:1" x14ac:dyDescent="0.15">
      <c r="A2405" s="37"/>
    </row>
    <row r="2406" spans="1:1" x14ac:dyDescent="0.15">
      <c r="A2406" s="37"/>
    </row>
    <row r="2407" spans="1:1" x14ac:dyDescent="0.15">
      <c r="A2407" s="37"/>
    </row>
    <row r="2408" spans="1:1" x14ac:dyDescent="0.15">
      <c r="A2408" s="37"/>
    </row>
    <row r="2409" spans="1:1" x14ac:dyDescent="0.15">
      <c r="A2409" s="37"/>
    </row>
    <row r="2410" spans="1:1" x14ac:dyDescent="0.15">
      <c r="A2410" s="37"/>
    </row>
    <row r="2411" spans="1:1" x14ac:dyDescent="0.15">
      <c r="A2411" s="37"/>
    </row>
    <row r="2412" spans="1:1" x14ac:dyDescent="0.15">
      <c r="A2412" s="37"/>
    </row>
    <row r="2413" spans="1:1" x14ac:dyDescent="0.15">
      <c r="A2413" s="37"/>
    </row>
    <row r="2414" spans="1:1" x14ac:dyDescent="0.15">
      <c r="A2414" s="37"/>
    </row>
    <row r="2415" spans="1:1" x14ac:dyDescent="0.15">
      <c r="A2415" s="37"/>
    </row>
    <row r="2416" spans="1:1" x14ac:dyDescent="0.15">
      <c r="A2416" s="37"/>
    </row>
    <row r="2417" spans="1:1" x14ac:dyDescent="0.15">
      <c r="A2417" s="37"/>
    </row>
    <row r="2418" spans="1:1" x14ac:dyDescent="0.15">
      <c r="A2418" s="37"/>
    </row>
    <row r="2419" spans="1:1" x14ac:dyDescent="0.15">
      <c r="A2419" s="37"/>
    </row>
    <row r="2420" spans="1:1" x14ac:dyDescent="0.15">
      <c r="A2420" s="37"/>
    </row>
    <row r="2421" spans="1:1" x14ac:dyDescent="0.15">
      <c r="A2421" s="37"/>
    </row>
    <row r="2422" spans="1:1" x14ac:dyDescent="0.15">
      <c r="A2422" s="37"/>
    </row>
    <row r="2423" spans="1:1" x14ac:dyDescent="0.15">
      <c r="A2423" s="37"/>
    </row>
    <row r="2424" spans="1:1" x14ac:dyDescent="0.15">
      <c r="A2424" s="37"/>
    </row>
    <row r="2425" spans="1:1" x14ac:dyDescent="0.15">
      <c r="A2425" s="37"/>
    </row>
    <row r="2426" spans="1:1" x14ac:dyDescent="0.15">
      <c r="A2426" s="37"/>
    </row>
    <row r="2427" spans="1:1" x14ac:dyDescent="0.15">
      <c r="A2427" s="37"/>
    </row>
    <row r="2428" spans="1:1" x14ac:dyDescent="0.15">
      <c r="A2428" s="37"/>
    </row>
    <row r="2429" spans="1:1" x14ac:dyDescent="0.15">
      <c r="A2429" s="37"/>
    </row>
    <row r="2430" spans="1:1" x14ac:dyDescent="0.15">
      <c r="A2430" s="37"/>
    </row>
    <row r="2431" spans="1:1" x14ac:dyDescent="0.15">
      <c r="A2431" s="37"/>
    </row>
    <row r="2432" spans="1:1" x14ac:dyDescent="0.15">
      <c r="A2432" s="37"/>
    </row>
    <row r="2433" spans="1:1" x14ac:dyDescent="0.15">
      <c r="A2433" s="37"/>
    </row>
    <row r="2434" spans="1:1" x14ac:dyDescent="0.15">
      <c r="A2434" s="37"/>
    </row>
    <row r="2435" spans="1:1" x14ac:dyDescent="0.15">
      <c r="A2435" s="37"/>
    </row>
    <row r="2436" spans="1:1" x14ac:dyDescent="0.15">
      <c r="A2436" s="37"/>
    </row>
    <row r="2437" spans="1:1" x14ac:dyDescent="0.15">
      <c r="A2437" s="37"/>
    </row>
    <row r="2438" spans="1:1" x14ac:dyDescent="0.15">
      <c r="A2438" s="37"/>
    </row>
    <row r="2439" spans="1:1" x14ac:dyDescent="0.15">
      <c r="A2439" s="37"/>
    </row>
    <row r="2440" spans="1:1" x14ac:dyDescent="0.15">
      <c r="A2440" s="37"/>
    </row>
    <row r="2441" spans="1:1" x14ac:dyDescent="0.15">
      <c r="A2441" s="37"/>
    </row>
    <row r="2442" spans="1:1" x14ac:dyDescent="0.15">
      <c r="A2442" s="37"/>
    </row>
    <row r="2443" spans="1:1" x14ac:dyDescent="0.15">
      <c r="A2443" s="37"/>
    </row>
    <row r="2444" spans="1:1" x14ac:dyDescent="0.15">
      <c r="A2444" s="37"/>
    </row>
    <row r="2445" spans="1:1" x14ac:dyDescent="0.15">
      <c r="A2445" s="37"/>
    </row>
    <row r="2446" spans="1:1" x14ac:dyDescent="0.15">
      <c r="A2446" s="37"/>
    </row>
    <row r="2447" spans="1:1" x14ac:dyDescent="0.15">
      <c r="A2447" s="37"/>
    </row>
    <row r="2448" spans="1:1" x14ac:dyDescent="0.15">
      <c r="A2448" s="37"/>
    </row>
    <row r="2449" spans="1:1" x14ac:dyDescent="0.15">
      <c r="A2449" s="37"/>
    </row>
    <row r="2450" spans="1:1" x14ac:dyDescent="0.15">
      <c r="A2450" s="37"/>
    </row>
    <row r="2451" spans="1:1" x14ac:dyDescent="0.15">
      <c r="A2451" s="37"/>
    </row>
    <row r="2452" spans="1:1" x14ac:dyDescent="0.15">
      <c r="A2452" s="37"/>
    </row>
    <row r="2453" spans="1:1" x14ac:dyDescent="0.15">
      <c r="A2453" s="37"/>
    </row>
    <row r="2454" spans="1:1" x14ac:dyDescent="0.15">
      <c r="A2454" s="37"/>
    </row>
    <row r="2455" spans="1:1" x14ac:dyDescent="0.15">
      <c r="A2455" s="37"/>
    </row>
    <row r="2456" spans="1:1" x14ac:dyDescent="0.15">
      <c r="A2456" s="37"/>
    </row>
    <row r="2457" spans="1:1" x14ac:dyDescent="0.15">
      <c r="A2457" s="37"/>
    </row>
    <row r="2458" spans="1:1" x14ac:dyDescent="0.15">
      <c r="A2458" s="37"/>
    </row>
    <row r="2459" spans="1:1" x14ac:dyDescent="0.15">
      <c r="A2459" s="37"/>
    </row>
    <row r="2460" spans="1:1" x14ac:dyDescent="0.15">
      <c r="A2460" s="37"/>
    </row>
    <row r="2461" spans="1:1" x14ac:dyDescent="0.15">
      <c r="A2461" s="37"/>
    </row>
    <row r="2462" spans="1:1" x14ac:dyDescent="0.15">
      <c r="A2462" s="37"/>
    </row>
    <row r="2463" spans="1:1" x14ac:dyDescent="0.15">
      <c r="A2463" s="37"/>
    </row>
    <row r="2464" spans="1:1" x14ac:dyDescent="0.15">
      <c r="A2464" s="37"/>
    </row>
    <row r="2465" spans="1:1" x14ac:dyDescent="0.15">
      <c r="A2465" s="37"/>
    </row>
    <row r="2466" spans="1:1" x14ac:dyDescent="0.15">
      <c r="A2466" s="37"/>
    </row>
    <row r="2467" spans="1:1" x14ac:dyDescent="0.15">
      <c r="A2467" s="37"/>
    </row>
    <row r="2468" spans="1:1" x14ac:dyDescent="0.15">
      <c r="A2468" s="37"/>
    </row>
    <row r="2469" spans="1:1" x14ac:dyDescent="0.15">
      <c r="A2469" s="37"/>
    </row>
    <row r="2470" spans="1:1" x14ac:dyDescent="0.15">
      <c r="A2470" s="37"/>
    </row>
    <row r="2471" spans="1:1" x14ac:dyDescent="0.15">
      <c r="A2471" s="37"/>
    </row>
    <row r="2472" spans="1:1" x14ac:dyDescent="0.15">
      <c r="A2472" s="37"/>
    </row>
    <row r="2473" spans="1:1" x14ac:dyDescent="0.15">
      <c r="A2473" s="37"/>
    </row>
    <row r="2474" spans="1:1" x14ac:dyDescent="0.15">
      <c r="A2474" s="37"/>
    </row>
    <row r="2475" spans="1:1" x14ac:dyDescent="0.15">
      <c r="A2475" s="37"/>
    </row>
    <row r="2476" spans="1:1" x14ac:dyDescent="0.15">
      <c r="A2476" s="37"/>
    </row>
    <row r="2477" spans="1:1" x14ac:dyDescent="0.15">
      <c r="A2477" s="37"/>
    </row>
    <row r="2478" spans="1:1" x14ac:dyDescent="0.15">
      <c r="A2478" s="37"/>
    </row>
    <row r="2479" spans="1:1" x14ac:dyDescent="0.15">
      <c r="A2479" s="37"/>
    </row>
    <row r="2480" spans="1:1" x14ac:dyDescent="0.15">
      <c r="A2480" s="37"/>
    </row>
    <row r="2481" spans="1:1" x14ac:dyDescent="0.15">
      <c r="A2481" s="37"/>
    </row>
    <row r="2482" spans="1:1" x14ac:dyDescent="0.15">
      <c r="A2482" s="37"/>
    </row>
    <row r="2483" spans="1:1" x14ac:dyDescent="0.15">
      <c r="A2483" s="37"/>
    </row>
    <row r="2484" spans="1:1" x14ac:dyDescent="0.15">
      <c r="A2484" s="37"/>
    </row>
    <row r="2485" spans="1:1" x14ac:dyDescent="0.15">
      <c r="A2485" s="37"/>
    </row>
    <row r="2486" spans="1:1" x14ac:dyDescent="0.15">
      <c r="A2486" s="37"/>
    </row>
    <row r="2487" spans="1:1" x14ac:dyDescent="0.15">
      <c r="A2487" s="37"/>
    </row>
    <row r="2488" spans="1:1" x14ac:dyDescent="0.15">
      <c r="A2488" s="37"/>
    </row>
    <row r="2489" spans="1:1" x14ac:dyDescent="0.15">
      <c r="A2489" s="37"/>
    </row>
    <row r="2490" spans="1:1" x14ac:dyDescent="0.15">
      <c r="A2490" s="37"/>
    </row>
    <row r="2491" spans="1:1" x14ac:dyDescent="0.15">
      <c r="A2491" s="37"/>
    </row>
    <row r="2492" spans="1:1" x14ac:dyDescent="0.15">
      <c r="A2492" s="37"/>
    </row>
    <row r="2493" spans="1:1" x14ac:dyDescent="0.15">
      <c r="A2493" s="37"/>
    </row>
    <row r="2494" spans="1:1" x14ac:dyDescent="0.15">
      <c r="A2494" s="37"/>
    </row>
    <row r="2495" spans="1:1" x14ac:dyDescent="0.15">
      <c r="A2495" s="37"/>
    </row>
    <row r="2496" spans="1:1" x14ac:dyDescent="0.15">
      <c r="A2496" s="37"/>
    </row>
    <row r="2497" spans="1:1" x14ac:dyDescent="0.15">
      <c r="A2497" s="37"/>
    </row>
    <row r="2498" spans="1:1" x14ac:dyDescent="0.15">
      <c r="A2498" s="37"/>
    </row>
    <row r="2499" spans="1:1" x14ac:dyDescent="0.15">
      <c r="A2499" s="37"/>
    </row>
    <row r="2500" spans="1:1" x14ac:dyDescent="0.15">
      <c r="A2500" s="37"/>
    </row>
    <row r="2501" spans="1:1" x14ac:dyDescent="0.15">
      <c r="A2501" s="37"/>
    </row>
    <row r="2502" spans="1:1" x14ac:dyDescent="0.15">
      <c r="A2502" s="37"/>
    </row>
    <row r="2503" spans="1:1" x14ac:dyDescent="0.15">
      <c r="A2503" s="37"/>
    </row>
    <row r="2504" spans="1:1" x14ac:dyDescent="0.15">
      <c r="A2504" s="37"/>
    </row>
    <row r="2505" spans="1:1" x14ac:dyDescent="0.15">
      <c r="A2505" s="37"/>
    </row>
    <row r="2506" spans="1:1" x14ac:dyDescent="0.15">
      <c r="A2506" s="37"/>
    </row>
    <row r="2507" spans="1:1" x14ac:dyDescent="0.15">
      <c r="A2507" s="37"/>
    </row>
    <row r="2508" spans="1:1" x14ac:dyDescent="0.15">
      <c r="A2508" s="37"/>
    </row>
    <row r="2509" spans="1:1" x14ac:dyDescent="0.15">
      <c r="A2509" s="37"/>
    </row>
    <row r="2510" spans="1:1" x14ac:dyDescent="0.15">
      <c r="A2510" s="37"/>
    </row>
    <row r="2511" spans="1:1" x14ac:dyDescent="0.15">
      <c r="A2511" s="37"/>
    </row>
    <row r="2512" spans="1:1" x14ac:dyDescent="0.15">
      <c r="A2512" s="37"/>
    </row>
    <row r="2513" spans="1:1" x14ac:dyDescent="0.15">
      <c r="A2513" s="37"/>
    </row>
    <row r="2514" spans="1:1" x14ac:dyDescent="0.15">
      <c r="A2514" s="37"/>
    </row>
    <row r="2515" spans="1:1" x14ac:dyDescent="0.15">
      <c r="A2515" s="37"/>
    </row>
    <row r="2516" spans="1:1" x14ac:dyDescent="0.15">
      <c r="A2516" s="37"/>
    </row>
    <row r="2517" spans="1:1" x14ac:dyDescent="0.15">
      <c r="A2517" s="37"/>
    </row>
    <row r="2518" spans="1:1" x14ac:dyDescent="0.15">
      <c r="A2518" s="37"/>
    </row>
    <row r="2519" spans="1:1" x14ac:dyDescent="0.15">
      <c r="A2519" s="37"/>
    </row>
    <row r="2520" spans="1:1" x14ac:dyDescent="0.15">
      <c r="A2520" s="37"/>
    </row>
    <row r="2521" spans="1:1" x14ac:dyDescent="0.15">
      <c r="A2521" s="37"/>
    </row>
    <row r="2522" spans="1:1" x14ac:dyDescent="0.15">
      <c r="A2522" s="37"/>
    </row>
    <row r="2523" spans="1:1" x14ac:dyDescent="0.15">
      <c r="A2523" s="37"/>
    </row>
    <row r="2524" spans="1:1" x14ac:dyDescent="0.15">
      <c r="A2524" s="37"/>
    </row>
    <row r="2525" spans="1:1" x14ac:dyDescent="0.15">
      <c r="A2525" s="37"/>
    </row>
    <row r="2526" spans="1:1" x14ac:dyDescent="0.15">
      <c r="A2526" s="37"/>
    </row>
    <row r="2527" spans="1:1" x14ac:dyDescent="0.15">
      <c r="A2527" s="37"/>
    </row>
    <row r="2528" spans="1:1" x14ac:dyDescent="0.15">
      <c r="A2528" s="37"/>
    </row>
    <row r="2529" spans="1:1" x14ac:dyDescent="0.15">
      <c r="A2529" s="37"/>
    </row>
    <row r="2530" spans="1:1" x14ac:dyDescent="0.15">
      <c r="A2530" s="37"/>
    </row>
    <row r="2531" spans="1:1" x14ac:dyDescent="0.15">
      <c r="A2531" s="37"/>
    </row>
    <row r="2532" spans="1:1" x14ac:dyDescent="0.15">
      <c r="A2532" s="37"/>
    </row>
    <row r="2533" spans="1:1" x14ac:dyDescent="0.15">
      <c r="A2533" s="37"/>
    </row>
    <row r="2534" spans="1:1" x14ac:dyDescent="0.15">
      <c r="A2534" s="37"/>
    </row>
    <row r="2535" spans="1:1" x14ac:dyDescent="0.15">
      <c r="A2535" s="37"/>
    </row>
    <row r="2536" spans="1:1" x14ac:dyDescent="0.15">
      <c r="A2536" s="37"/>
    </row>
    <row r="2537" spans="1:1" x14ac:dyDescent="0.15">
      <c r="A2537" s="37"/>
    </row>
    <row r="2538" spans="1:1" x14ac:dyDescent="0.15">
      <c r="A2538" s="37"/>
    </row>
    <row r="2539" spans="1:1" x14ac:dyDescent="0.15">
      <c r="A2539" s="37"/>
    </row>
    <row r="2540" spans="1:1" x14ac:dyDescent="0.15">
      <c r="A2540" s="37"/>
    </row>
    <row r="2541" spans="1:1" x14ac:dyDescent="0.15">
      <c r="A2541" s="37"/>
    </row>
    <row r="2542" spans="1:1" x14ac:dyDescent="0.15">
      <c r="A2542" s="37"/>
    </row>
    <row r="2543" spans="1:1" x14ac:dyDescent="0.15">
      <c r="A2543" s="37"/>
    </row>
    <row r="2544" spans="1:1" x14ac:dyDescent="0.15">
      <c r="A2544" s="37"/>
    </row>
    <row r="2545" spans="1:1" x14ac:dyDescent="0.15">
      <c r="A2545" s="37"/>
    </row>
    <row r="2546" spans="1:1" x14ac:dyDescent="0.15">
      <c r="A2546" s="37"/>
    </row>
    <row r="2547" spans="1:1" x14ac:dyDescent="0.15">
      <c r="A2547" s="37"/>
    </row>
    <row r="2548" spans="1:1" x14ac:dyDescent="0.15">
      <c r="A2548" s="37"/>
    </row>
    <row r="2549" spans="1:1" x14ac:dyDescent="0.15">
      <c r="A2549" s="37"/>
    </row>
    <row r="2550" spans="1:1" x14ac:dyDescent="0.15">
      <c r="A2550" s="37"/>
    </row>
    <row r="2551" spans="1:1" x14ac:dyDescent="0.15">
      <c r="A2551" s="37"/>
    </row>
    <row r="2552" spans="1:1" x14ac:dyDescent="0.15">
      <c r="A2552" s="37"/>
    </row>
    <row r="2553" spans="1:1" x14ac:dyDescent="0.15">
      <c r="A2553" s="37"/>
    </row>
    <row r="2554" spans="1:1" x14ac:dyDescent="0.15">
      <c r="A2554" s="37"/>
    </row>
    <row r="2555" spans="1:1" x14ac:dyDescent="0.15">
      <c r="A2555" s="37"/>
    </row>
    <row r="2556" spans="1:1" x14ac:dyDescent="0.15">
      <c r="A2556" s="37"/>
    </row>
    <row r="2557" spans="1:1" x14ac:dyDescent="0.15">
      <c r="A2557" s="37"/>
    </row>
    <row r="2558" spans="1:1" x14ac:dyDescent="0.15">
      <c r="A2558" s="37"/>
    </row>
    <row r="2559" spans="1:1" x14ac:dyDescent="0.15">
      <c r="A2559" s="37"/>
    </row>
    <row r="2560" spans="1:1" x14ac:dyDescent="0.15">
      <c r="A2560" s="37"/>
    </row>
    <row r="2561" spans="1:1" x14ac:dyDescent="0.15">
      <c r="A2561" s="37"/>
    </row>
    <row r="2562" spans="1:1" x14ac:dyDescent="0.15">
      <c r="A2562" s="37"/>
    </row>
    <row r="2563" spans="1:1" x14ac:dyDescent="0.15">
      <c r="A2563" s="37"/>
    </row>
    <row r="2564" spans="1:1" x14ac:dyDescent="0.15">
      <c r="A2564" s="37"/>
    </row>
    <row r="2565" spans="1:1" x14ac:dyDescent="0.15">
      <c r="A2565" s="37"/>
    </row>
    <row r="2566" spans="1:1" x14ac:dyDescent="0.15">
      <c r="A2566" s="37"/>
    </row>
    <row r="2567" spans="1:1" x14ac:dyDescent="0.15">
      <c r="A2567" s="37"/>
    </row>
    <row r="2568" spans="1:1" x14ac:dyDescent="0.15">
      <c r="A2568" s="37"/>
    </row>
    <row r="2569" spans="1:1" x14ac:dyDescent="0.15">
      <c r="A2569" s="37"/>
    </row>
    <row r="2570" spans="1:1" x14ac:dyDescent="0.15">
      <c r="A2570" s="37"/>
    </row>
    <row r="2571" spans="1:1" x14ac:dyDescent="0.15">
      <c r="A2571" s="37"/>
    </row>
    <row r="2572" spans="1:1" x14ac:dyDescent="0.15">
      <c r="A2572" s="37"/>
    </row>
    <row r="2573" spans="1:1" x14ac:dyDescent="0.15">
      <c r="A2573" s="37"/>
    </row>
    <row r="2574" spans="1:1" x14ac:dyDescent="0.15">
      <c r="A2574" s="37"/>
    </row>
    <row r="2575" spans="1:1" x14ac:dyDescent="0.15">
      <c r="A2575" s="37"/>
    </row>
    <row r="2576" spans="1:1" x14ac:dyDescent="0.15">
      <c r="A2576" s="37"/>
    </row>
    <row r="2577" spans="1:1" x14ac:dyDescent="0.15">
      <c r="A2577" s="37"/>
    </row>
    <row r="2578" spans="1:1" x14ac:dyDescent="0.15">
      <c r="A2578" s="37"/>
    </row>
    <row r="2579" spans="1:1" x14ac:dyDescent="0.15">
      <c r="A2579" s="37"/>
    </row>
    <row r="2580" spans="1:1" x14ac:dyDescent="0.15">
      <c r="A2580" s="37"/>
    </row>
    <row r="2581" spans="1:1" x14ac:dyDescent="0.15">
      <c r="A2581" s="37"/>
    </row>
    <row r="2582" spans="1:1" x14ac:dyDescent="0.15">
      <c r="A2582" s="37"/>
    </row>
    <row r="2583" spans="1:1" x14ac:dyDescent="0.15">
      <c r="A2583" s="37"/>
    </row>
    <row r="2584" spans="1:1" x14ac:dyDescent="0.15">
      <c r="A2584" s="37"/>
    </row>
    <row r="2585" spans="1:1" x14ac:dyDescent="0.15">
      <c r="A2585" s="37"/>
    </row>
    <row r="2586" spans="1:1" x14ac:dyDescent="0.15">
      <c r="A2586" s="37"/>
    </row>
    <row r="2587" spans="1:1" x14ac:dyDescent="0.15">
      <c r="A2587" s="37"/>
    </row>
    <row r="2588" spans="1:1" x14ac:dyDescent="0.15">
      <c r="A2588" s="37"/>
    </row>
    <row r="2589" spans="1:1" x14ac:dyDescent="0.15">
      <c r="A2589" s="37"/>
    </row>
    <row r="2590" spans="1:1" x14ac:dyDescent="0.15">
      <c r="A2590" s="37"/>
    </row>
    <row r="2591" spans="1:1" x14ac:dyDescent="0.15">
      <c r="A2591" s="37"/>
    </row>
    <row r="2592" spans="1:1" x14ac:dyDescent="0.15">
      <c r="A2592" s="37"/>
    </row>
    <row r="2593" spans="1:1" x14ac:dyDescent="0.15">
      <c r="A2593" s="37"/>
    </row>
    <row r="2594" spans="1:1" x14ac:dyDescent="0.15">
      <c r="A2594" s="37"/>
    </row>
    <row r="2595" spans="1:1" x14ac:dyDescent="0.15">
      <c r="A2595" s="37"/>
    </row>
    <row r="2596" spans="1:1" x14ac:dyDescent="0.15">
      <c r="A2596" s="37"/>
    </row>
    <row r="2597" spans="1:1" x14ac:dyDescent="0.15">
      <c r="A2597" s="37"/>
    </row>
    <row r="2598" spans="1:1" x14ac:dyDescent="0.15">
      <c r="A2598" s="37"/>
    </row>
    <row r="2599" spans="1:1" x14ac:dyDescent="0.15">
      <c r="A2599" s="37"/>
    </row>
    <row r="2600" spans="1:1" x14ac:dyDescent="0.15">
      <c r="A2600" s="37"/>
    </row>
    <row r="2601" spans="1:1" x14ac:dyDescent="0.15">
      <c r="A2601" s="37"/>
    </row>
    <row r="2602" spans="1:1" x14ac:dyDescent="0.15">
      <c r="A2602" s="37"/>
    </row>
    <row r="2603" spans="1:1" x14ac:dyDescent="0.15">
      <c r="A2603" s="37"/>
    </row>
    <row r="2604" spans="1:1" x14ac:dyDescent="0.15">
      <c r="A2604" s="37"/>
    </row>
    <row r="2605" spans="1:1" x14ac:dyDescent="0.15">
      <c r="A2605" s="37"/>
    </row>
    <row r="2606" spans="1:1" x14ac:dyDescent="0.15">
      <c r="A2606" s="37"/>
    </row>
    <row r="2607" spans="1:1" x14ac:dyDescent="0.15">
      <c r="A2607" s="37"/>
    </row>
    <row r="2608" spans="1:1" x14ac:dyDescent="0.15">
      <c r="A2608" s="37"/>
    </row>
    <row r="2609" spans="1:1" x14ac:dyDescent="0.15">
      <c r="A2609" s="37"/>
    </row>
    <row r="2610" spans="1:1" x14ac:dyDescent="0.15">
      <c r="A2610" s="37"/>
    </row>
    <row r="2611" spans="1:1" x14ac:dyDescent="0.15">
      <c r="A2611" s="37"/>
    </row>
    <row r="2612" spans="1:1" x14ac:dyDescent="0.15">
      <c r="A2612" s="37"/>
    </row>
    <row r="2613" spans="1:1" x14ac:dyDescent="0.15">
      <c r="A2613" s="37"/>
    </row>
    <row r="2614" spans="1:1" x14ac:dyDescent="0.15">
      <c r="A2614" s="37"/>
    </row>
    <row r="2615" spans="1:1" x14ac:dyDescent="0.15">
      <c r="A2615" s="37"/>
    </row>
    <row r="2616" spans="1:1" x14ac:dyDescent="0.15">
      <c r="A2616" s="37"/>
    </row>
    <row r="2617" spans="1:1" x14ac:dyDescent="0.15">
      <c r="A2617" s="37"/>
    </row>
    <row r="2618" spans="1:1" x14ac:dyDescent="0.15">
      <c r="A2618" s="37"/>
    </row>
    <row r="2619" spans="1:1" x14ac:dyDescent="0.15">
      <c r="A2619" s="37"/>
    </row>
    <row r="2620" spans="1:1" x14ac:dyDescent="0.15">
      <c r="A2620" s="37"/>
    </row>
    <row r="2621" spans="1:1" x14ac:dyDescent="0.15">
      <c r="A2621" s="37"/>
    </row>
    <row r="2622" spans="1:1" x14ac:dyDescent="0.15">
      <c r="A2622" s="37"/>
    </row>
    <row r="2623" spans="1:1" x14ac:dyDescent="0.15">
      <c r="A2623" s="37"/>
    </row>
    <row r="2624" spans="1:1" x14ac:dyDescent="0.15">
      <c r="A2624" s="37"/>
    </row>
    <row r="2625" spans="1:1" x14ac:dyDescent="0.15">
      <c r="A2625" s="37"/>
    </row>
    <row r="2626" spans="1:1" x14ac:dyDescent="0.15">
      <c r="A2626" s="37"/>
    </row>
    <row r="2627" spans="1:1" x14ac:dyDescent="0.15">
      <c r="A2627" s="37"/>
    </row>
    <row r="2628" spans="1:1" x14ac:dyDescent="0.15">
      <c r="A2628" s="37"/>
    </row>
    <row r="2629" spans="1:1" x14ac:dyDescent="0.15">
      <c r="A2629" s="37"/>
    </row>
    <row r="2630" spans="1:1" x14ac:dyDescent="0.15">
      <c r="A2630" s="37"/>
    </row>
    <row r="2631" spans="1:1" x14ac:dyDescent="0.15">
      <c r="A2631" s="37"/>
    </row>
    <row r="2632" spans="1:1" x14ac:dyDescent="0.15">
      <c r="A2632" s="37"/>
    </row>
    <row r="2633" spans="1:1" x14ac:dyDescent="0.15">
      <c r="A2633" s="37"/>
    </row>
    <row r="2634" spans="1:1" x14ac:dyDescent="0.15">
      <c r="A2634" s="37"/>
    </row>
    <row r="2635" spans="1:1" x14ac:dyDescent="0.15">
      <c r="A2635" s="37"/>
    </row>
    <row r="2636" spans="1:1" x14ac:dyDescent="0.15">
      <c r="A2636" s="37"/>
    </row>
    <row r="2637" spans="1:1" x14ac:dyDescent="0.15">
      <c r="A2637" s="37"/>
    </row>
    <row r="2638" spans="1:1" x14ac:dyDescent="0.15">
      <c r="A2638" s="37"/>
    </row>
    <row r="2639" spans="1:1" x14ac:dyDescent="0.15">
      <c r="A2639" s="37"/>
    </row>
    <row r="2640" spans="1:1" x14ac:dyDescent="0.15">
      <c r="A2640" s="37"/>
    </row>
    <row r="2641" spans="1:1" x14ac:dyDescent="0.15">
      <c r="A2641" s="37"/>
    </row>
    <row r="2642" spans="1:1" x14ac:dyDescent="0.15">
      <c r="A2642" s="37"/>
    </row>
    <row r="2643" spans="1:1" x14ac:dyDescent="0.15">
      <c r="A2643" s="37"/>
    </row>
    <row r="2644" spans="1:1" x14ac:dyDescent="0.15">
      <c r="A2644" s="37"/>
    </row>
    <row r="2645" spans="1:1" x14ac:dyDescent="0.15">
      <c r="A2645" s="37"/>
    </row>
    <row r="2646" spans="1:1" x14ac:dyDescent="0.15">
      <c r="A2646" s="37"/>
    </row>
    <row r="2647" spans="1:1" x14ac:dyDescent="0.15">
      <c r="A2647" s="37"/>
    </row>
    <row r="2648" spans="1:1" x14ac:dyDescent="0.15">
      <c r="A2648" s="37"/>
    </row>
    <row r="2649" spans="1:1" x14ac:dyDescent="0.15">
      <c r="A2649" s="37"/>
    </row>
    <row r="2650" spans="1:1" x14ac:dyDescent="0.15">
      <c r="A2650" s="37"/>
    </row>
    <row r="2651" spans="1:1" x14ac:dyDescent="0.15">
      <c r="A2651" s="37"/>
    </row>
    <row r="2652" spans="1:1" x14ac:dyDescent="0.15">
      <c r="A2652" s="37"/>
    </row>
    <row r="2653" spans="1:1" x14ac:dyDescent="0.15">
      <c r="A2653" s="37"/>
    </row>
    <row r="2654" spans="1:1" x14ac:dyDescent="0.15">
      <c r="A2654" s="37"/>
    </row>
    <row r="2655" spans="1:1" x14ac:dyDescent="0.15">
      <c r="A2655" s="37"/>
    </row>
    <row r="2656" spans="1:1" x14ac:dyDescent="0.15">
      <c r="A2656" s="37"/>
    </row>
    <row r="2657" spans="1:1" x14ac:dyDescent="0.15">
      <c r="A2657" s="37"/>
    </row>
    <row r="2658" spans="1:1" x14ac:dyDescent="0.15">
      <c r="A2658" s="37"/>
    </row>
    <row r="2659" spans="1:1" x14ac:dyDescent="0.15">
      <c r="A2659" s="37"/>
    </row>
    <row r="2660" spans="1:1" x14ac:dyDescent="0.15">
      <c r="A2660" s="37"/>
    </row>
    <row r="2661" spans="1:1" x14ac:dyDescent="0.15">
      <c r="A2661" s="37"/>
    </row>
    <row r="2662" spans="1:1" x14ac:dyDescent="0.15">
      <c r="A2662" s="37"/>
    </row>
    <row r="2663" spans="1:1" x14ac:dyDescent="0.15">
      <c r="A2663" s="37"/>
    </row>
    <row r="2664" spans="1:1" x14ac:dyDescent="0.15">
      <c r="A2664" s="37"/>
    </row>
    <row r="2665" spans="1:1" x14ac:dyDescent="0.15">
      <c r="A2665" s="37"/>
    </row>
    <row r="2666" spans="1:1" x14ac:dyDescent="0.15">
      <c r="A2666" s="37"/>
    </row>
    <row r="2667" spans="1:1" x14ac:dyDescent="0.15">
      <c r="A2667" s="37"/>
    </row>
    <row r="2668" spans="1:1" x14ac:dyDescent="0.15">
      <c r="A2668" s="37"/>
    </row>
    <row r="2669" spans="1:1" x14ac:dyDescent="0.15">
      <c r="A2669" s="37"/>
    </row>
    <row r="2670" spans="1:1" x14ac:dyDescent="0.15">
      <c r="A2670" s="37"/>
    </row>
    <row r="2671" spans="1:1" x14ac:dyDescent="0.15">
      <c r="A2671" s="37"/>
    </row>
    <row r="2672" spans="1:1" x14ac:dyDescent="0.15">
      <c r="A2672" s="37"/>
    </row>
    <row r="2673" spans="1:1" x14ac:dyDescent="0.15">
      <c r="A2673" s="37"/>
    </row>
    <row r="2674" spans="1:1" x14ac:dyDescent="0.15">
      <c r="A2674" s="37"/>
    </row>
    <row r="2675" spans="1:1" x14ac:dyDescent="0.15">
      <c r="A2675" s="37"/>
    </row>
    <row r="2676" spans="1:1" x14ac:dyDescent="0.15">
      <c r="A2676" s="37"/>
    </row>
    <row r="2677" spans="1:1" x14ac:dyDescent="0.15">
      <c r="A2677" s="37"/>
    </row>
    <row r="2678" spans="1:1" x14ac:dyDescent="0.15">
      <c r="A2678" s="37"/>
    </row>
    <row r="2679" spans="1:1" x14ac:dyDescent="0.15">
      <c r="A2679" s="37"/>
    </row>
    <row r="2680" spans="1:1" x14ac:dyDescent="0.15">
      <c r="A2680" s="37"/>
    </row>
    <row r="2681" spans="1:1" x14ac:dyDescent="0.15">
      <c r="A2681" s="37"/>
    </row>
    <row r="2682" spans="1:1" x14ac:dyDescent="0.15">
      <c r="A2682" s="37"/>
    </row>
    <row r="2683" spans="1:1" x14ac:dyDescent="0.15">
      <c r="A2683" s="37"/>
    </row>
    <row r="2684" spans="1:1" x14ac:dyDescent="0.15">
      <c r="A2684" s="37"/>
    </row>
    <row r="2685" spans="1:1" x14ac:dyDescent="0.15">
      <c r="A2685" s="37"/>
    </row>
    <row r="2686" spans="1:1" x14ac:dyDescent="0.15">
      <c r="A2686" s="37"/>
    </row>
    <row r="2687" spans="1:1" x14ac:dyDescent="0.15">
      <c r="A2687" s="37"/>
    </row>
    <row r="2688" spans="1:1" x14ac:dyDescent="0.15">
      <c r="A2688" s="37"/>
    </row>
    <row r="2689" spans="1:1" x14ac:dyDescent="0.15">
      <c r="A2689" s="37"/>
    </row>
    <row r="2690" spans="1:1" x14ac:dyDescent="0.15">
      <c r="A2690" s="37"/>
    </row>
    <row r="2691" spans="1:1" x14ac:dyDescent="0.15">
      <c r="A2691" s="37"/>
    </row>
    <row r="2692" spans="1:1" x14ac:dyDescent="0.15">
      <c r="A2692" s="37"/>
    </row>
    <row r="2693" spans="1:1" x14ac:dyDescent="0.15">
      <c r="A2693" s="37"/>
    </row>
    <row r="2694" spans="1:1" x14ac:dyDescent="0.15">
      <c r="A2694" s="37"/>
    </row>
    <row r="2695" spans="1:1" x14ac:dyDescent="0.15">
      <c r="A2695" s="37"/>
    </row>
    <row r="2696" spans="1:1" x14ac:dyDescent="0.15">
      <c r="A2696" s="37"/>
    </row>
    <row r="2697" spans="1:1" x14ac:dyDescent="0.15">
      <c r="A2697" s="37"/>
    </row>
    <row r="2698" spans="1:1" x14ac:dyDescent="0.15">
      <c r="A2698" s="37"/>
    </row>
    <row r="2699" spans="1:1" x14ac:dyDescent="0.15">
      <c r="A2699" s="37"/>
    </row>
    <row r="2700" spans="1:1" x14ac:dyDescent="0.15">
      <c r="A2700" s="37"/>
    </row>
    <row r="2701" spans="1:1" x14ac:dyDescent="0.15">
      <c r="A2701" s="37"/>
    </row>
    <row r="2702" spans="1:1" x14ac:dyDescent="0.15">
      <c r="A2702" s="37"/>
    </row>
    <row r="2703" spans="1:1" x14ac:dyDescent="0.15">
      <c r="A2703" s="37"/>
    </row>
    <row r="2704" spans="1:1" x14ac:dyDescent="0.15">
      <c r="A2704" s="37"/>
    </row>
    <row r="2705" spans="1:1" x14ac:dyDescent="0.15">
      <c r="A2705" s="37"/>
    </row>
    <row r="2706" spans="1:1" x14ac:dyDescent="0.15">
      <c r="A2706" s="37"/>
    </row>
    <row r="2707" spans="1:1" x14ac:dyDescent="0.15">
      <c r="A2707" s="37"/>
    </row>
    <row r="2708" spans="1:1" x14ac:dyDescent="0.15">
      <c r="A2708" s="37"/>
    </row>
    <row r="2709" spans="1:1" x14ac:dyDescent="0.15">
      <c r="A2709" s="37"/>
    </row>
    <row r="2710" spans="1:1" x14ac:dyDescent="0.15">
      <c r="A2710" s="37"/>
    </row>
    <row r="2711" spans="1:1" x14ac:dyDescent="0.15">
      <c r="A2711" s="37"/>
    </row>
    <row r="2712" spans="1:1" x14ac:dyDescent="0.15">
      <c r="A2712" s="37"/>
    </row>
    <row r="2713" spans="1:1" x14ac:dyDescent="0.15">
      <c r="A2713" s="37"/>
    </row>
    <row r="2714" spans="1:1" x14ac:dyDescent="0.15">
      <c r="A2714" s="37"/>
    </row>
    <row r="2715" spans="1:1" x14ac:dyDescent="0.15">
      <c r="A2715" s="37"/>
    </row>
    <row r="2716" spans="1:1" x14ac:dyDescent="0.15">
      <c r="A2716" s="37"/>
    </row>
    <row r="2717" spans="1:1" x14ac:dyDescent="0.15">
      <c r="A2717" s="37"/>
    </row>
    <row r="2718" spans="1:1" x14ac:dyDescent="0.15">
      <c r="A2718" s="37"/>
    </row>
    <row r="2719" spans="1:1" x14ac:dyDescent="0.15">
      <c r="A2719" s="37"/>
    </row>
    <row r="2720" spans="1:1" x14ac:dyDescent="0.15">
      <c r="A2720" s="37"/>
    </row>
    <row r="2721" spans="1:1" x14ac:dyDescent="0.15">
      <c r="A2721" s="37"/>
    </row>
    <row r="2722" spans="1:1" x14ac:dyDescent="0.15">
      <c r="A2722" s="37"/>
    </row>
    <row r="2723" spans="1:1" x14ac:dyDescent="0.15">
      <c r="A2723" s="37"/>
    </row>
    <row r="2724" spans="1:1" x14ac:dyDescent="0.15">
      <c r="A2724" s="37"/>
    </row>
    <row r="2725" spans="1:1" x14ac:dyDescent="0.15">
      <c r="A2725" s="37"/>
    </row>
    <row r="2726" spans="1:1" x14ac:dyDescent="0.15">
      <c r="A2726" s="37"/>
    </row>
    <row r="2727" spans="1:1" x14ac:dyDescent="0.15">
      <c r="A2727" s="37"/>
    </row>
    <row r="2728" spans="1:1" x14ac:dyDescent="0.15">
      <c r="A2728" s="37"/>
    </row>
    <row r="2729" spans="1:1" x14ac:dyDescent="0.15">
      <c r="A2729" s="37"/>
    </row>
    <row r="2730" spans="1:1" x14ac:dyDescent="0.15">
      <c r="A2730" s="37"/>
    </row>
    <row r="2731" spans="1:1" x14ac:dyDescent="0.15">
      <c r="A2731" s="37"/>
    </row>
    <row r="2732" spans="1:1" x14ac:dyDescent="0.15">
      <c r="A2732" s="37"/>
    </row>
    <row r="2733" spans="1:1" x14ac:dyDescent="0.15">
      <c r="A2733" s="37"/>
    </row>
    <row r="2734" spans="1:1" x14ac:dyDescent="0.15">
      <c r="A2734" s="37"/>
    </row>
    <row r="2735" spans="1:1" x14ac:dyDescent="0.15">
      <c r="A2735" s="37"/>
    </row>
    <row r="2736" spans="1:1" x14ac:dyDescent="0.15">
      <c r="A2736" s="37"/>
    </row>
    <row r="2737" spans="1:1" x14ac:dyDescent="0.15">
      <c r="A2737" s="37"/>
    </row>
    <row r="2738" spans="1:1" x14ac:dyDescent="0.15">
      <c r="A2738" s="37"/>
    </row>
    <row r="2739" spans="1:1" x14ac:dyDescent="0.15">
      <c r="A2739" s="37"/>
    </row>
    <row r="2740" spans="1:1" x14ac:dyDescent="0.15">
      <c r="A2740" s="37"/>
    </row>
    <row r="2741" spans="1:1" x14ac:dyDescent="0.15">
      <c r="A2741" s="37"/>
    </row>
    <row r="2742" spans="1:1" x14ac:dyDescent="0.15">
      <c r="A2742" s="37"/>
    </row>
    <row r="2743" spans="1:1" x14ac:dyDescent="0.15">
      <c r="A2743" s="37"/>
    </row>
    <row r="2744" spans="1:1" x14ac:dyDescent="0.15">
      <c r="A2744" s="37"/>
    </row>
    <row r="2745" spans="1:1" x14ac:dyDescent="0.15">
      <c r="A2745" s="37"/>
    </row>
    <row r="2746" spans="1:1" x14ac:dyDescent="0.15">
      <c r="A2746" s="37"/>
    </row>
    <row r="2747" spans="1:1" x14ac:dyDescent="0.15">
      <c r="A2747" s="37"/>
    </row>
    <row r="2748" spans="1:1" x14ac:dyDescent="0.15">
      <c r="A2748" s="37"/>
    </row>
    <row r="2749" spans="1:1" x14ac:dyDescent="0.15">
      <c r="A2749" s="37"/>
    </row>
    <row r="2750" spans="1:1" x14ac:dyDescent="0.15">
      <c r="A2750" s="37"/>
    </row>
    <row r="2751" spans="1:1" x14ac:dyDescent="0.15">
      <c r="A2751" s="37"/>
    </row>
    <row r="2752" spans="1:1" x14ac:dyDescent="0.15">
      <c r="A2752" s="37"/>
    </row>
    <row r="2753" spans="1:1" x14ac:dyDescent="0.15">
      <c r="A2753" s="37"/>
    </row>
    <row r="2754" spans="1:1" x14ac:dyDescent="0.15">
      <c r="A2754" s="37"/>
    </row>
    <row r="2755" spans="1:1" x14ac:dyDescent="0.15">
      <c r="A2755" s="37"/>
    </row>
    <row r="2756" spans="1:1" x14ac:dyDescent="0.15">
      <c r="A2756" s="37"/>
    </row>
    <row r="2757" spans="1:1" x14ac:dyDescent="0.15">
      <c r="A2757" s="37"/>
    </row>
    <row r="2758" spans="1:1" x14ac:dyDescent="0.15">
      <c r="A2758" s="37"/>
    </row>
    <row r="2759" spans="1:1" x14ac:dyDescent="0.15">
      <c r="A2759" s="37"/>
    </row>
    <row r="2760" spans="1:1" x14ac:dyDescent="0.15">
      <c r="A2760" s="37"/>
    </row>
    <row r="2761" spans="1:1" x14ac:dyDescent="0.15">
      <c r="A2761" s="37"/>
    </row>
    <row r="2762" spans="1:1" x14ac:dyDescent="0.15">
      <c r="A2762" s="37"/>
    </row>
    <row r="2763" spans="1:1" x14ac:dyDescent="0.15">
      <c r="A2763" s="37"/>
    </row>
    <row r="2764" spans="1:1" x14ac:dyDescent="0.15">
      <c r="A2764" s="37"/>
    </row>
    <row r="2765" spans="1:1" x14ac:dyDescent="0.15">
      <c r="A2765" s="37"/>
    </row>
    <row r="2766" spans="1:1" x14ac:dyDescent="0.15">
      <c r="A2766" s="37"/>
    </row>
    <row r="2767" spans="1:1" x14ac:dyDescent="0.15">
      <c r="A2767" s="37"/>
    </row>
    <row r="2768" spans="1:1" x14ac:dyDescent="0.15">
      <c r="A2768" s="37"/>
    </row>
    <row r="2769" spans="1:1" x14ac:dyDescent="0.15">
      <c r="A2769" s="37"/>
    </row>
    <row r="2770" spans="1:1" x14ac:dyDescent="0.15">
      <c r="A2770" s="37"/>
    </row>
    <row r="2771" spans="1:1" x14ac:dyDescent="0.15">
      <c r="A2771" s="37"/>
    </row>
    <row r="2772" spans="1:1" x14ac:dyDescent="0.15">
      <c r="A2772" s="37"/>
    </row>
    <row r="2773" spans="1:1" x14ac:dyDescent="0.15">
      <c r="A2773" s="37"/>
    </row>
    <row r="2774" spans="1:1" x14ac:dyDescent="0.15">
      <c r="A2774" s="37"/>
    </row>
    <row r="2775" spans="1:1" x14ac:dyDescent="0.15">
      <c r="A2775" s="37"/>
    </row>
    <row r="2776" spans="1:1" x14ac:dyDescent="0.15">
      <c r="A2776" s="37"/>
    </row>
    <row r="2777" spans="1:1" x14ac:dyDescent="0.15">
      <c r="A2777" s="37"/>
    </row>
    <row r="2778" spans="1:1" x14ac:dyDescent="0.15">
      <c r="A2778" s="37"/>
    </row>
    <row r="2779" spans="1:1" x14ac:dyDescent="0.15">
      <c r="A2779" s="37"/>
    </row>
    <row r="2780" spans="1:1" x14ac:dyDescent="0.15">
      <c r="A2780" s="37"/>
    </row>
    <row r="2781" spans="1:1" x14ac:dyDescent="0.15">
      <c r="A2781" s="37"/>
    </row>
    <row r="2782" spans="1:1" x14ac:dyDescent="0.15">
      <c r="A2782" s="37"/>
    </row>
    <row r="2783" spans="1:1" x14ac:dyDescent="0.15">
      <c r="A2783" s="37"/>
    </row>
    <row r="2784" spans="1:1" x14ac:dyDescent="0.15">
      <c r="A2784" s="37"/>
    </row>
    <row r="2785" spans="1:1" x14ac:dyDescent="0.15">
      <c r="A2785" s="37"/>
    </row>
    <row r="2786" spans="1:1" x14ac:dyDescent="0.15">
      <c r="A2786" s="37"/>
    </row>
    <row r="2787" spans="1:1" x14ac:dyDescent="0.15">
      <c r="A2787" s="37"/>
    </row>
    <row r="2788" spans="1:1" x14ac:dyDescent="0.15">
      <c r="A2788" s="37"/>
    </row>
    <row r="2789" spans="1:1" x14ac:dyDescent="0.15">
      <c r="A2789" s="37"/>
    </row>
    <row r="2790" spans="1:1" x14ac:dyDescent="0.15">
      <c r="A2790" s="37"/>
    </row>
    <row r="2791" spans="1:1" x14ac:dyDescent="0.15">
      <c r="A2791" s="37"/>
    </row>
    <row r="2792" spans="1:1" x14ac:dyDescent="0.15">
      <c r="A2792" s="37"/>
    </row>
    <row r="2793" spans="1:1" x14ac:dyDescent="0.15">
      <c r="A2793" s="37"/>
    </row>
    <row r="2794" spans="1:1" x14ac:dyDescent="0.15">
      <c r="A2794" s="37"/>
    </row>
    <row r="2795" spans="1:1" x14ac:dyDescent="0.15">
      <c r="A2795" s="37"/>
    </row>
    <row r="2796" spans="1:1" x14ac:dyDescent="0.15">
      <c r="A2796" s="37"/>
    </row>
    <row r="2797" spans="1:1" x14ac:dyDescent="0.15">
      <c r="A2797" s="37"/>
    </row>
    <row r="2798" spans="1:1" x14ac:dyDescent="0.15">
      <c r="A2798" s="37"/>
    </row>
    <row r="2799" spans="1:1" x14ac:dyDescent="0.15">
      <c r="A2799" s="37"/>
    </row>
    <row r="2800" spans="1:1" x14ac:dyDescent="0.15">
      <c r="A2800" s="37"/>
    </row>
    <row r="2801" spans="1:1" x14ac:dyDescent="0.15">
      <c r="A2801" s="37"/>
    </row>
    <row r="2802" spans="1:1" x14ac:dyDescent="0.15">
      <c r="A2802" s="37"/>
    </row>
    <row r="2803" spans="1:1" x14ac:dyDescent="0.15">
      <c r="A2803" s="37"/>
    </row>
    <row r="2804" spans="1:1" x14ac:dyDescent="0.15">
      <c r="A2804" s="37"/>
    </row>
    <row r="2805" spans="1:1" x14ac:dyDescent="0.15">
      <c r="A2805" s="37"/>
    </row>
    <row r="2806" spans="1:1" x14ac:dyDescent="0.15">
      <c r="A2806" s="37"/>
    </row>
    <row r="2807" spans="1:1" x14ac:dyDescent="0.15">
      <c r="A2807" s="37"/>
    </row>
    <row r="2808" spans="1:1" x14ac:dyDescent="0.15">
      <c r="A2808" s="37"/>
    </row>
    <row r="2809" spans="1:1" x14ac:dyDescent="0.15">
      <c r="A2809" s="37"/>
    </row>
    <row r="2810" spans="1:1" x14ac:dyDescent="0.15">
      <c r="A2810" s="37"/>
    </row>
    <row r="2811" spans="1:1" x14ac:dyDescent="0.15">
      <c r="A2811" s="37"/>
    </row>
    <row r="2812" spans="1:1" x14ac:dyDescent="0.15">
      <c r="A2812" s="37"/>
    </row>
    <row r="2813" spans="1:1" x14ac:dyDescent="0.15">
      <c r="A2813" s="37"/>
    </row>
    <row r="2814" spans="1:1" x14ac:dyDescent="0.15">
      <c r="A2814" s="37"/>
    </row>
    <row r="2815" spans="1:1" x14ac:dyDescent="0.15">
      <c r="A2815" s="37"/>
    </row>
    <row r="2816" spans="1:1" x14ac:dyDescent="0.15">
      <c r="A2816" s="37"/>
    </row>
    <row r="2817" spans="1:1" x14ac:dyDescent="0.15">
      <c r="A2817" s="37"/>
    </row>
    <row r="2818" spans="1:1" x14ac:dyDescent="0.15">
      <c r="A2818" s="37"/>
    </row>
    <row r="2819" spans="1:1" x14ac:dyDescent="0.15">
      <c r="A2819" s="37"/>
    </row>
    <row r="2820" spans="1:1" x14ac:dyDescent="0.15">
      <c r="A2820" s="37"/>
    </row>
    <row r="2821" spans="1:1" x14ac:dyDescent="0.15">
      <c r="A2821" s="37"/>
    </row>
    <row r="2822" spans="1:1" x14ac:dyDescent="0.15">
      <c r="A2822" s="37"/>
    </row>
    <row r="2823" spans="1:1" x14ac:dyDescent="0.15">
      <c r="A2823" s="37"/>
    </row>
    <row r="2824" spans="1:1" x14ac:dyDescent="0.15">
      <c r="A2824" s="37"/>
    </row>
    <row r="2825" spans="1:1" x14ac:dyDescent="0.15">
      <c r="A2825" s="37"/>
    </row>
    <row r="2826" spans="1:1" x14ac:dyDescent="0.15">
      <c r="A2826" s="37"/>
    </row>
    <row r="2827" spans="1:1" x14ac:dyDescent="0.15">
      <c r="A2827" s="37"/>
    </row>
    <row r="2828" spans="1:1" x14ac:dyDescent="0.15">
      <c r="A2828" s="37"/>
    </row>
    <row r="2829" spans="1:1" x14ac:dyDescent="0.15">
      <c r="A2829" s="37"/>
    </row>
    <row r="2830" spans="1:1" x14ac:dyDescent="0.15">
      <c r="A2830" s="37"/>
    </row>
    <row r="2831" spans="1:1" x14ac:dyDescent="0.15">
      <c r="A2831" s="37"/>
    </row>
    <row r="2832" spans="1:1" x14ac:dyDescent="0.15">
      <c r="A2832" s="37"/>
    </row>
    <row r="2833" spans="1:1" x14ac:dyDescent="0.15">
      <c r="A2833" s="37"/>
    </row>
    <row r="2834" spans="1:1" x14ac:dyDescent="0.15">
      <c r="A2834" s="37"/>
    </row>
    <row r="2835" spans="1:1" x14ac:dyDescent="0.15">
      <c r="A2835" s="37"/>
    </row>
    <row r="2836" spans="1:1" x14ac:dyDescent="0.15">
      <c r="A2836" s="37"/>
    </row>
    <row r="2837" spans="1:1" x14ac:dyDescent="0.15">
      <c r="A2837" s="37"/>
    </row>
    <row r="2838" spans="1:1" x14ac:dyDescent="0.15">
      <c r="A2838" s="37"/>
    </row>
    <row r="2839" spans="1:1" x14ac:dyDescent="0.15">
      <c r="A2839" s="37"/>
    </row>
    <row r="2840" spans="1:1" x14ac:dyDescent="0.15">
      <c r="A2840" s="37"/>
    </row>
    <row r="2841" spans="1:1" x14ac:dyDescent="0.15">
      <c r="A2841" s="37"/>
    </row>
    <row r="2842" spans="1:1" x14ac:dyDescent="0.15">
      <c r="A2842" s="37"/>
    </row>
    <row r="2843" spans="1:1" x14ac:dyDescent="0.15">
      <c r="A2843" s="37"/>
    </row>
    <row r="2844" spans="1:1" x14ac:dyDescent="0.15">
      <c r="A2844" s="37"/>
    </row>
    <row r="2845" spans="1:1" x14ac:dyDescent="0.15">
      <c r="A2845" s="37"/>
    </row>
    <row r="2846" spans="1:1" x14ac:dyDescent="0.15">
      <c r="A2846" s="37"/>
    </row>
    <row r="2847" spans="1:1" x14ac:dyDescent="0.15">
      <c r="A2847" s="37"/>
    </row>
    <row r="2848" spans="1:1" x14ac:dyDescent="0.15">
      <c r="A2848" s="37"/>
    </row>
    <row r="2849" spans="1:1" x14ac:dyDescent="0.15">
      <c r="A2849" s="37"/>
    </row>
    <row r="2850" spans="1:1" x14ac:dyDescent="0.15">
      <c r="A2850" s="37"/>
    </row>
    <row r="2851" spans="1:1" x14ac:dyDescent="0.15">
      <c r="A2851" s="37"/>
    </row>
    <row r="2852" spans="1:1" x14ac:dyDescent="0.15">
      <c r="A2852" s="37"/>
    </row>
    <row r="2853" spans="1:1" x14ac:dyDescent="0.15">
      <c r="A2853" s="37"/>
    </row>
    <row r="2854" spans="1:1" x14ac:dyDescent="0.15">
      <c r="A2854" s="37"/>
    </row>
    <row r="2855" spans="1:1" x14ac:dyDescent="0.15">
      <c r="A2855" s="37"/>
    </row>
    <row r="2856" spans="1:1" x14ac:dyDescent="0.15">
      <c r="A2856" s="37"/>
    </row>
    <row r="2857" spans="1:1" x14ac:dyDescent="0.15">
      <c r="A2857" s="37"/>
    </row>
    <row r="2858" spans="1:1" x14ac:dyDescent="0.15">
      <c r="A2858" s="37"/>
    </row>
    <row r="2859" spans="1:1" x14ac:dyDescent="0.15">
      <c r="A2859" s="37"/>
    </row>
    <row r="2860" spans="1:1" x14ac:dyDescent="0.15">
      <c r="A2860" s="37"/>
    </row>
    <row r="2861" spans="1:1" x14ac:dyDescent="0.15">
      <c r="A2861" s="37"/>
    </row>
    <row r="2862" spans="1:1" x14ac:dyDescent="0.15">
      <c r="A2862" s="37"/>
    </row>
    <row r="2863" spans="1:1" x14ac:dyDescent="0.15">
      <c r="A2863" s="37"/>
    </row>
    <row r="2864" spans="1:1" x14ac:dyDescent="0.15">
      <c r="A2864" s="37"/>
    </row>
    <row r="2865" spans="1:1" x14ac:dyDescent="0.15">
      <c r="A2865" s="37"/>
    </row>
    <row r="2866" spans="1:1" x14ac:dyDescent="0.15">
      <c r="A2866" s="37"/>
    </row>
    <row r="2867" spans="1:1" x14ac:dyDescent="0.15">
      <c r="A2867" s="37"/>
    </row>
    <row r="2868" spans="1:1" x14ac:dyDescent="0.15">
      <c r="A2868" s="37"/>
    </row>
    <row r="2869" spans="1:1" x14ac:dyDescent="0.15">
      <c r="A2869" s="37"/>
    </row>
    <row r="2870" spans="1:1" x14ac:dyDescent="0.15">
      <c r="A2870" s="37"/>
    </row>
    <row r="2871" spans="1:1" x14ac:dyDescent="0.15">
      <c r="A2871" s="37"/>
    </row>
    <row r="2872" spans="1:1" x14ac:dyDescent="0.15">
      <c r="A2872" s="37"/>
    </row>
    <row r="2873" spans="1:1" x14ac:dyDescent="0.15">
      <c r="A2873" s="37"/>
    </row>
    <row r="2874" spans="1:1" x14ac:dyDescent="0.15">
      <c r="A2874" s="37"/>
    </row>
    <row r="2875" spans="1:1" x14ac:dyDescent="0.15">
      <c r="A2875" s="37"/>
    </row>
    <row r="2876" spans="1:1" x14ac:dyDescent="0.15">
      <c r="A2876" s="37"/>
    </row>
    <row r="2877" spans="1:1" x14ac:dyDescent="0.15">
      <c r="A2877" s="37"/>
    </row>
    <row r="2878" spans="1:1" x14ac:dyDescent="0.15">
      <c r="A2878" s="37"/>
    </row>
    <row r="2879" spans="1:1" x14ac:dyDescent="0.15">
      <c r="A2879" s="37"/>
    </row>
    <row r="2880" spans="1:1" x14ac:dyDescent="0.15">
      <c r="A2880" s="37"/>
    </row>
    <row r="2881" spans="1:1" x14ac:dyDescent="0.15">
      <c r="A2881" s="37"/>
    </row>
    <row r="2882" spans="1:1" x14ac:dyDescent="0.15">
      <c r="A2882" s="37"/>
    </row>
    <row r="2883" spans="1:1" x14ac:dyDescent="0.15">
      <c r="A2883" s="37"/>
    </row>
    <row r="2884" spans="1:1" x14ac:dyDescent="0.15">
      <c r="A2884" s="37"/>
    </row>
    <row r="2885" spans="1:1" x14ac:dyDescent="0.15">
      <c r="A2885" s="37"/>
    </row>
    <row r="2886" spans="1:1" x14ac:dyDescent="0.15">
      <c r="A2886" s="37"/>
    </row>
    <row r="2887" spans="1:1" x14ac:dyDescent="0.15">
      <c r="A2887" s="37"/>
    </row>
    <row r="2888" spans="1:1" x14ac:dyDescent="0.15">
      <c r="A2888" s="37"/>
    </row>
    <row r="2889" spans="1:1" x14ac:dyDescent="0.15">
      <c r="A2889" s="37"/>
    </row>
    <row r="2890" spans="1:1" x14ac:dyDescent="0.15">
      <c r="A2890" s="37"/>
    </row>
    <row r="2891" spans="1:1" x14ac:dyDescent="0.15">
      <c r="A2891" s="37"/>
    </row>
    <row r="2892" spans="1:1" x14ac:dyDescent="0.15">
      <c r="A2892" s="37"/>
    </row>
    <row r="2893" spans="1:1" x14ac:dyDescent="0.15">
      <c r="A2893" s="37"/>
    </row>
    <row r="2894" spans="1:1" x14ac:dyDescent="0.15">
      <c r="A2894" s="37"/>
    </row>
    <row r="2895" spans="1:1" x14ac:dyDescent="0.15">
      <c r="A2895" s="37"/>
    </row>
    <row r="2896" spans="1:1" x14ac:dyDescent="0.15">
      <c r="A2896" s="37"/>
    </row>
    <row r="2897" spans="1:1" x14ac:dyDescent="0.15">
      <c r="A2897" s="37"/>
    </row>
    <row r="2898" spans="1:1" x14ac:dyDescent="0.15">
      <c r="A2898" s="37"/>
    </row>
    <row r="2899" spans="1:1" x14ac:dyDescent="0.15">
      <c r="A2899" s="37"/>
    </row>
    <row r="2900" spans="1:1" x14ac:dyDescent="0.15">
      <c r="A2900" s="37"/>
    </row>
    <row r="2901" spans="1:1" x14ac:dyDescent="0.15">
      <c r="A2901" s="37"/>
    </row>
    <row r="2902" spans="1:1" x14ac:dyDescent="0.15">
      <c r="A2902" s="37"/>
    </row>
    <row r="2903" spans="1:1" x14ac:dyDescent="0.15">
      <c r="A2903" s="37"/>
    </row>
    <row r="2904" spans="1:1" x14ac:dyDescent="0.15">
      <c r="A2904" s="37"/>
    </row>
    <row r="2905" spans="1:1" x14ac:dyDescent="0.15">
      <c r="A2905" s="37"/>
    </row>
    <row r="2906" spans="1:1" x14ac:dyDescent="0.15">
      <c r="A2906" s="37"/>
    </row>
    <row r="2907" spans="1:1" x14ac:dyDescent="0.15">
      <c r="A2907" s="37"/>
    </row>
    <row r="2908" spans="1:1" x14ac:dyDescent="0.15">
      <c r="A2908" s="37"/>
    </row>
    <row r="2909" spans="1:1" x14ac:dyDescent="0.15">
      <c r="A2909" s="37"/>
    </row>
    <row r="2910" spans="1:1" x14ac:dyDescent="0.15">
      <c r="A2910" s="37"/>
    </row>
    <row r="2911" spans="1:1" x14ac:dyDescent="0.15">
      <c r="A2911" s="37"/>
    </row>
    <row r="2912" spans="1:1" x14ac:dyDescent="0.15">
      <c r="A2912" s="37"/>
    </row>
    <row r="2913" spans="1:1" x14ac:dyDescent="0.15">
      <c r="A2913" s="37"/>
    </row>
    <row r="2914" spans="1:1" x14ac:dyDescent="0.15">
      <c r="A2914" s="37"/>
    </row>
    <row r="2915" spans="1:1" x14ac:dyDescent="0.15">
      <c r="A2915" s="37"/>
    </row>
    <row r="2916" spans="1:1" x14ac:dyDescent="0.15">
      <c r="A2916" s="37"/>
    </row>
    <row r="2917" spans="1:1" x14ac:dyDescent="0.15">
      <c r="A2917" s="37"/>
    </row>
    <row r="2918" spans="1:1" x14ac:dyDescent="0.15">
      <c r="A2918" s="37"/>
    </row>
    <row r="2919" spans="1:1" x14ac:dyDescent="0.15">
      <c r="A2919" s="37"/>
    </row>
    <row r="2920" spans="1:1" x14ac:dyDescent="0.15">
      <c r="A2920" s="37"/>
    </row>
    <row r="2921" spans="1:1" x14ac:dyDescent="0.15">
      <c r="A2921" s="37"/>
    </row>
    <row r="2922" spans="1:1" x14ac:dyDescent="0.15">
      <c r="A2922" s="37"/>
    </row>
    <row r="2923" spans="1:1" x14ac:dyDescent="0.15">
      <c r="A2923" s="37"/>
    </row>
    <row r="2924" spans="1:1" x14ac:dyDescent="0.15">
      <c r="A2924" s="37"/>
    </row>
    <row r="2925" spans="1:1" x14ac:dyDescent="0.15">
      <c r="A2925" s="37"/>
    </row>
    <row r="2926" spans="1:1" x14ac:dyDescent="0.15">
      <c r="A2926" s="37"/>
    </row>
    <row r="2927" spans="1:1" x14ac:dyDescent="0.15">
      <c r="A2927" s="37"/>
    </row>
    <row r="2928" spans="1:1" x14ac:dyDescent="0.15">
      <c r="A2928" s="37"/>
    </row>
    <row r="2929" spans="1:1" x14ac:dyDescent="0.15">
      <c r="A2929" s="37"/>
    </row>
    <row r="2930" spans="1:1" x14ac:dyDescent="0.15">
      <c r="A2930" s="37"/>
    </row>
    <row r="2931" spans="1:1" x14ac:dyDescent="0.15">
      <c r="A2931" s="37"/>
    </row>
    <row r="2932" spans="1:1" x14ac:dyDescent="0.15">
      <c r="A2932" s="37"/>
    </row>
    <row r="2933" spans="1:1" x14ac:dyDescent="0.15">
      <c r="A2933" s="37"/>
    </row>
    <row r="2934" spans="1:1" x14ac:dyDescent="0.15">
      <c r="A2934" s="37"/>
    </row>
    <row r="2935" spans="1:1" x14ac:dyDescent="0.15">
      <c r="A2935" s="37"/>
    </row>
    <row r="2936" spans="1:1" x14ac:dyDescent="0.15">
      <c r="A2936" s="37"/>
    </row>
    <row r="2937" spans="1:1" x14ac:dyDescent="0.15">
      <c r="A2937" s="37"/>
    </row>
    <row r="2938" spans="1:1" x14ac:dyDescent="0.15">
      <c r="A2938" s="37"/>
    </row>
    <row r="2939" spans="1:1" x14ac:dyDescent="0.15">
      <c r="A2939" s="37"/>
    </row>
    <row r="2940" spans="1:1" x14ac:dyDescent="0.15">
      <c r="A2940" s="37"/>
    </row>
    <row r="2941" spans="1:1" x14ac:dyDescent="0.15">
      <c r="A2941" s="37"/>
    </row>
    <row r="2942" spans="1:1" x14ac:dyDescent="0.15">
      <c r="A2942" s="37"/>
    </row>
    <row r="2943" spans="1:1" x14ac:dyDescent="0.15">
      <c r="A2943" s="37"/>
    </row>
    <row r="2944" spans="1:1" x14ac:dyDescent="0.15">
      <c r="A2944" s="37"/>
    </row>
    <row r="2945" spans="1:1" x14ac:dyDescent="0.15">
      <c r="A2945" s="37"/>
    </row>
    <row r="2946" spans="1:1" x14ac:dyDescent="0.15">
      <c r="A2946" s="37"/>
    </row>
    <row r="2947" spans="1:1" x14ac:dyDescent="0.15">
      <c r="A2947" s="37"/>
    </row>
    <row r="2948" spans="1:1" x14ac:dyDescent="0.15">
      <c r="A2948" s="37"/>
    </row>
    <row r="2949" spans="1:1" x14ac:dyDescent="0.15">
      <c r="A2949" s="37"/>
    </row>
    <row r="2950" spans="1:1" x14ac:dyDescent="0.15">
      <c r="A2950" s="37"/>
    </row>
    <row r="2951" spans="1:1" x14ac:dyDescent="0.15">
      <c r="A2951" s="37"/>
    </row>
    <row r="2952" spans="1:1" x14ac:dyDescent="0.15">
      <c r="A2952" s="37"/>
    </row>
    <row r="2953" spans="1:1" x14ac:dyDescent="0.15">
      <c r="A2953" s="37"/>
    </row>
    <row r="2954" spans="1:1" x14ac:dyDescent="0.15">
      <c r="A2954" s="37"/>
    </row>
    <row r="2955" spans="1:1" x14ac:dyDescent="0.15">
      <c r="A2955" s="37"/>
    </row>
    <row r="2956" spans="1:1" x14ac:dyDescent="0.15">
      <c r="A2956" s="37"/>
    </row>
    <row r="2957" spans="1:1" x14ac:dyDescent="0.15">
      <c r="A2957" s="37"/>
    </row>
    <row r="2958" spans="1:1" x14ac:dyDescent="0.15">
      <c r="A2958" s="37"/>
    </row>
    <row r="2959" spans="1:1" x14ac:dyDescent="0.15">
      <c r="A2959" s="37"/>
    </row>
    <row r="2960" spans="1:1" x14ac:dyDescent="0.15">
      <c r="A2960" s="37"/>
    </row>
    <row r="2961" spans="1:1" x14ac:dyDescent="0.15">
      <c r="A2961" s="37"/>
    </row>
    <row r="2962" spans="1:1" x14ac:dyDescent="0.15">
      <c r="A2962" s="37"/>
    </row>
    <row r="2963" spans="1:1" x14ac:dyDescent="0.15">
      <c r="A2963" s="37"/>
    </row>
    <row r="2964" spans="1:1" x14ac:dyDescent="0.15">
      <c r="A2964" s="37"/>
    </row>
    <row r="2965" spans="1:1" x14ac:dyDescent="0.15">
      <c r="A2965" s="37"/>
    </row>
    <row r="2966" spans="1:1" x14ac:dyDescent="0.15">
      <c r="A2966" s="37"/>
    </row>
    <row r="2967" spans="1:1" x14ac:dyDescent="0.15">
      <c r="A2967" s="37"/>
    </row>
    <row r="2968" spans="1:1" x14ac:dyDescent="0.15">
      <c r="A2968" s="37"/>
    </row>
    <row r="2969" spans="1:1" x14ac:dyDescent="0.15">
      <c r="A2969" s="37"/>
    </row>
    <row r="2970" spans="1:1" x14ac:dyDescent="0.15">
      <c r="A2970" s="37"/>
    </row>
    <row r="2971" spans="1:1" x14ac:dyDescent="0.15">
      <c r="A2971" s="37"/>
    </row>
    <row r="2972" spans="1:1" x14ac:dyDescent="0.15">
      <c r="A2972" s="37"/>
    </row>
    <row r="2973" spans="1:1" x14ac:dyDescent="0.15">
      <c r="A2973" s="37"/>
    </row>
    <row r="2974" spans="1:1" x14ac:dyDescent="0.15">
      <c r="A2974" s="37"/>
    </row>
    <row r="2975" spans="1:1" x14ac:dyDescent="0.15">
      <c r="A2975" s="37"/>
    </row>
    <row r="2976" spans="1:1" x14ac:dyDescent="0.15">
      <c r="A2976" s="37"/>
    </row>
    <row r="2977" spans="1:1" x14ac:dyDescent="0.15">
      <c r="A2977" s="37"/>
    </row>
    <row r="2978" spans="1:1" x14ac:dyDescent="0.15">
      <c r="A2978" s="37"/>
    </row>
    <row r="2979" spans="1:1" x14ac:dyDescent="0.15">
      <c r="A2979" s="37"/>
    </row>
    <row r="2980" spans="1:1" x14ac:dyDescent="0.15">
      <c r="A2980" s="37"/>
    </row>
    <row r="2981" spans="1:1" x14ac:dyDescent="0.15">
      <c r="A2981" s="37"/>
    </row>
    <row r="2982" spans="1:1" x14ac:dyDescent="0.15">
      <c r="A2982" s="37"/>
    </row>
    <row r="2983" spans="1:1" x14ac:dyDescent="0.15">
      <c r="A2983" s="37"/>
    </row>
    <row r="2984" spans="1:1" x14ac:dyDescent="0.15">
      <c r="A2984" s="37"/>
    </row>
    <row r="2985" spans="1:1" x14ac:dyDescent="0.15">
      <c r="A2985" s="37"/>
    </row>
    <row r="2986" spans="1:1" x14ac:dyDescent="0.15">
      <c r="A2986" s="37"/>
    </row>
    <row r="2987" spans="1:1" x14ac:dyDescent="0.15">
      <c r="A2987" s="37"/>
    </row>
    <row r="2988" spans="1:1" x14ac:dyDescent="0.15">
      <c r="A2988" s="37"/>
    </row>
    <row r="2989" spans="1:1" x14ac:dyDescent="0.15">
      <c r="A2989" s="37"/>
    </row>
    <row r="2990" spans="1:1" x14ac:dyDescent="0.15">
      <c r="A2990" s="37"/>
    </row>
    <row r="2991" spans="1:1" x14ac:dyDescent="0.15">
      <c r="A2991" s="37"/>
    </row>
    <row r="2992" spans="1:1" x14ac:dyDescent="0.15">
      <c r="A2992" s="37"/>
    </row>
    <row r="2993" spans="1:1" x14ac:dyDescent="0.15">
      <c r="A2993" s="37"/>
    </row>
    <row r="2994" spans="1:1" x14ac:dyDescent="0.15">
      <c r="A2994" s="37"/>
    </row>
    <row r="2995" spans="1:1" x14ac:dyDescent="0.15">
      <c r="A2995" s="37"/>
    </row>
    <row r="2996" spans="1:1" x14ac:dyDescent="0.15">
      <c r="A2996" s="37"/>
    </row>
    <row r="2997" spans="1:1" x14ac:dyDescent="0.15">
      <c r="A2997" s="37"/>
    </row>
    <row r="2998" spans="1:1" x14ac:dyDescent="0.15">
      <c r="A2998" s="37"/>
    </row>
    <row r="2999" spans="1:1" x14ac:dyDescent="0.15">
      <c r="A2999" s="37"/>
    </row>
    <row r="3000" spans="1:1" x14ac:dyDescent="0.15">
      <c r="A3000" s="37"/>
    </row>
    <row r="3001" spans="1:1" x14ac:dyDescent="0.15">
      <c r="A3001" s="37"/>
    </row>
    <row r="3002" spans="1:1" x14ac:dyDescent="0.15">
      <c r="A3002" s="37"/>
    </row>
    <row r="3003" spans="1:1" x14ac:dyDescent="0.15">
      <c r="A3003" s="37"/>
    </row>
    <row r="3004" spans="1:1" x14ac:dyDescent="0.15">
      <c r="A3004" s="37"/>
    </row>
    <row r="3005" spans="1:1" x14ac:dyDescent="0.15">
      <c r="A3005" s="37"/>
    </row>
    <row r="3006" spans="1:1" x14ac:dyDescent="0.15">
      <c r="A3006" s="37"/>
    </row>
    <row r="3007" spans="1:1" x14ac:dyDescent="0.15">
      <c r="A3007" s="37"/>
    </row>
    <row r="3008" spans="1:1" x14ac:dyDescent="0.15">
      <c r="A3008" s="37"/>
    </row>
    <row r="3009" spans="1:1" x14ac:dyDescent="0.15">
      <c r="A3009" s="37"/>
    </row>
    <row r="3010" spans="1:1" x14ac:dyDescent="0.15">
      <c r="A3010" s="37"/>
    </row>
    <row r="3011" spans="1:1" x14ac:dyDescent="0.15">
      <c r="A3011" s="37"/>
    </row>
    <row r="3012" spans="1:1" x14ac:dyDescent="0.15">
      <c r="A3012" s="37"/>
    </row>
    <row r="3013" spans="1:1" x14ac:dyDescent="0.15">
      <c r="A3013" s="37"/>
    </row>
    <row r="3014" spans="1:1" x14ac:dyDescent="0.15">
      <c r="A3014" s="37"/>
    </row>
    <row r="3015" spans="1:1" x14ac:dyDescent="0.15">
      <c r="A3015" s="37"/>
    </row>
    <row r="3016" spans="1:1" x14ac:dyDescent="0.15">
      <c r="A3016" s="37"/>
    </row>
    <row r="3017" spans="1:1" x14ac:dyDescent="0.15">
      <c r="A3017" s="37"/>
    </row>
    <row r="3018" spans="1:1" x14ac:dyDescent="0.15">
      <c r="A3018" s="37"/>
    </row>
    <row r="3019" spans="1:1" x14ac:dyDescent="0.15">
      <c r="A3019" s="37"/>
    </row>
    <row r="3020" spans="1:1" x14ac:dyDescent="0.15">
      <c r="A3020" s="37"/>
    </row>
    <row r="3021" spans="1:1" x14ac:dyDescent="0.15">
      <c r="A3021" s="37"/>
    </row>
    <row r="3022" spans="1:1" x14ac:dyDescent="0.15">
      <c r="A3022" s="37"/>
    </row>
    <row r="3023" spans="1:1" x14ac:dyDescent="0.15">
      <c r="A3023" s="37"/>
    </row>
    <row r="3024" spans="1:1" x14ac:dyDescent="0.15">
      <c r="A3024" s="37"/>
    </row>
    <row r="3025" spans="1:1" x14ac:dyDescent="0.15">
      <c r="A3025" s="37"/>
    </row>
    <row r="3026" spans="1:1" x14ac:dyDescent="0.15">
      <c r="A3026" s="37"/>
    </row>
    <row r="3027" spans="1:1" x14ac:dyDescent="0.15">
      <c r="A3027" s="37"/>
    </row>
    <row r="3028" spans="1:1" x14ac:dyDescent="0.15">
      <c r="A3028" s="37"/>
    </row>
    <row r="3029" spans="1:1" x14ac:dyDescent="0.15">
      <c r="A3029" s="37"/>
    </row>
    <row r="3030" spans="1:1" x14ac:dyDescent="0.15">
      <c r="A3030" s="37"/>
    </row>
    <row r="3031" spans="1:1" x14ac:dyDescent="0.15">
      <c r="A3031" s="37"/>
    </row>
    <row r="3032" spans="1:1" x14ac:dyDescent="0.15">
      <c r="A3032" s="37"/>
    </row>
    <row r="3033" spans="1:1" x14ac:dyDescent="0.15">
      <c r="A3033" s="37"/>
    </row>
    <row r="3034" spans="1:1" x14ac:dyDescent="0.15">
      <c r="A3034" s="37"/>
    </row>
    <row r="3035" spans="1:1" x14ac:dyDescent="0.15">
      <c r="A3035" s="37"/>
    </row>
    <row r="3036" spans="1:1" x14ac:dyDescent="0.15">
      <c r="A3036" s="37"/>
    </row>
    <row r="3037" spans="1:1" x14ac:dyDescent="0.15">
      <c r="A3037" s="37"/>
    </row>
    <row r="3038" spans="1:1" x14ac:dyDescent="0.15">
      <c r="A3038" s="37"/>
    </row>
    <row r="3039" spans="1:1" x14ac:dyDescent="0.15">
      <c r="A3039" s="37"/>
    </row>
    <row r="3040" spans="1:1" x14ac:dyDescent="0.15">
      <c r="A3040" s="37"/>
    </row>
    <row r="3041" spans="1:1" x14ac:dyDescent="0.15">
      <c r="A3041" s="37"/>
    </row>
    <row r="3042" spans="1:1" x14ac:dyDescent="0.15">
      <c r="A3042" s="37"/>
    </row>
    <row r="3043" spans="1:1" x14ac:dyDescent="0.15">
      <c r="A3043" s="37"/>
    </row>
    <row r="3044" spans="1:1" x14ac:dyDescent="0.15">
      <c r="A3044" s="37"/>
    </row>
    <row r="3045" spans="1:1" x14ac:dyDescent="0.15">
      <c r="A3045" s="37"/>
    </row>
    <row r="3046" spans="1:1" x14ac:dyDescent="0.15">
      <c r="A3046" s="37"/>
    </row>
    <row r="3047" spans="1:1" x14ac:dyDescent="0.15">
      <c r="A3047" s="37"/>
    </row>
    <row r="3048" spans="1:1" x14ac:dyDescent="0.15">
      <c r="A3048" s="37"/>
    </row>
    <row r="3049" spans="1:1" x14ac:dyDescent="0.15">
      <c r="A3049" s="37"/>
    </row>
    <row r="3050" spans="1:1" x14ac:dyDescent="0.15">
      <c r="A3050" s="37"/>
    </row>
    <row r="3051" spans="1:1" x14ac:dyDescent="0.15">
      <c r="A3051" s="37"/>
    </row>
    <row r="3052" spans="1:1" x14ac:dyDescent="0.15">
      <c r="A3052" s="37"/>
    </row>
    <row r="3053" spans="1:1" x14ac:dyDescent="0.15">
      <c r="A3053" s="37"/>
    </row>
    <row r="3054" spans="1:1" x14ac:dyDescent="0.15">
      <c r="A3054" s="37"/>
    </row>
    <row r="3055" spans="1:1" x14ac:dyDescent="0.15">
      <c r="A3055" s="37"/>
    </row>
    <row r="3056" spans="1:1" x14ac:dyDescent="0.15">
      <c r="A3056" s="37"/>
    </row>
    <row r="3057" spans="1:1" x14ac:dyDescent="0.15">
      <c r="A3057" s="37"/>
    </row>
    <row r="3058" spans="1:1" x14ac:dyDescent="0.15">
      <c r="A3058" s="37"/>
    </row>
    <row r="3059" spans="1:1" x14ac:dyDescent="0.15">
      <c r="A3059" s="37"/>
    </row>
    <row r="3060" spans="1:1" x14ac:dyDescent="0.15">
      <c r="A3060" s="37"/>
    </row>
    <row r="3061" spans="1:1" x14ac:dyDescent="0.15">
      <c r="A3061" s="37"/>
    </row>
    <row r="3062" spans="1:1" x14ac:dyDescent="0.15">
      <c r="A3062" s="37"/>
    </row>
    <row r="3063" spans="1:1" x14ac:dyDescent="0.15">
      <c r="A3063" s="37"/>
    </row>
    <row r="3064" spans="1:1" x14ac:dyDescent="0.15">
      <c r="A3064" s="37"/>
    </row>
    <row r="3065" spans="1:1" x14ac:dyDescent="0.15">
      <c r="A3065" s="37"/>
    </row>
    <row r="3066" spans="1:1" x14ac:dyDescent="0.15">
      <c r="A3066" s="37"/>
    </row>
    <row r="3067" spans="1:1" x14ac:dyDescent="0.15">
      <c r="A3067" s="37"/>
    </row>
    <row r="3068" spans="1:1" x14ac:dyDescent="0.15">
      <c r="A3068" s="37"/>
    </row>
    <row r="3069" spans="1:1" x14ac:dyDescent="0.15">
      <c r="A3069" s="37"/>
    </row>
    <row r="3070" spans="1:1" x14ac:dyDescent="0.15">
      <c r="A3070" s="37"/>
    </row>
    <row r="3071" spans="1:1" x14ac:dyDescent="0.15">
      <c r="A3071" s="37"/>
    </row>
    <row r="3072" spans="1:1" x14ac:dyDescent="0.15">
      <c r="A3072" s="37"/>
    </row>
    <row r="3073" spans="1:1" x14ac:dyDescent="0.15">
      <c r="A3073" s="37"/>
    </row>
    <row r="3074" spans="1:1" x14ac:dyDescent="0.15">
      <c r="A3074" s="37"/>
    </row>
    <row r="3075" spans="1:1" x14ac:dyDescent="0.15">
      <c r="A3075" s="37"/>
    </row>
    <row r="3076" spans="1:1" x14ac:dyDescent="0.15">
      <c r="A3076" s="37"/>
    </row>
    <row r="3077" spans="1:1" x14ac:dyDescent="0.15">
      <c r="A3077" s="37"/>
    </row>
    <row r="3078" spans="1:1" x14ac:dyDescent="0.15">
      <c r="A3078" s="37"/>
    </row>
    <row r="3079" spans="1:1" x14ac:dyDescent="0.15">
      <c r="A3079" s="37"/>
    </row>
    <row r="3080" spans="1:1" x14ac:dyDescent="0.15">
      <c r="A3080" s="37"/>
    </row>
    <row r="3081" spans="1:1" x14ac:dyDescent="0.15">
      <c r="A3081" s="37"/>
    </row>
    <row r="3082" spans="1:1" x14ac:dyDescent="0.15">
      <c r="A3082" s="37"/>
    </row>
    <row r="3083" spans="1:1" x14ac:dyDescent="0.15">
      <c r="A3083" s="37"/>
    </row>
    <row r="3084" spans="1:1" x14ac:dyDescent="0.15">
      <c r="A3084" s="37"/>
    </row>
    <row r="3085" spans="1:1" x14ac:dyDescent="0.15">
      <c r="A3085" s="37"/>
    </row>
    <row r="3086" spans="1:1" x14ac:dyDescent="0.15">
      <c r="A3086" s="37"/>
    </row>
    <row r="3087" spans="1:1" x14ac:dyDescent="0.15">
      <c r="A3087" s="37"/>
    </row>
    <row r="3088" spans="1:1" x14ac:dyDescent="0.15">
      <c r="A3088" s="37"/>
    </row>
    <row r="3089" spans="1:1" x14ac:dyDescent="0.15">
      <c r="A3089" s="37"/>
    </row>
    <row r="3090" spans="1:1" x14ac:dyDescent="0.15">
      <c r="A3090" s="37"/>
    </row>
    <row r="3091" spans="1:1" x14ac:dyDescent="0.15">
      <c r="A3091" s="37"/>
    </row>
    <row r="3092" spans="1:1" x14ac:dyDescent="0.15">
      <c r="A3092" s="37"/>
    </row>
    <row r="3093" spans="1:1" x14ac:dyDescent="0.15">
      <c r="A3093" s="37"/>
    </row>
    <row r="3094" spans="1:1" x14ac:dyDescent="0.15">
      <c r="A3094" s="37"/>
    </row>
    <row r="3095" spans="1:1" x14ac:dyDescent="0.15">
      <c r="A3095" s="37"/>
    </row>
    <row r="3096" spans="1:1" x14ac:dyDescent="0.15">
      <c r="A3096" s="37"/>
    </row>
    <row r="3097" spans="1:1" x14ac:dyDescent="0.15">
      <c r="A3097" s="37"/>
    </row>
    <row r="3098" spans="1:1" x14ac:dyDescent="0.15">
      <c r="A3098" s="37"/>
    </row>
    <row r="3099" spans="1:1" x14ac:dyDescent="0.15">
      <c r="A3099" s="37"/>
    </row>
    <row r="3100" spans="1:1" x14ac:dyDescent="0.15">
      <c r="A3100" s="37"/>
    </row>
    <row r="3101" spans="1:1" x14ac:dyDescent="0.15">
      <c r="A3101" s="37"/>
    </row>
    <row r="3102" spans="1:1" x14ac:dyDescent="0.15">
      <c r="A3102" s="37"/>
    </row>
    <row r="3103" spans="1:1" x14ac:dyDescent="0.15">
      <c r="A3103" s="37"/>
    </row>
    <row r="3104" spans="1:1" x14ac:dyDescent="0.15">
      <c r="A3104" s="37"/>
    </row>
    <row r="3105" spans="1:1" x14ac:dyDescent="0.15">
      <c r="A3105" s="37"/>
    </row>
    <row r="3106" spans="1:1" x14ac:dyDescent="0.15">
      <c r="A3106" s="37"/>
    </row>
    <row r="3107" spans="1:1" x14ac:dyDescent="0.15">
      <c r="A3107" s="37"/>
    </row>
    <row r="3108" spans="1:1" x14ac:dyDescent="0.15">
      <c r="A3108" s="37"/>
    </row>
    <row r="3109" spans="1:1" x14ac:dyDescent="0.15">
      <c r="A3109" s="37"/>
    </row>
    <row r="3110" spans="1:1" x14ac:dyDescent="0.15">
      <c r="A3110" s="37"/>
    </row>
    <row r="3111" spans="1:1" x14ac:dyDescent="0.15">
      <c r="A3111" s="37"/>
    </row>
    <row r="3112" spans="1:1" x14ac:dyDescent="0.15">
      <c r="A3112" s="37"/>
    </row>
    <row r="3113" spans="1:1" x14ac:dyDescent="0.15">
      <c r="A3113" s="37"/>
    </row>
    <row r="3114" spans="1:1" x14ac:dyDescent="0.15">
      <c r="A3114" s="37"/>
    </row>
    <row r="3115" spans="1:1" x14ac:dyDescent="0.15">
      <c r="A3115" s="37"/>
    </row>
    <row r="3116" spans="1:1" x14ac:dyDescent="0.15">
      <c r="A3116" s="37"/>
    </row>
    <row r="3117" spans="1:1" x14ac:dyDescent="0.15">
      <c r="A3117" s="37"/>
    </row>
    <row r="3118" spans="1:1" x14ac:dyDescent="0.15">
      <c r="A3118" s="37"/>
    </row>
    <row r="3119" spans="1:1" x14ac:dyDescent="0.15">
      <c r="A3119" s="37"/>
    </row>
    <row r="3120" spans="1:1" x14ac:dyDescent="0.15">
      <c r="A3120" s="37"/>
    </row>
    <row r="3121" spans="1:1" x14ac:dyDescent="0.15">
      <c r="A3121" s="37"/>
    </row>
    <row r="3122" spans="1:1" x14ac:dyDescent="0.15">
      <c r="A3122" s="37"/>
    </row>
    <row r="3123" spans="1:1" x14ac:dyDescent="0.15">
      <c r="A3123" s="37"/>
    </row>
    <row r="3124" spans="1:1" x14ac:dyDescent="0.15">
      <c r="A3124" s="37"/>
    </row>
    <row r="3125" spans="1:1" x14ac:dyDescent="0.15">
      <c r="A3125" s="37"/>
    </row>
    <row r="3126" spans="1:1" x14ac:dyDescent="0.15">
      <c r="A3126" s="37"/>
    </row>
    <row r="3127" spans="1:1" x14ac:dyDescent="0.15">
      <c r="A3127" s="37"/>
    </row>
    <row r="3128" spans="1:1" x14ac:dyDescent="0.15">
      <c r="A3128" s="37"/>
    </row>
    <row r="3129" spans="1:1" x14ac:dyDescent="0.15">
      <c r="A3129" s="37"/>
    </row>
    <row r="3130" spans="1:1" x14ac:dyDescent="0.15">
      <c r="A3130" s="37"/>
    </row>
    <row r="3131" spans="1:1" x14ac:dyDescent="0.15">
      <c r="A3131" s="37"/>
    </row>
    <row r="3132" spans="1:1" x14ac:dyDescent="0.15">
      <c r="A3132" s="37"/>
    </row>
    <row r="3133" spans="1:1" x14ac:dyDescent="0.15">
      <c r="A3133" s="37"/>
    </row>
    <row r="3134" spans="1:1" x14ac:dyDescent="0.15">
      <c r="A3134" s="37"/>
    </row>
    <row r="3135" spans="1:1" x14ac:dyDescent="0.15">
      <c r="A3135" s="37"/>
    </row>
    <row r="3136" spans="1:1" x14ac:dyDescent="0.15">
      <c r="A3136" s="37"/>
    </row>
    <row r="3137" spans="1:1" x14ac:dyDescent="0.15">
      <c r="A3137" s="37"/>
    </row>
    <row r="3138" spans="1:1" x14ac:dyDescent="0.15">
      <c r="A3138" s="37"/>
    </row>
    <row r="3139" spans="1:1" x14ac:dyDescent="0.15">
      <c r="A3139" s="37"/>
    </row>
    <row r="3140" spans="1:1" x14ac:dyDescent="0.15">
      <c r="A3140" s="37"/>
    </row>
    <row r="3141" spans="1:1" x14ac:dyDescent="0.15">
      <c r="A3141" s="37"/>
    </row>
    <row r="3142" spans="1:1" x14ac:dyDescent="0.15">
      <c r="A3142" s="37"/>
    </row>
    <row r="3143" spans="1:1" x14ac:dyDescent="0.15">
      <c r="A3143" s="37"/>
    </row>
    <row r="3144" spans="1:1" x14ac:dyDescent="0.15">
      <c r="A3144" s="37"/>
    </row>
    <row r="3145" spans="1:1" x14ac:dyDescent="0.15">
      <c r="A3145" s="37"/>
    </row>
    <row r="3146" spans="1:1" x14ac:dyDescent="0.15">
      <c r="A3146" s="37"/>
    </row>
    <row r="3147" spans="1:1" x14ac:dyDescent="0.15">
      <c r="A3147" s="37"/>
    </row>
    <row r="3148" spans="1:1" x14ac:dyDescent="0.15">
      <c r="A3148" s="37"/>
    </row>
    <row r="3149" spans="1:1" x14ac:dyDescent="0.15">
      <c r="A3149" s="37"/>
    </row>
    <row r="3150" spans="1:1" x14ac:dyDescent="0.15">
      <c r="A3150" s="37"/>
    </row>
    <row r="3151" spans="1:1" x14ac:dyDescent="0.15">
      <c r="A3151" s="37"/>
    </row>
    <row r="3152" spans="1:1" x14ac:dyDescent="0.15">
      <c r="A3152" s="37"/>
    </row>
    <row r="3153" spans="1:1" x14ac:dyDescent="0.15">
      <c r="A3153" s="37"/>
    </row>
    <row r="3154" spans="1:1" x14ac:dyDescent="0.15">
      <c r="A3154" s="37"/>
    </row>
    <row r="3155" spans="1:1" x14ac:dyDescent="0.15">
      <c r="A3155" s="37"/>
    </row>
    <row r="3156" spans="1:1" x14ac:dyDescent="0.15">
      <c r="A3156" s="37"/>
    </row>
    <row r="3157" spans="1:1" x14ac:dyDescent="0.15">
      <c r="A3157" s="37"/>
    </row>
    <row r="3158" spans="1:1" x14ac:dyDescent="0.15">
      <c r="A3158" s="37"/>
    </row>
    <row r="3159" spans="1:1" x14ac:dyDescent="0.15">
      <c r="A3159" s="37"/>
    </row>
    <row r="3160" spans="1:1" x14ac:dyDescent="0.15">
      <c r="A3160" s="37"/>
    </row>
    <row r="3161" spans="1:1" x14ac:dyDescent="0.15">
      <c r="A3161" s="37"/>
    </row>
    <row r="3162" spans="1:1" x14ac:dyDescent="0.15">
      <c r="A3162" s="37"/>
    </row>
    <row r="3163" spans="1:1" x14ac:dyDescent="0.15">
      <c r="A3163" s="37"/>
    </row>
    <row r="3164" spans="1:1" x14ac:dyDescent="0.15">
      <c r="A3164" s="37"/>
    </row>
    <row r="3165" spans="1:1" x14ac:dyDescent="0.15">
      <c r="A3165" s="37"/>
    </row>
    <row r="3166" spans="1:1" x14ac:dyDescent="0.15">
      <c r="A3166" s="37"/>
    </row>
    <row r="3167" spans="1:1" x14ac:dyDescent="0.15">
      <c r="A3167" s="37"/>
    </row>
    <row r="3168" spans="1:1" x14ac:dyDescent="0.15">
      <c r="A3168" s="37"/>
    </row>
    <row r="3169" spans="1:1" x14ac:dyDescent="0.15">
      <c r="A3169" s="37"/>
    </row>
    <row r="3170" spans="1:1" x14ac:dyDescent="0.15">
      <c r="A3170" s="37"/>
    </row>
    <row r="3171" spans="1:1" x14ac:dyDescent="0.15">
      <c r="A3171" s="37"/>
    </row>
    <row r="3172" spans="1:1" x14ac:dyDescent="0.15">
      <c r="A3172" s="37"/>
    </row>
    <row r="3173" spans="1:1" x14ac:dyDescent="0.15">
      <c r="A3173" s="37"/>
    </row>
    <row r="3174" spans="1:1" x14ac:dyDescent="0.15">
      <c r="A3174" s="37"/>
    </row>
    <row r="3175" spans="1:1" x14ac:dyDescent="0.15">
      <c r="A3175" s="37"/>
    </row>
    <row r="3176" spans="1:1" x14ac:dyDescent="0.15">
      <c r="A3176" s="37"/>
    </row>
    <row r="3177" spans="1:1" x14ac:dyDescent="0.15">
      <c r="A3177" s="37"/>
    </row>
    <row r="3178" spans="1:1" x14ac:dyDescent="0.15">
      <c r="A3178" s="37"/>
    </row>
    <row r="3179" spans="1:1" x14ac:dyDescent="0.15">
      <c r="A3179" s="37"/>
    </row>
    <row r="3180" spans="1:1" x14ac:dyDescent="0.15">
      <c r="A3180" s="37"/>
    </row>
    <row r="3181" spans="1:1" x14ac:dyDescent="0.15">
      <c r="A3181" s="37"/>
    </row>
    <row r="3182" spans="1:1" x14ac:dyDescent="0.15">
      <c r="A3182" s="37"/>
    </row>
    <row r="3183" spans="1:1" x14ac:dyDescent="0.15">
      <c r="A3183" s="37"/>
    </row>
    <row r="3184" spans="1:1" x14ac:dyDescent="0.15">
      <c r="A3184" s="37"/>
    </row>
    <row r="3185" spans="1:1" x14ac:dyDescent="0.15">
      <c r="A3185" s="37"/>
    </row>
    <row r="3186" spans="1:1" x14ac:dyDescent="0.15">
      <c r="A3186" s="37"/>
    </row>
    <row r="3187" spans="1:1" x14ac:dyDescent="0.15">
      <c r="A3187" s="37"/>
    </row>
    <row r="3188" spans="1:1" x14ac:dyDescent="0.15">
      <c r="A3188" s="37"/>
    </row>
    <row r="3189" spans="1:1" x14ac:dyDescent="0.15">
      <c r="A3189" s="37"/>
    </row>
    <row r="3190" spans="1:1" x14ac:dyDescent="0.15">
      <c r="A3190" s="37"/>
    </row>
    <row r="3191" spans="1:1" x14ac:dyDescent="0.15">
      <c r="A3191" s="37"/>
    </row>
    <row r="3192" spans="1:1" x14ac:dyDescent="0.15">
      <c r="A3192" s="37"/>
    </row>
    <row r="3193" spans="1:1" x14ac:dyDescent="0.15">
      <c r="A3193" s="37"/>
    </row>
    <row r="3194" spans="1:1" x14ac:dyDescent="0.15">
      <c r="A3194" s="37"/>
    </row>
    <row r="3195" spans="1:1" x14ac:dyDescent="0.15">
      <c r="A3195" s="37"/>
    </row>
    <row r="3196" spans="1:1" x14ac:dyDescent="0.15">
      <c r="A3196" s="37"/>
    </row>
    <row r="3197" spans="1:1" x14ac:dyDescent="0.15">
      <c r="A3197" s="37"/>
    </row>
    <row r="3198" spans="1:1" x14ac:dyDescent="0.15">
      <c r="A3198" s="37"/>
    </row>
    <row r="3199" spans="1:1" x14ac:dyDescent="0.15">
      <c r="A3199" s="37"/>
    </row>
    <row r="3200" spans="1:1" x14ac:dyDescent="0.15">
      <c r="A3200" s="37"/>
    </row>
    <row r="3201" spans="1:1" x14ac:dyDescent="0.15">
      <c r="A3201" s="37"/>
    </row>
    <row r="3202" spans="1:1" x14ac:dyDescent="0.15">
      <c r="A3202" s="37"/>
    </row>
    <row r="3203" spans="1:1" x14ac:dyDescent="0.15">
      <c r="A3203" s="37"/>
    </row>
    <row r="3204" spans="1:1" x14ac:dyDescent="0.15">
      <c r="A3204" s="37"/>
    </row>
    <row r="3205" spans="1:1" x14ac:dyDescent="0.15">
      <c r="A3205" s="37"/>
    </row>
    <row r="3206" spans="1:1" x14ac:dyDescent="0.15">
      <c r="A3206" s="37"/>
    </row>
    <row r="3207" spans="1:1" x14ac:dyDescent="0.15">
      <c r="A3207" s="37"/>
    </row>
    <row r="3208" spans="1:1" x14ac:dyDescent="0.15">
      <c r="A3208" s="37"/>
    </row>
    <row r="3209" spans="1:1" x14ac:dyDescent="0.15">
      <c r="A3209" s="37"/>
    </row>
    <row r="3210" spans="1:1" x14ac:dyDescent="0.15">
      <c r="A3210" s="37"/>
    </row>
    <row r="3211" spans="1:1" x14ac:dyDescent="0.15">
      <c r="A3211" s="37"/>
    </row>
    <row r="3212" spans="1:1" x14ac:dyDescent="0.15">
      <c r="A3212" s="37"/>
    </row>
    <row r="3213" spans="1:1" x14ac:dyDescent="0.15">
      <c r="A3213" s="37"/>
    </row>
    <row r="3214" spans="1:1" x14ac:dyDescent="0.15">
      <c r="A3214" s="37"/>
    </row>
    <row r="3215" spans="1:1" x14ac:dyDescent="0.15">
      <c r="A3215" s="37"/>
    </row>
    <row r="3216" spans="1:1" x14ac:dyDescent="0.15">
      <c r="A3216" s="37"/>
    </row>
    <row r="3217" spans="1:1" x14ac:dyDescent="0.15">
      <c r="A3217" s="37"/>
    </row>
    <row r="3218" spans="1:1" x14ac:dyDescent="0.15">
      <c r="A3218" s="37"/>
    </row>
    <row r="3219" spans="1:1" x14ac:dyDescent="0.15">
      <c r="A3219" s="37"/>
    </row>
    <row r="3220" spans="1:1" x14ac:dyDescent="0.15">
      <c r="A3220" s="37"/>
    </row>
    <row r="3221" spans="1:1" x14ac:dyDescent="0.15">
      <c r="A3221" s="37"/>
    </row>
    <row r="3222" spans="1:1" x14ac:dyDescent="0.15">
      <c r="A3222" s="37"/>
    </row>
    <row r="3223" spans="1:1" x14ac:dyDescent="0.15">
      <c r="A3223" s="37"/>
    </row>
    <row r="3224" spans="1:1" x14ac:dyDescent="0.15">
      <c r="A3224" s="37"/>
    </row>
    <row r="3225" spans="1:1" x14ac:dyDescent="0.15">
      <c r="A3225" s="37"/>
    </row>
    <row r="3226" spans="1:1" x14ac:dyDescent="0.15">
      <c r="A3226" s="37"/>
    </row>
    <row r="3227" spans="1:1" x14ac:dyDescent="0.15">
      <c r="A3227" s="37"/>
    </row>
    <row r="3228" spans="1:1" x14ac:dyDescent="0.15">
      <c r="A3228" s="37"/>
    </row>
    <row r="3229" spans="1:1" x14ac:dyDescent="0.15">
      <c r="A3229" s="37"/>
    </row>
    <row r="3230" spans="1:1" x14ac:dyDescent="0.15">
      <c r="A3230" s="37"/>
    </row>
    <row r="3231" spans="1:1" x14ac:dyDescent="0.15">
      <c r="A3231" s="37"/>
    </row>
    <row r="3232" spans="1:1" x14ac:dyDescent="0.15">
      <c r="A3232" s="37"/>
    </row>
    <row r="3233" spans="1:1" x14ac:dyDescent="0.15">
      <c r="A3233" s="37"/>
    </row>
    <row r="3234" spans="1:1" x14ac:dyDescent="0.15">
      <c r="A3234" s="37"/>
    </row>
    <row r="3235" spans="1:1" x14ac:dyDescent="0.15">
      <c r="A3235" s="37"/>
    </row>
    <row r="3236" spans="1:1" x14ac:dyDescent="0.15">
      <c r="A3236" s="37"/>
    </row>
    <row r="3237" spans="1:1" x14ac:dyDescent="0.15">
      <c r="A3237" s="37"/>
    </row>
    <row r="3238" spans="1:1" x14ac:dyDescent="0.15">
      <c r="A3238" s="37"/>
    </row>
    <row r="3239" spans="1:1" x14ac:dyDescent="0.15">
      <c r="A3239" s="37"/>
    </row>
    <row r="3240" spans="1:1" x14ac:dyDescent="0.15">
      <c r="A3240" s="37"/>
    </row>
    <row r="3241" spans="1:1" x14ac:dyDescent="0.15">
      <c r="A3241" s="37"/>
    </row>
    <row r="3242" spans="1:1" x14ac:dyDescent="0.15">
      <c r="A3242" s="37"/>
    </row>
    <row r="3243" spans="1:1" x14ac:dyDescent="0.15">
      <c r="A3243" s="37"/>
    </row>
    <row r="3244" spans="1:1" x14ac:dyDescent="0.15">
      <c r="A3244" s="37"/>
    </row>
    <row r="3245" spans="1:1" x14ac:dyDescent="0.15">
      <c r="A3245" s="37"/>
    </row>
    <row r="3246" spans="1:1" x14ac:dyDescent="0.15">
      <c r="A3246" s="37"/>
    </row>
    <row r="3247" spans="1:1" x14ac:dyDescent="0.15">
      <c r="A3247" s="37"/>
    </row>
    <row r="3248" spans="1:1" x14ac:dyDescent="0.15">
      <c r="A3248" s="37"/>
    </row>
    <row r="3249" spans="1:1" x14ac:dyDescent="0.15">
      <c r="A3249" s="37"/>
    </row>
    <row r="3250" spans="1:1" x14ac:dyDescent="0.15">
      <c r="A3250" s="37"/>
    </row>
    <row r="3251" spans="1:1" x14ac:dyDescent="0.15">
      <c r="A3251" s="37"/>
    </row>
    <row r="3252" spans="1:1" x14ac:dyDescent="0.15">
      <c r="A3252" s="37"/>
    </row>
    <row r="3253" spans="1:1" x14ac:dyDescent="0.15">
      <c r="A3253" s="37"/>
    </row>
    <row r="3254" spans="1:1" x14ac:dyDescent="0.15">
      <c r="A3254" s="37"/>
    </row>
    <row r="3255" spans="1:1" x14ac:dyDescent="0.15">
      <c r="A3255" s="37"/>
    </row>
    <row r="3256" spans="1:1" x14ac:dyDescent="0.15">
      <c r="A3256" s="37"/>
    </row>
    <row r="3257" spans="1:1" x14ac:dyDescent="0.15">
      <c r="A3257" s="37"/>
    </row>
    <row r="3258" spans="1:1" x14ac:dyDescent="0.15">
      <c r="A3258" s="37"/>
    </row>
    <row r="3259" spans="1:1" x14ac:dyDescent="0.15">
      <c r="A3259" s="37"/>
    </row>
    <row r="3260" spans="1:1" x14ac:dyDescent="0.15">
      <c r="A3260" s="37"/>
    </row>
    <row r="3261" spans="1:1" x14ac:dyDescent="0.15">
      <c r="A3261" s="37"/>
    </row>
    <row r="3262" spans="1:1" x14ac:dyDescent="0.15">
      <c r="A3262" s="37"/>
    </row>
    <row r="3263" spans="1:1" x14ac:dyDescent="0.15">
      <c r="A3263" s="37"/>
    </row>
    <row r="3264" spans="1:1" x14ac:dyDescent="0.15">
      <c r="A3264" s="37"/>
    </row>
    <row r="3265" spans="1:1" x14ac:dyDescent="0.15">
      <c r="A3265" s="37"/>
    </row>
    <row r="3266" spans="1:1" x14ac:dyDescent="0.15">
      <c r="A3266" s="37"/>
    </row>
    <row r="3267" spans="1:1" x14ac:dyDescent="0.15">
      <c r="A3267" s="37"/>
    </row>
    <row r="3268" spans="1:1" x14ac:dyDescent="0.15">
      <c r="A3268" s="37"/>
    </row>
    <row r="3269" spans="1:1" x14ac:dyDescent="0.15">
      <c r="A3269" s="37"/>
    </row>
    <row r="3270" spans="1:1" x14ac:dyDescent="0.15">
      <c r="A3270" s="37"/>
    </row>
    <row r="3271" spans="1:1" x14ac:dyDescent="0.15">
      <c r="A3271" s="37"/>
    </row>
    <row r="3272" spans="1:1" x14ac:dyDescent="0.15">
      <c r="A3272" s="37"/>
    </row>
    <row r="3273" spans="1:1" x14ac:dyDescent="0.15">
      <c r="A3273" s="37"/>
    </row>
    <row r="3274" spans="1:1" x14ac:dyDescent="0.15">
      <c r="A3274" s="37"/>
    </row>
    <row r="3275" spans="1:1" x14ac:dyDescent="0.15">
      <c r="A3275" s="37"/>
    </row>
    <row r="3276" spans="1:1" x14ac:dyDescent="0.15">
      <c r="A3276" s="37"/>
    </row>
    <row r="3277" spans="1:1" x14ac:dyDescent="0.15">
      <c r="A3277" s="37"/>
    </row>
    <row r="3278" spans="1:1" x14ac:dyDescent="0.15">
      <c r="A3278" s="37"/>
    </row>
    <row r="3279" spans="1:1" x14ac:dyDescent="0.15">
      <c r="A3279" s="37"/>
    </row>
    <row r="3280" spans="1:1" x14ac:dyDescent="0.15">
      <c r="A3280" s="37"/>
    </row>
    <row r="3281" spans="1:1" x14ac:dyDescent="0.15">
      <c r="A3281" s="37"/>
    </row>
    <row r="3282" spans="1:1" x14ac:dyDescent="0.15">
      <c r="A3282" s="37"/>
    </row>
    <row r="3283" spans="1:1" x14ac:dyDescent="0.15">
      <c r="A3283" s="37"/>
    </row>
    <row r="3284" spans="1:1" x14ac:dyDescent="0.15">
      <c r="A3284" s="37"/>
    </row>
    <row r="3285" spans="1:1" x14ac:dyDescent="0.15">
      <c r="A3285" s="37"/>
    </row>
    <row r="3286" spans="1:1" x14ac:dyDescent="0.15">
      <c r="A3286" s="37"/>
    </row>
    <row r="3287" spans="1:1" x14ac:dyDescent="0.15">
      <c r="A3287" s="37"/>
    </row>
    <row r="3288" spans="1:1" x14ac:dyDescent="0.15">
      <c r="A3288" s="37"/>
    </row>
    <row r="3289" spans="1:1" x14ac:dyDescent="0.15">
      <c r="A3289" s="37"/>
    </row>
    <row r="3290" spans="1:1" x14ac:dyDescent="0.15">
      <c r="A3290" s="37"/>
    </row>
    <row r="3291" spans="1:1" x14ac:dyDescent="0.15">
      <c r="A3291" s="37"/>
    </row>
    <row r="3292" spans="1:1" x14ac:dyDescent="0.15">
      <c r="A3292" s="37"/>
    </row>
    <row r="3293" spans="1:1" x14ac:dyDescent="0.15">
      <c r="A3293" s="37"/>
    </row>
    <row r="3294" spans="1:1" x14ac:dyDescent="0.15">
      <c r="A3294" s="37"/>
    </row>
    <row r="3295" spans="1:1" x14ac:dyDescent="0.15">
      <c r="A3295" s="37"/>
    </row>
    <row r="3296" spans="1:1" x14ac:dyDescent="0.15">
      <c r="A3296" s="37"/>
    </row>
    <row r="3297" spans="1:1" x14ac:dyDescent="0.15">
      <c r="A3297" s="37"/>
    </row>
    <row r="3298" spans="1:1" x14ac:dyDescent="0.15">
      <c r="A3298" s="37"/>
    </row>
    <row r="3299" spans="1:1" x14ac:dyDescent="0.15">
      <c r="A3299" s="37"/>
    </row>
    <row r="3300" spans="1:1" x14ac:dyDescent="0.15">
      <c r="A3300" s="37"/>
    </row>
    <row r="3301" spans="1:1" x14ac:dyDescent="0.15">
      <c r="A3301" s="37"/>
    </row>
    <row r="3302" spans="1:1" x14ac:dyDescent="0.15">
      <c r="A3302" s="37"/>
    </row>
    <row r="3303" spans="1:1" x14ac:dyDescent="0.15">
      <c r="A3303" s="37"/>
    </row>
    <row r="3304" spans="1:1" x14ac:dyDescent="0.15">
      <c r="A3304" s="37"/>
    </row>
    <row r="3305" spans="1:1" x14ac:dyDescent="0.15">
      <c r="A3305" s="37"/>
    </row>
    <row r="3306" spans="1:1" x14ac:dyDescent="0.15">
      <c r="A3306" s="37"/>
    </row>
    <row r="3307" spans="1:1" x14ac:dyDescent="0.15">
      <c r="A3307" s="37"/>
    </row>
    <row r="3308" spans="1:1" x14ac:dyDescent="0.15">
      <c r="A3308" s="37"/>
    </row>
    <row r="3309" spans="1:1" x14ac:dyDescent="0.15">
      <c r="A3309" s="37"/>
    </row>
    <row r="3310" spans="1:1" x14ac:dyDescent="0.15">
      <c r="A3310" s="37"/>
    </row>
    <row r="3311" spans="1:1" x14ac:dyDescent="0.15">
      <c r="A3311" s="37"/>
    </row>
    <row r="3312" spans="1:1" x14ac:dyDescent="0.15">
      <c r="A3312" s="37"/>
    </row>
    <row r="3313" spans="1:1" x14ac:dyDescent="0.15">
      <c r="A3313" s="37"/>
    </row>
    <row r="3314" spans="1:1" x14ac:dyDescent="0.15">
      <c r="A3314" s="37"/>
    </row>
    <row r="3315" spans="1:1" x14ac:dyDescent="0.15">
      <c r="A3315" s="37"/>
    </row>
    <row r="3316" spans="1:1" x14ac:dyDescent="0.15">
      <c r="A3316" s="37"/>
    </row>
    <row r="3317" spans="1:1" x14ac:dyDescent="0.15">
      <c r="A3317" s="37"/>
    </row>
    <row r="3318" spans="1:1" x14ac:dyDescent="0.15">
      <c r="A3318" s="37"/>
    </row>
    <row r="3319" spans="1:1" x14ac:dyDescent="0.15">
      <c r="A3319" s="37"/>
    </row>
    <row r="3320" spans="1:1" x14ac:dyDescent="0.15">
      <c r="A3320" s="37"/>
    </row>
    <row r="3321" spans="1:1" x14ac:dyDescent="0.15">
      <c r="A3321" s="37"/>
    </row>
    <row r="3322" spans="1:1" x14ac:dyDescent="0.15">
      <c r="A3322" s="37"/>
    </row>
    <row r="3323" spans="1:1" x14ac:dyDescent="0.15">
      <c r="A3323" s="37"/>
    </row>
    <row r="3324" spans="1:1" x14ac:dyDescent="0.15">
      <c r="A3324" s="37"/>
    </row>
    <row r="3325" spans="1:1" x14ac:dyDescent="0.15">
      <c r="A3325" s="37"/>
    </row>
    <row r="3326" spans="1:1" x14ac:dyDescent="0.15">
      <c r="A3326" s="37"/>
    </row>
    <row r="3327" spans="1:1" x14ac:dyDescent="0.15">
      <c r="A3327" s="37"/>
    </row>
    <row r="3328" spans="1:1" x14ac:dyDescent="0.15">
      <c r="A3328" s="37"/>
    </row>
    <row r="3329" spans="1:1" x14ac:dyDescent="0.15">
      <c r="A3329" s="37"/>
    </row>
    <row r="3330" spans="1:1" x14ac:dyDescent="0.15">
      <c r="A3330" s="37"/>
    </row>
    <row r="3331" spans="1:1" x14ac:dyDescent="0.15">
      <c r="A3331" s="37"/>
    </row>
    <row r="3332" spans="1:1" x14ac:dyDescent="0.15">
      <c r="A3332" s="37"/>
    </row>
    <row r="3333" spans="1:1" x14ac:dyDescent="0.15">
      <c r="A3333" s="37"/>
    </row>
    <row r="3334" spans="1:1" x14ac:dyDescent="0.15">
      <c r="A3334" s="37"/>
    </row>
    <row r="3335" spans="1:1" x14ac:dyDescent="0.15">
      <c r="A3335" s="37"/>
    </row>
    <row r="3336" spans="1:1" x14ac:dyDescent="0.15">
      <c r="A3336" s="37"/>
    </row>
    <row r="3337" spans="1:1" x14ac:dyDescent="0.15">
      <c r="A3337" s="37"/>
    </row>
    <row r="3338" spans="1:1" x14ac:dyDescent="0.15">
      <c r="A3338" s="37"/>
    </row>
    <row r="3339" spans="1:1" x14ac:dyDescent="0.15">
      <c r="A3339" s="37"/>
    </row>
    <row r="3340" spans="1:1" x14ac:dyDescent="0.15">
      <c r="A3340" s="37"/>
    </row>
    <row r="3341" spans="1:1" x14ac:dyDescent="0.15">
      <c r="A3341" s="37"/>
    </row>
    <row r="3342" spans="1:1" x14ac:dyDescent="0.15">
      <c r="A3342" s="37"/>
    </row>
    <row r="3343" spans="1:1" x14ac:dyDescent="0.15">
      <c r="A3343" s="37"/>
    </row>
    <row r="3344" spans="1:1" x14ac:dyDescent="0.15">
      <c r="A3344" s="37"/>
    </row>
    <row r="3345" spans="1:1" x14ac:dyDescent="0.15">
      <c r="A3345" s="37"/>
    </row>
    <row r="3346" spans="1:1" x14ac:dyDescent="0.15">
      <c r="A3346" s="37"/>
    </row>
    <row r="3347" spans="1:1" x14ac:dyDescent="0.15">
      <c r="A3347" s="37"/>
    </row>
    <row r="3348" spans="1:1" x14ac:dyDescent="0.15">
      <c r="A3348" s="37"/>
    </row>
    <row r="3349" spans="1:1" x14ac:dyDescent="0.15">
      <c r="A3349" s="37"/>
    </row>
    <row r="3350" spans="1:1" x14ac:dyDescent="0.15">
      <c r="A3350" s="37"/>
    </row>
    <row r="3351" spans="1:1" x14ac:dyDescent="0.15">
      <c r="A3351" s="37"/>
    </row>
    <row r="3352" spans="1:1" x14ac:dyDescent="0.15">
      <c r="A3352" s="37"/>
    </row>
    <row r="3353" spans="1:1" x14ac:dyDescent="0.15">
      <c r="A3353" s="37"/>
    </row>
    <row r="3354" spans="1:1" x14ac:dyDescent="0.15">
      <c r="A3354" s="37"/>
    </row>
    <row r="3355" spans="1:1" x14ac:dyDescent="0.15">
      <c r="A3355" s="37"/>
    </row>
    <row r="3356" spans="1:1" x14ac:dyDescent="0.15">
      <c r="A3356" s="37"/>
    </row>
    <row r="3357" spans="1:1" x14ac:dyDescent="0.15">
      <c r="A3357" s="37"/>
    </row>
    <row r="3358" spans="1:1" x14ac:dyDescent="0.15">
      <c r="A3358" s="37"/>
    </row>
    <row r="3359" spans="1:1" x14ac:dyDescent="0.15">
      <c r="A3359" s="37"/>
    </row>
    <row r="3360" spans="1:1" x14ac:dyDescent="0.15">
      <c r="A3360" s="37"/>
    </row>
    <row r="3361" spans="1:1" x14ac:dyDescent="0.15">
      <c r="A3361" s="37"/>
    </row>
    <row r="3362" spans="1:1" x14ac:dyDescent="0.15">
      <c r="A3362" s="37"/>
    </row>
    <row r="3363" spans="1:1" x14ac:dyDescent="0.15">
      <c r="A3363" s="37"/>
    </row>
    <row r="3364" spans="1:1" x14ac:dyDescent="0.15">
      <c r="A3364" s="37"/>
    </row>
    <row r="3365" spans="1:1" x14ac:dyDescent="0.15">
      <c r="A3365" s="37"/>
    </row>
    <row r="3366" spans="1:1" x14ac:dyDescent="0.15">
      <c r="A3366" s="37"/>
    </row>
    <row r="3367" spans="1:1" x14ac:dyDescent="0.15">
      <c r="A3367" s="37"/>
    </row>
    <row r="3368" spans="1:1" x14ac:dyDescent="0.15">
      <c r="A3368" s="37"/>
    </row>
    <row r="3369" spans="1:1" x14ac:dyDescent="0.15">
      <c r="A3369" s="37"/>
    </row>
    <row r="3370" spans="1:1" x14ac:dyDescent="0.15">
      <c r="A3370" s="37"/>
    </row>
    <row r="3371" spans="1:1" x14ac:dyDescent="0.15">
      <c r="A3371" s="37"/>
    </row>
    <row r="3372" spans="1:1" x14ac:dyDescent="0.15">
      <c r="A3372" s="37"/>
    </row>
    <row r="3373" spans="1:1" x14ac:dyDescent="0.15">
      <c r="A3373" s="37"/>
    </row>
    <row r="3374" spans="1:1" x14ac:dyDescent="0.15">
      <c r="A3374" s="37"/>
    </row>
    <row r="3375" spans="1:1" x14ac:dyDescent="0.15">
      <c r="A3375" s="37"/>
    </row>
    <row r="3376" spans="1:1" x14ac:dyDescent="0.15">
      <c r="A3376" s="37"/>
    </row>
    <row r="3377" spans="1:1" x14ac:dyDescent="0.15">
      <c r="A3377" s="37"/>
    </row>
    <row r="3378" spans="1:1" x14ac:dyDescent="0.15">
      <c r="A3378" s="37"/>
    </row>
    <row r="3379" spans="1:1" x14ac:dyDescent="0.15">
      <c r="A3379" s="37"/>
    </row>
    <row r="3380" spans="1:1" x14ac:dyDescent="0.15">
      <c r="A3380" s="37"/>
    </row>
    <row r="3381" spans="1:1" x14ac:dyDescent="0.15">
      <c r="A3381" s="37"/>
    </row>
    <row r="3382" spans="1:1" x14ac:dyDescent="0.15">
      <c r="A3382" s="37"/>
    </row>
    <row r="3383" spans="1:1" x14ac:dyDescent="0.15">
      <c r="A3383" s="37"/>
    </row>
    <row r="3384" spans="1:1" x14ac:dyDescent="0.15">
      <c r="A3384" s="37"/>
    </row>
    <row r="3385" spans="1:1" x14ac:dyDescent="0.15">
      <c r="A3385" s="37"/>
    </row>
    <row r="3386" spans="1:1" x14ac:dyDescent="0.15">
      <c r="A3386" s="37"/>
    </row>
    <row r="3387" spans="1:1" x14ac:dyDescent="0.15">
      <c r="A3387" s="37"/>
    </row>
    <row r="3388" spans="1:1" x14ac:dyDescent="0.15">
      <c r="A3388" s="37"/>
    </row>
    <row r="3389" spans="1:1" x14ac:dyDescent="0.15">
      <c r="A3389" s="37"/>
    </row>
    <row r="3390" spans="1:1" x14ac:dyDescent="0.15">
      <c r="A3390" s="37"/>
    </row>
    <row r="3391" spans="1:1" x14ac:dyDescent="0.15">
      <c r="A3391" s="37"/>
    </row>
    <row r="3392" spans="1:1" x14ac:dyDescent="0.15">
      <c r="A3392" s="37"/>
    </row>
    <row r="3393" spans="1:1" x14ac:dyDescent="0.15">
      <c r="A3393" s="37"/>
    </row>
    <row r="3394" spans="1:1" x14ac:dyDescent="0.15">
      <c r="A3394" s="37"/>
    </row>
    <row r="3395" spans="1:1" x14ac:dyDescent="0.15">
      <c r="A3395" s="37"/>
    </row>
    <row r="3396" spans="1:1" x14ac:dyDescent="0.15">
      <c r="A3396" s="37"/>
    </row>
    <row r="3397" spans="1:1" x14ac:dyDescent="0.15">
      <c r="A3397" s="37"/>
    </row>
    <row r="3398" spans="1:1" x14ac:dyDescent="0.15">
      <c r="A3398" s="37"/>
    </row>
    <row r="3399" spans="1:1" x14ac:dyDescent="0.15">
      <c r="A3399" s="37"/>
    </row>
    <row r="3400" spans="1:1" x14ac:dyDescent="0.15">
      <c r="A3400" s="37"/>
    </row>
    <row r="3401" spans="1:1" x14ac:dyDescent="0.15">
      <c r="A3401" s="37"/>
    </row>
    <row r="3402" spans="1:1" x14ac:dyDescent="0.15">
      <c r="A3402" s="37"/>
    </row>
    <row r="3403" spans="1:1" x14ac:dyDescent="0.15">
      <c r="A3403" s="37"/>
    </row>
    <row r="3404" spans="1:1" x14ac:dyDescent="0.15">
      <c r="A3404" s="37"/>
    </row>
    <row r="3405" spans="1:1" x14ac:dyDescent="0.15">
      <c r="A3405" s="37"/>
    </row>
    <row r="3406" spans="1:1" x14ac:dyDescent="0.15">
      <c r="A3406" s="37"/>
    </row>
    <row r="3407" spans="1:1" x14ac:dyDescent="0.15">
      <c r="A3407" s="37"/>
    </row>
    <row r="3408" spans="1:1" x14ac:dyDescent="0.15">
      <c r="A3408" s="37"/>
    </row>
    <row r="3409" spans="1:1" x14ac:dyDescent="0.15">
      <c r="A3409" s="37"/>
    </row>
    <row r="3410" spans="1:1" x14ac:dyDescent="0.15">
      <c r="A3410" s="37"/>
    </row>
    <row r="3411" spans="1:1" x14ac:dyDescent="0.15">
      <c r="A3411" s="37"/>
    </row>
    <row r="3412" spans="1:1" x14ac:dyDescent="0.15">
      <c r="A3412" s="37"/>
    </row>
    <row r="3413" spans="1:1" x14ac:dyDescent="0.15">
      <c r="A3413" s="37"/>
    </row>
    <row r="3414" spans="1:1" x14ac:dyDescent="0.15">
      <c r="A3414" s="37"/>
    </row>
    <row r="3415" spans="1:1" x14ac:dyDescent="0.15">
      <c r="A3415" s="37"/>
    </row>
    <row r="3416" spans="1:1" x14ac:dyDescent="0.15">
      <c r="A3416" s="37"/>
    </row>
    <row r="3417" spans="1:1" x14ac:dyDescent="0.15">
      <c r="A3417" s="37"/>
    </row>
    <row r="3418" spans="1:1" x14ac:dyDescent="0.15">
      <c r="A3418" s="37"/>
    </row>
    <row r="3419" spans="1:1" x14ac:dyDescent="0.15">
      <c r="A3419" s="37"/>
    </row>
    <row r="3420" spans="1:1" x14ac:dyDescent="0.15">
      <c r="A3420" s="37"/>
    </row>
    <row r="3421" spans="1:1" x14ac:dyDescent="0.15">
      <c r="A3421" s="37"/>
    </row>
    <row r="3422" spans="1:1" x14ac:dyDescent="0.15">
      <c r="A3422" s="37"/>
    </row>
    <row r="3423" spans="1:1" x14ac:dyDescent="0.15">
      <c r="A3423" s="37"/>
    </row>
    <row r="3424" spans="1:1" x14ac:dyDescent="0.15">
      <c r="A3424" s="37"/>
    </row>
    <row r="3425" spans="1:1" x14ac:dyDescent="0.15">
      <c r="A3425" s="37"/>
    </row>
    <row r="3426" spans="1:1" x14ac:dyDescent="0.15">
      <c r="A3426" s="37"/>
    </row>
    <row r="3427" spans="1:1" x14ac:dyDescent="0.15">
      <c r="A3427" s="37"/>
    </row>
    <row r="3428" spans="1:1" x14ac:dyDescent="0.15">
      <c r="A3428" s="37"/>
    </row>
    <row r="3429" spans="1:1" x14ac:dyDescent="0.15">
      <c r="A3429" s="37"/>
    </row>
    <row r="3430" spans="1:1" x14ac:dyDescent="0.15">
      <c r="A3430" s="37"/>
    </row>
    <row r="3431" spans="1:1" x14ac:dyDescent="0.15">
      <c r="A3431" s="37"/>
    </row>
    <row r="3432" spans="1:1" x14ac:dyDescent="0.15">
      <c r="A3432" s="37"/>
    </row>
    <row r="3433" spans="1:1" x14ac:dyDescent="0.15">
      <c r="A3433" s="37"/>
    </row>
    <row r="3434" spans="1:1" x14ac:dyDescent="0.15">
      <c r="A3434" s="37"/>
    </row>
    <row r="3435" spans="1:1" x14ac:dyDescent="0.15">
      <c r="A3435" s="37"/>
    </row>
    <row r="3436" spans="1:1" x14ac:dyDescent="0.15">
      <c r="A3436" s="37"/>
    </row>
    <row r="3437" spans="1:1" x14ac:dyDescent="0.15">
      <c r="A3437" s="37"/>
    </row>
    <row r="3438" spans="1:1" x14ac:dyDescent="0.15">
      <c r="A3438" s="37"/>
    </row>
    <row r="3439" spans="1:1" x14ac:dyDescent="0.15">
      <c r="A3439" s="37"/>
    </row>
    <row r="3440" spans="1:1" x14ac:dyDescent="0.15">
      <c r="A3440" s="37"/>
    </row>
    <row r="3441" spans="1:1" x14ac:dyDescent="0.15">
      <c r="A3441" s="37"/>
    </row>
    <row r="3442" spans="1:1" x14ac:dyDescent="0.15">
      <c r="A3442" s="37"/>
    </row>
    <row r="3443" spans="1:1" x14ac:dyDescent="0.15">
      <c r="A3443" s="37"/>
    </row>
    <row r="3444" spans="1:1" x14ac:dyDescent="0.15">
      <c r="A3444" s="37"/>
    </row>
    <row r="3445" spans="1:1" x14ac:dyDescent="0.15">
      <c r="A3445" s="37"/>
    </row>
    <row r="3446" spans="1:1" x14ac:dyDescent="0.15">
      <c r="A3446" s="37"/>
    </row>
    <row r="3447" spans="1:1" x14ac:dyDescent="0.15">
      <c r="A3447" s="37"/>
    </row>
    <row r="3448" spans="1:1" x14ac:dyDescent="0.15">
      <c r="A3448" s="37"/>
    </row>
    <row r="3449" spans="1:1" x14ac:dyDescent="0.15">
      <c r="A3449" s="37"/>
    </row>
    <row r="3450" spans="1:1" x14ac:dyDescent="0.15">
      <c r="A3450" s="37"/>
    </row>
    <row r="3451" spans="1:1" x14ac:dyDescent="0.15">
      <c r="A3451" s="37"/>
    </row>
    <row r="3452" spans="1:1" x14ac:dyDescent="0.15">
      <c r="A3452" s="37"/>
    </row>
    <row r="3453" spans="1:1" x14ac:dyDescent="0.15">
      <c r="A3453" s="37"/>
    </row>
    <row r="3454" spans="1:1" x14ac:dyDescent="0.15">
      <c r="A3454" s="37"/>
    </row>
    <row r="3455" spans="1:1" x14ac:dyDescent="0.15">
      <c r="A3455" s="37"/>
    </row>
    <row r="3456" spans="1:1" x14ac:dyDescent="0.15">
      <c r="A3456" s="37"/>
    </row>
    <row r="3457" spans="1:1" x14ac:dyDescent="0.15">
      <c r="A3457" s="37"/>
    </row>
    <row r="3458" spans="1:1" x14ac:dyDescent="0.15">
      <c r="A3458" s="37"/>
    </row>
    <row r="3459" spans="1:1" x14ac:dyDescent="0.15">
      <c r="A3459" s="37"/>
    </row>
    <row r="3460" spans="1:1" x14ac:dyDescent="0.15">
      <c r="A3460" s="37"/>
    </row>
    <row r="3461" spans="1:1" x14ac:dyDescent="0.15">
      <c r="A3461" s="37"/>
    </row>
    <row r="3462" spans="1:1" x14ac:dyDescent="0.15">
      <c r="A3462" s="37"/>
    </row>
    <row r="3463" spans="1:1" x14ac:dyDescent="0.15">
      <c r="A3463" s="37"/>
    </row>
    <row r="3464" spans="1:1" x14ac:dyDescent="0.15">
      <c r="A3464" s="37"/>
    </row>
    <row r="3465" spans="1:1" x14ac:dyDescent="0.15">
      <c r="A3465" s="37"/>
    </row>
    <row r="3466" spans="1:1" x14ac:dyDescent="0.15">
      <c r="A3466" s="37"/>
    </row>
    <row r="3467" spans="1:1" x14ac:dyDescent="0.15">
      <c r="A3467" s="37"/>
    </row>
    <row r="3468" spans="1:1" x14ac:dyDescent="0.15">
      <c r="A3468" s="37"/>
    </row>
    <row r="3469" spans="1:1" x14ac:dyDescent="0.15">
      <c r="A3469" s="37"/>
    </row>
    <row r="3470" spans="1:1" x14ac:dyDescent="0.15">
      <c r="A3470" s="37"/>
    </row>
    <row r="3471" spans="1:1" x14ac:dyDescent="0.15">
      <c r="A3471" s="37"/>
    </row>
    <row r="3472" spans="1:1" x14ac:dyDescent="0.15">
      <c r="A3472" s="37"/>
    </row>
    <row r="3473" spans="1:1" x14ac:dyDescent="0.15">
      <c r="A3473" s="37"/>
    </row>
    <row r="3474" spans="1:1" x14ac:dyDescent="0.15">
      <c r="A3474" s="37"/>
    </row>
    <row r="3475" spans="1:1" x14ac:dyDescent="0.15">
      <c r="A3475" s="37"/>
    </row>
    <row r="3476" spans="1:1" x14ac:dyDescent="0.15">
      <c r="A3476" s="37"/>
    </row>
    <row r="3477" spans="1:1" x14ac:dyDescent="0.15">
      <c r="A3477" s="37"/>
    </row>
    <row r="3478" spans="1:1" x14ac:dyDescent="0.15">
      <c r="A3478" s="37"/>
    </row>
    <row r="3479" spans="1:1" x14ac:dyDescent="0.15">
      <c r="A3479" s="37"/>
    </row>
    <row r="3480" spans="1:1" x14ac:dyDescent="0.15">
      <c r="A3480" s="37"/>
    </row>
    <row r="3481" spans="1:1" x14ac:dyDescent="0.15">
      <c r="A3481" s="37"/>
    </row>
    <row r="3482" spans="1:1" x14ac:dyDescent="0.15">
      <c r="A3482" s="37"/>
    </row>
    <row r="3483" spans="1:1" x14ac:dyDescent="0.15">
      <c r="A3483" s="37"/>
    </row>
    <row r="3484" spans="1:1" x14ac:dyDescent="0.15">
      <c r="A3484" s="37"/>
    </row>
    <row r="3485" spans="1:1" x14ac:dyDescent="0.15">
      <c r="A3485" s="37"/>
    </row>
    <row r="3486" spans="1:1" x14ac:dyDescent="0.15">
      <c r="A3486" s="37"/>
    </row>
    <row r="3487" spans="1:1" x14ac:dyDescent="0.15">
      <c r="A3487" s="37"/>
    </row>
    <row r="3488" spans="1:1" x14ac:dyDescent="0.15">
      <c r="A3488" s="37"/>
    </row>
    <row r="3489" spans="1:1" x14ac:dyDescent="0.15">
      <c r="A3489" s="37"/>
    </row>
    <row r="3490" spans="1:1" x14ac:dyDescent="0.15">
      <c r="A3490" s="37"/>
    </row>
    <row r="3491" spans="1:1" x14ac:dyDescent="0.15">
      <c r="A3491" s="37"/>
    </row>
    <row r="3492" spans="1:1" x14ac:dyDescent="0.15">
      <c r="A3492" s="37"/>
    </row>
    <row r="3493" spans="1:1" x14ac:dyDescent="0.15">
      <c r="A3493" s="37"/>
    </row>
    <row r="3494" spans="1:1" x14ac:dyDescent="0.15">
      <c r="A3494" s="37"/>
    </row>
    <row r="3495" spans="1:1" x14ac:dyDescent="0.15">
      <c r="A3495" s="37"/>
    </row>
    <row r="3496" spans="1:1" x14ac:dyDescent="0.15">
      <c r="A3496" s="37"/>
    </row>
    <row r="3497" spans="1:1" x14ac:dyDescent="0.15">
      <c r="A3497" s="37"/>
    </row>
    <row r="3498" spans="1:1" x14ac:dyDescent="0.15">
      <c r="A3498" s="37"/>
    </row>
    <row r="3499" spans="1:1" x14ac:dyDescent="0.15">
      <c r="A3499" s="37"/>
    </row>
    <row r="3500" spans="1:1" x14ac:dyDescent="0.15">
      <c r="A3500" s="37"/>
    </row>
    <row r="3501" spans="1:1" x14ac:dyDescent="0.15">
      <c r="A3501" s="37"/>
    </row>
    <row r="3502" spans="1:1" x14ac:dyDescent="0.15">
      <c r="A3502" s="37"/>
    </row>
    <row r="3503" spans="1:1" x14ac:dyDescent="0.15">
      <c r="A3503" s="37"/>
    </row>
    <row r="3504" spans="1:1" x14ac:dyDescent="0.15">
      <c r="A3504" s="37"/>
    </row>
    <row r="3505" spans="1:1" x14ac:dyDescent="0.15">
      <c r="A3505" s="37"/>
    </row>
    <row r="3506" spans="1:1" x14ac:dyDescent="0.15">
      <c r="A3506" s="37"/>
    </row>
    <row r="3507" spans="1:1" x14ac:dyDescent="0.15">
      <c r="A3507" s="37"/>
    </row>
    <row r="3508" spans="1:1" x14ac:dyDescent="0.15">
      <c r="A3508" s="37"/>
    </row>
    <row r="3509" spans="1:1" x14ac:dyDescent="0.15">
      <c r="A3509" s="37"/>
    </row>
    <row r="3510" spans="1:1" x14ac:dyDescent="0.15">
      <c r="A3510" s="37"/>
    </row>
    <row r="3511" spans="1:1" x14ac:dyDescent="0.15">
      <c r="A3511" s="37"/>
    </row>
    <row r="3512" spans="1:1" x14ac:dyDescent="0.15">
      <c r="A3512" s="37"/>
    </row>
    <row r="3513" spans="1:1" x14ac:dyDescent="0.15">
      <c r="A3513" s="37"/>
    </row>
    <row r="3514" spans="1:1" x14ac:dyDescent="0.15">
      <c r="A3514" s="37"/>
    </row>
    <row r="3515" spans="1:1" x14ac:dyDescent="0.15">
      <c r="A3515" s="37"/>
    </row>
    <row r="3516" spans="1:1" x14ac:dyDescent="0.15">
      <c r="A3516" s="37"/>
    </row>
    <row r="3517" spans="1:1" x14ac:dyDescent="0.15">
      <c r="A3517" s="37"/>
    </row>
    <row r="3518" spans="1:1" x14ac:dyDescent="0.15">
      <c r="A3518" s="37"/>
    </row>
    <row r="3519" spans="1:1" x14ac:dyDescent="0.15">
      <c r="A3519" s="37"/>
    </row>
    <row r="3520" spans="1:1" x14ac:dyDescent="0.15">
      <c r="A3520" s="37"/>
    </row>
    <row r="3521" spans="1:1" x14ac:dyDescent="0.15">
      <c r="A3521" s="37"/>
    </row>
    <row r="3522" spans="1:1" x14ac:dyDescent="0.15">
      <c r="A3522" s="37"/>
    </row>
    <row r="3523" spans="1:1" x14ac:dyDescent="0.15">
      <c r="A3523" s="37"/>
    </row>
    <row r="3524" spans="1:1" x14ac:dyDescent="0.15">
      <c r="A3524" s="37"/>
    </row>
    <row r="3525" spans="1:1" x14ac:dyDescent="0.15">
      <c r="A3525" s="37"/>
    </row>
    <row r="3526" spans="1:1" x14ac:dyDescent="0.15">
      <c r="A3526" s="37"/>
    </row>
    <row r="3527" spans="1:1" x14ac:dyDescent="0.15">
      <c r="A3527" s="37"/>
    </row>
    <row r="3528" spans="1:1" x14ac:dyDescent="0.15">
      <c r="A3528" s="37"/>
    </row>
    <row r="3529" spans="1:1" x14ac:dyDescent="0.15">
      <c r="A3529" s="37"/>
    </row>
    <row r="3530" spans="1:1" x14ac:dyDescent="0.15">
      <c r="A3530" s="37"/>
    </row>
    <row r="3531" spans="1:1" x14ac:dyDescent="0.15">
      <c r="A3531" s="37"/>
    </row>
    <row r="3532" spans="1:1" x14ac:dyDescent="0.15">
      <c r="A3532" s="37"/>
    </row>
    <row r="3533" spans="1:1" x14ac:dyDescent="0.15">
      <c r="A3533" s="37"/>
    </row>
    <row r="3534" spans="1:1" x14ac:dyDescent="0.15">
      <c r="A3534" s="37"/>
    </row>
    <row r="3535" spans="1:1" x14ac:dyDescent="0.15">
      <c r="A3535" s="37"/>
    </row>
    <row r="3536" spans="1:1" x14ac:dyDescent="0.15">
      <c r="A3536" s="37"/>
    </row>
    <row r="3537" spans="1:1" x14ac:dyDescent="0.15">
      <c r="A3537" s="37"/>
    </row>
    <row r="3538" spans="1:1" x14ac:dyDescent="0.15">
      <c r="A3538" s="37"/>
    </row>
    <row r="3539" spans="1:1" x14ac:dyDescent="0.15">
      <c r="A3539" s="37"/>
    </row>
    <row r="3540" spans="1:1" x14ac:dyDescent="0.15">
      <c r="A3540" s="37"/>
    </row>
    <row r="3541" spans="1:1" x14ac:dyDescent="0.15">
      <c r="A3541" s="37"/>
    </row>
    <row r="3542" spans="1:1" x14ac:dyDescent="0.15">
      <c r="A3542" s="37"/>
    </row>
    <row r="3543" spans="1:1" x14ac:dyDescent="0.15">
      <c r="A3543" s="37"/>
    </row>
    <row r="3544" spans="1:1" x14ac:dyDescent="0.15">
      <c r="A3544" s="37"/>
    </row>
    <row r="3545" spans="1:1" x14ac:dyDescent="0.15">
      <c r="A3545" s="37"/>
    </row>
    <row r="3546" spans="1:1" x14ac:dyDescent="0.15">
      <c r="A3546" s="37"/>
    </row>
    <row r="3547" spans="1:1" x14ac:dyDescent="0.15">
      <c r="A3547" s="37"/>
    </row>
    <row r="3548" spans="1:1" x14ac:dyDescent="0.15">
      <c r="A3548" s="37"/>
    </row>
    <row r="3549" spans="1:1" x14ac:dyDescent="0.15">
      <c r="A3549" s="37"/>
    </row>
    <row r="3550" spans="1:1" x14ac:dyDescent="0.15">
      <c r="A3550" s="37"/>
    </row>
    <row r="3551" spans="1:1" x14ac:dyDescent="0.15">
      <c r="A3551" s="37"/>
    </row>
    <row r="3552" spans="1:1" x14ac:dyDescent="0.15">
      <c r="A3552" s="37"/>
    </row>
    <row r="3553" spans="1:1" x14ac:dyDescent="0.15">
      <c r="A3553" s="37"/>
    </row>
    <row r="3554" spans="1:1" x14ac:dyDescent="0.15">
      <c r="A3554" s="37"/>
    </row>
    <row r="3555" spans="1:1" x14ac:dyDescent="0.15">
      <c r="A3555" s="37"/>
    </row>
    <row r="3556" spans="1:1" x14ac:dyDescent="0.15">
      <c r="A3556" s="37"/>
    </row>
    <row r="3557" spans="1:1" x14ac:dyDescent="0.15">
      <c r="A3557" s="37"/>
    </row>
    <row r="3558" spans="1:1" x14ac:dyDescent="0.15">
      <c r="A3558" s="37"/>
    </row>
    <row r="3559" spans="1:1" x14ac:dyDescent="0.15">
      <c r="A3559" s="37"/>
    </row>
    <row r="3560" spans="1:1" x14ac:dyDescent="0.15">
      <c r="A3560" s="37"/>
    </row>
    <row r="3561" spans="1:1" x14ac:dyDescent="0.15">
      <c r="A3561" s="37"/>
    </row>
    <row r="3562" spans="1:1" x14ac:dyDescent="0.15">
      <c r="A3562" s="37"/>
    </row>
    <row r="3563" spans="1:1" x14ac:dyDescent="0.15">
      <c r="A3563" s="37"/>
    </row>
    <row r="3564" spans="1:1" x14ac:dyDescent="0.15">
      <c r="A3564" s="37"/>
    </row>
    <row r="3565" spans="1:1" x14ac:dyDescent="0.15">
      <c r="A3565" s="37"/>
    </row>
    <row r="3566" spans="1:1" x14ac:dyDescent="0.15">
      <c r="A3566" s="37"/>
    </row>
    <row r="3567" spans="1:1" x14ac:dyDescent="0.15">
      <c r="A3567" s="37"/>
    </row>
    <row r="3568" spans="1:1" x14ac:dyDescent="0.15">
      <c r="A3568" s="37"/>
    </row>
    <row r="3569" spans="1:1" x14ac:dyDescent="0.15">
      <c r="A3569" s="37"/>
    </row>
    <row r="3570" spans="1:1" x14ac:dyDescent="0.15">
      <c r="A3570" s="37"/>
    </row>
    <row r="3571" spans="1:1" x14ac:dyDescent="0.15">
      <c r="A3571" s="37"/>
    </row>
    <row r="3572" spans="1:1" x14ac:dyDescent="0.15">
      <c r="A3572" s="37"/>
    </row>
    <row r="3573" spans="1:1" x14ac:dyDescent="0.15">
      <c r="A3573" s="37"/>
    </row>
    <row r="3574" spans="1:1" x14ac:dyDescent="0.15">
      <c r="A3574" s="37"/>
    </row>
    <row r="3575" spans="1:1" x14ac:dyDescent="0.15">
      <c r="A3575" s="37"/>
    </row>
    <row r="3576" spans="1:1" x14ac:dyDescent="0.15">
      <c r="A3576" s="37"/>
    </row>
    <row r="3577" spans="1:1" x14ac:dyDescent="0.15">
      <c r="A3577" s="37"/>
    </row>
    <row r="3578" spans="1:1" x14ac:dyDescent="0.15">
      <c r="A3578" s="37"/>
    </row>
    <row r="3579" spans="1:1" x14ac:dyDescent="0.15">
      <c r="A3579" s="37"/>
    </row>
    <row r="3580" spans="1:1" x14ac:dyDescent="0.15">
      <c r="A3580" s="37"/>
    </row>
    <row r="3581" spans="1:1" x14ac:dyDescent="0.15">
      <c r="A3581" s="37"/>
    </row>
    <row r="3582" spans="1:1" x14ac:dyDescent="0.15">
      <c r="A3582" s="37"/>
    </row>
    <row r="3583" spans="1:1" x14ac:dyDescent="0.15">
      <c r="A3583" s="37"/>
    </row>
    <row r="3584" spans="1:1" x14ac:dyDescent="0.15">
      <c r="A3584" s="37"/>
    </row>
    <row r="3585" spans="1:1" x14ac:dyDescent="0.15">
      <c r="A3585" s="37"/>
    </row>
    <row r="3586" spans="1:1" x14ac:dyDescent="0.15">
      <c r="A3586" s="37"/>
    </row>
    <row r="3587" spans="1:1" x14ac:dyDescent="0.15">
      <c r="A3587" s="37"/>
    </row>
    <row r="3588" spans="1:1" x14ac:dyDescent="0.15">
      <c r="A3588" s="37"/>
    </row>
    <row r="3589" spans="1:1" x14ac:dyDescent="0.15">
      <c r="A3589" s="37"/>
    </row>
    <row r="3590" spans="1:1" x14ac:dyDescent="0.15">
      <c r="A3590" s="37"/>
    </row>
    <row r="3591" spans="1:1" x14ac:dyDescent="0.15">
      <c r="A3591" s="37"/>
    </row>
    <row r="3592" spans="1:1" x14ac:dyDescent="0.15">
      <c r="A3592" s="37"/>
    </row>
    <row r="3593" spans="1:1" x14ac:dyDescent="0.15">
      <c r="A3593" s="37"/>
    </row>
    <row r="3594" spans="1:1" x14ac:dyDescent="0.15">
      <c r="A3594" s="37"/>
    </row>
    <row r="3595" spans="1:1" x14ac:dyDescent="0.15">
      <c r="A3595" s="37"/>
    </row>
    <row r="3596" spans="1:1" x14ac:dyDescent="0.15">
      <c r="A3596" s="37"/>
    </row>
    <row r="3597" spans="1:1" x14ac:dyDescent="0.15">
      <c r="A3597" s="37"/>
    </row>
    <row r="3598" spans="1:1" x14ac:dyDescent="0.15">
      <c r="A3598" s="37"/>
    </row>
    <row r="3599" spans="1:1" x14ac:dyDescent="0.15">
      <c r="A3599" s="37"/>
    </row>
    <row r="3600" spans="1:1" x14ac:dyDescent="0.15">
      <c r="A3600" s="37"/>
    </row>
    <row r="3601" spans="1:1" x14ac:dyDescent="0.15">
      <c r="A3601" s="37"/>
    </row>
    <row r="3602" spans="1:1" x14ac:dyDescent="0.15">
      <c r="A3602" s="37"/>
    </row>
    <row r="3603" spans="1:1" x14ac:dyDescent="0.15">
      <c r="A3603" s="37"/>
    </row>
    <row r="3604" spans="1:1" x14ac:dyDescent="0.15">
      <c r="A3604" s="37"/>
    </row>
    <row r="3605" spans="1:1" x14ac:dyDescent="0.15">
      <c r="A3605" s="37"/>
    </row>
    <row r="3606" spans="1:1" x14ac:dyDescent="0.15">
      <c r="A3606" s="37"/>
    </row>
    <row r="3607" spans="1:1" x14ac:dyDescent="0.15">
      <c r="A3607" s="37"/>
    </row>
    <row r="3608" spans="1:1" x14ac:dyDescent="0.15">
      <c r="A3608" s="37"/>
    </row>
    <row r="3609" spans="1:1" x14ac:dyDescent="0.15">
      <c r="A3609" s="37"/>
    </row>
    <row r="3610" spans="1:1" x14ac:dyDescent="0.15">
      <c r="A3610" s="37"/>
    </row>
    <row r="3611" spans="1:1" x14ac:dyDescent="0.15">
      <c r="A3611" s="37"/>
    </row>
    <row r="3612" spans="1:1" x14ac:dyDescent="0.15">
      <c r="A3612" s="37"/>
    </row>
    <row r="3613" spans="1:1" x14ac:dyDescent="0.15">
      <c r="A3613" s="37"/>
    </row>
    <row r="3614" spans="1:1" x14ac:dyDescent="0.15">
      <c r="A3614" s="37"/>
    </row>
    <row r="3615" spans="1:1" x14ac:dyDescent="0.15">
      <c r="A3615" s="37"/>
    </row>
    <row r="3616" spans="1:1" x14ac:dyDescent="0.15">
      <c r="A3616" s="37"/>
    </row>
    <row r="3617" spans="1:1" x14ac:dyDescent="0.15">
      <c r="A3617" s="37"/>
    </row>
    <row r="3618" spans="1:1" x14ac:dyDescent="0.15">
      <c r="A3618" s="37"/>
    </row>
    <row r="3619" spans="1:1" x14ac:dyDescent="0.15">
      <c r="A3619" s="37"/>
    </row>
    <row r="3620" spans="1:1" x14ac:dyDescent="0.15">
      <c r="A3620" s="37"/>
    </row>
    <row r="3621" spans="1:1" x14ac:dyDescent="0.15">
      <c r="A3621" s="37"/>
    </row>
    <row r="3622" spans="1:1" x14ac:dyDescent="0.15">
      <c r="A3622" s="37"/>
    </row>
    <row r="3623" spans="1:1" x14ac:dyDescent="0.15">
      <c r="A3623" s="37"/>
    </row>
    <row r="3624" spans="1:1" x14ac:dyDescent="0.15">
      <c r="A3624" s="37"/>
    </row>
    <row r="3625" spans="1:1" x14ac:dyDescent="0.15">
      <c r="A3625" s="37"/>
    </row>
    <row r="3626" spans="1:1" x14ac:dyDescent="0.15">
      <c r="A3626" s="37"/>
    </row>
    <row r="3627" spans="1:1" x14ac:dyDescent="0.15">
      <c r="A3627" s="37"/>
    </row>
    <row r="3628" spans="1:1" x14ac:dyDescent="0.15">
      <c r="A3628" s="37"/>
    </row>
    <row r="3629" spans="1:1" x14ac:dyDescent="0.15">
      <c r="A3629" s="37"/>
    </row>
    <row r="3630" spans="1:1" x14ac:dyDescent="0.15">
      <c r="A3630" s="37"/>
    </row>
    <row r="3631" spans="1:1" x14ac:dyDescent="0.15">
      <c r="A3631" s="37"/>
    </row>
    <row r="3632" spans="1:1" x14ac:dyDescent="0.15">
      <c r="A3632" s="37"/>
    </row>
    <row r="3633" spans="1:1" x14ac:dyDescent="0.15">
      <c r="A3633" s="37"/>
    </row>
    <row r="3634" spans="1:1" x14ac:dyDescent="0.15">
      <c r="A3634" s="37"/>
    </row>
    <row r="3635" spans="1:1" x14ac:dyDescent="0.15">
      <c r="A3635" s="37"/>
    </row>
    <row r="3636" spans="1:1" x14ac:dyDescent="0.15">
      <c r="A3636" s="37"/>
    </row>
    <row r="3637" spans="1:1" x14ac:dyDescent="0.15">
      <c r="A3637" s="37"/>
    </row>
    <row r="3638" spans="1:1" x14ac:dyDescent="0.15">
      <c r="A3638" s="37"/>
    </row>
    <row r="3639" spans="1:1" x14ac:dyDescent="0.15">
      <c r="A3639" s="37"/>
    </row>
    <row r="3640" spans="1:1" x14ac:dyDescent="0.15">
      <c r="A3640" s="37"/>
    </row>
    <row r="3641" spans="1:1" x14ac:dyDescent="0.15">
      <c r="A3641" s="37"/>
    </row>
    <row r="3642" spans="1:1" x14ac:dyDescent="0.15">
      <c r="A3642" s="37"/>
    </row>
    <row r="3643" spans="1:1" x14ac:dyDescent="0.15">
      <c r="A3643" s="37"/>
    </row>
    <row r="3644" spans="1:1" x14ac:dyDescent="0.15">
      <c r="A3644" s="37"/>
    </row>
    <row r="3645" spans="1:1" x14ac:dyDescent="0.15">
      <c r="A3645" s="37"/>
    </row>
    <row r="3646" spans="1:1" x14ac:dyDescent="0.15">
      <c r="A3646" s="37"/>
    </row>
    <row r="3647" spans="1:1" x14ac:dyDescent="0.15">
      <c r="A3647" s="37"/>
    </row>
    <row r="3648" spans="1:1" x14ac:dyDescent="0.15">
      <c r="A3648" s="37"/>
    </row>
    <row r="3649" spans="1:1" x14ac:dyDescent="0.15">
      <c r="A3649" s="37"/>
    </row>
    <row r="3650" spans="1:1" x14ac:dyDescent="0.15">
      <c r="A3650" s="37"/>
    </row>
    <row r="3651" spans="1:1" x14ac:dyDescent="0.15">
      <c r="A3651" s="37"/>
    </row>
    <row r="3652" spans="1:1" x14ac:dyDescent="0.15">
      <c r="A3652" s="37"/>
    </row>
    <row r="3653" spans="1:1" x14ac:dyDescent="0.15">
      <c r="A3653" s="37"/>
    </row>
    <row r="3654" spans="1:1" x14ac:dyDescent="0.15">
      <c r="A3654" s="37"/>
    </row>
    <row r="3655" spans="1:1" x14ac:dyDescent="0.15">
      <c r="A3655" s="37"/>
    </row>
    <row r="3656" spans="1:1" x14ac:dyDescent="0.15">
      <c r="A3656" s="37"/>
    </row>
    <row r="3657" spans="1:1" x14ac:dyDescent="0.15">
      <c r="A3657" s="37"/>
    </row>
    <row r="3658" spans="1:1" x14ac:dyDescent="0.15">
      <c r="A3658" s="37"/>
    </row>
    <row r="3659" spans="1:1" x14ac:dyDescent="0.15">
      <c r="A3659" s="37"/>
    </row>
    <row r="3660" spans="1:1" x14ac:dyDescent="0.15">
      <c r="A3660" s="37"/>
    </row>
    <row r="3661" spans="1:1" x14ac:dyDescent="0.15">
      <c r="A3661" s="37"/>
    </row>
    <row r="3662" spans="1:1" x14ac:dyDescent="0.15">
      <c r="A3662" s="37"/>
    </row>
    <row r="3663" spans="1:1" x14ac:dyDescent="0.15">
      <c r="A3663" s="37"/>
    </row>
    <row r="3664" spans="1:1" x14ac:dyDescent="0.15">
      <c r="A3664" s="37"/>
    </row>
    <row r="3665" spans="1:1" x14ac:dyDescent="0.15">
      <c r="A3665" s="37"/>
    </row>
    <row r="3666" spans="1:1" x14ac:dyDescent="0.15">
      <c r="A3666" s="37"/>
    </row>
    <row r="3667" spans="1:1" x14ac:dyDescent="0.15">
      <c r="A3667" s="37"/>
    </row>
    <row r="3668" spans="1:1" x14ac:dyDescent="0.15">
      <c r="A3668" s="37"/>
    </row>
    <row r="3669" spans="1:1" x14ac:dyDescent="0.15">
      <c r="A3669" s="37"/>
    </row>
    <row r="3670" spans="1:1" x14ac:dyDescent="0.15">
      <c r="A3670" s="37"/>
    </row>
    <row r="3671" spans="1:1" x14ac:dyDescent="0.15">
      <c r="A3671" s="37"/>
    </row>
    <row r="3672" spans="1:1" x14ac:dyDescent="0.15">
      <c r="A3672" s="37"/>
    </row>
    <row r="3673" spans="1:1" x14ac:dyDescent="0.15">
      <c r="A3673" s="37"/>
    </row>
    <row r="3674" spans="1:1" x14ac:dyDescent="0.15">
      <c r="A3674" s="37"/>
    </row>
    <row r="3675" spans="1:1" x14ac:dyDescent="0.15">
      <c r="A3675" s="37"/>
    </row>
    <row r="3676" spans="1:1" x14ac:dyDescent="0.15">
      <c r="A3676" s="37"/>
    </row>
    <row r="3677" spans="1:1" x14ac:dyDescent="0.15">
      <c r="A3677" s="37"/>
    </row>
    <row r="3678" spans="1:1" x14ac:dyDescent="0.15">
      <c r="A3678" s="37"/>
    </row>
    <row r="3679" spans="1:1" x14ac:dyDescent="0.15">
      <c r="A3679" s="37"/>
    </row>
    <row r="3680" spans="1:1" x14ac:dyDescent="0.15">
      <c r="A3680" s="37"/>
    </row>
    <row r="3681" spans="1:1" x14ac:dyDescent="0.15">
      <c r="A3681" s="37"/>
    </row>
    <row r="3682" spans="1:1" x14ac:dyDescent="0.15">
      <c r="A3682" s="37"/>
    </row>
    <row r="3683" spans="1:1" x14ac:dyDescent="0.15">
      <c r="A3683" s="37"/>
    </row>
    <row r="3684" spans="1:1" x14ac:dyDescent="0.15">
      <c r="A3684" s="37"/>
    </row>
    <row r="3685" spans="1:1" x14ac:dyDescent="0.15">
      <c r="A3685" s="37"/>
    </row>
    <row r="3686" spans="1:1" x14ac:dyDescent="0.15">
      <c r="A3686" s="37"/>
    </row>
    <row r="3687" spans="1:1" x14ac:dyDescent="0.15">
      <c r="A3687" s="37"/>
    </row>
    <row r="3688" spans="1:1" x14ac:dyDescent="0.15">
      <c r="A3688" s="37"/>
    </row>
    <row r="3689" spans="1:1" x14ac:dyDescent="0.15">
      <c r="A3689" s="37"/>
    </row>
    <row r="3690" spans="1:1" x14ac:dyDescent="0.15">
      <c r="A3690" s="37"/>
    </row>
    <row r="3691" spans="1:1" x14ac:dyDescent="0.15">
      <c r="A3691" s="37"/>
    </row>
    <row r="3692" spans="1:1" x14ac:dyDescent="0.15">
      <c r="A3692" s="37"/>
    </row>
    <row r="3693" spans="1:1" x14ac:dyDescent="0.15">
      <c r="A3693" s="37"/>
    </row>
    <row r="3694" spans="1:1" x14ac:dyDescent="0.15">
      <c r="A3694" s="37"/>
    </row>
    <row r="3695" spans="1:1" x14ac:dyDescent="0.15">
      <c r="A3695" s="37"/>
    </row>
    <row r="3696" spans="1:1" x14ac:dyDescent="0.15">
      <c r="A3696" s="37"/>
    </row>
    <row r="3697" spans="1:1" x14ac:dyDescent="0.15">
      <c r="A3697" s="37"/>
    </row>
    <row r="3698" spans="1:1" x14ac:dyDescent="0.15">
      <c r="A3698" s="37"/>
    </row>
    <row r="3699" spans="1:1" x14ac:dyDescent="0.15">
      <c r="A3699" s="37"/>
    </row>
    <row r="3700" spans="1:1" x14ac:dyDescent="0.15">
      <c r="A3700" s="37"/>
    </row>
    <row r="3701" spans="1:1" x14ac:dyDescent="0.15">
      <c r="A3701" s="37"/>
    </row>
    <row r="3702" spans="1:1" x14ac:dyDescent="0.15">
      <c r="A3702" s="37"/>
    </row>
    <row r="3703" spans="1:1" x14ac:dyDescent="0.15">
      <c r="A3703" s="37"/>
    </row>
    <row r="3704" spans="1:1" x14ac:dyDescent="0.15">
      <c r="A3704" s="37"/>
    </row>
    <row r="3705" spans="1:1" x14ac:dyDescent="0.15">
      <c r="A3705" s="37"/>
    </row>
    <row r="3706" spans="1:1" x14ac:dyDescent="0.15">
      <c r="A3706" s="37"/>
    </row>
    <row r="3707" spans="1:1" x14ac:dyDescent="0.15">
      <c r="A3707" s="37"/>
    </row>
    <row r="3708" spans="1:1" x14ac:dyDescent="0.15">
      <c r="A3708" s="37"/>
    </row>
    <row r="3709" spans="1:1" x14ac:dyDescent="0.15">
      <c r="A3709" s="37"/>
    </row>
    <row r="3710" spans="1:1" x14ac:dyDescent="0.15">
      <c r="A3710" s="37"/>
    </row>
    <row r="3711" spans="1:1" x14ac:dyDescent="0.15">
      <c r="A3711" s="37"/>
    </row>
    <row r="3712" spans="1:1" x14ac:dyDescent="0.15">
      <c r="A3712" s="37"/>
    </row>
    <row r="3713" spans="1:1" x14ac:dyDescent="0.15">
      <c r="A3713" s="37"/>
    </row>
    <row r="3714" spans="1:1" x14ac:dyDescent="0.15">
      <c r="A3714" s="37"/>
    </row>
    <row r="3715" spans="1:1" x14ac:dyDescent="0.15">
      <c r="A3715" s="37"/>
    </row>
    <row r="3716" spans="1:1" x14ac:dyDescent="0.15">
      <c r="A3716" s="37"/>
    </row>
    <row r="3717" spans="1:1" x14ac:dyDescent="0.15">
      <c r="A3717" s="37"/>
    </row>
    <row r="3718" spans="1:1" x14ac:dyDescent="0.15">
      <c r="A3718" s="37"/>
    </row>
    <row r="3719" spans="1:1" x14ac:dyDescent="0.15">
      <c r="A3719" s="37"/>
    </row>
    <row r="3720" spans="1:1" x14ac:dyDescent="0.15">
      <c r="A3720" s="37"/>
    </row>
    <row r="3721" spans="1:1" x14ac:dyDescent="0.15">
      <c r="A3721" s="37"/>
    </row>
    <row r="3722" spans="1:1" x14ac:dyDescent="0.15">
      <c r="A3722" s="37"/>
    </row>
    <row r="3723" spans="1:1" x14ac:dyDescent="0.15">
      <c r="A3723" s="37"/>
    </row>
    <row r="3724" spans="1:1" x14ac:dyDescent="0.15">
      <c r="A3724" s="37"/>
    </row>
    <row r="3725" spans="1:1" x14ac:dyDescent="0.15">
      <c r="A3725" s="37"/>
    </row>
    <row r="3726" spans="1:1" x14ac:dyDescent="0.15">
      <c r="A3726" s="37"/>
    </row>
    <row r="3727" spans="1:1" x14ac:dyDescent="0.15">
      <c r="A3727" s="37"/>
    </row>
    <row r="3728" spans="1:1" x14ac:dyDescent="0.15">
      <c r="A3728" s="37"/>
    </row>
    <row r="3729" spans="1:1" x14ac:dyDescent="0.15">
      <c r="A3729" s="37"/>
    </row>
    <row r="3730" spans="1:1" x14ac:dyDescent="0.15">
      <c r="A3730" s="37"/>
    </row>
    <row r="3731" spans="1:1" x14ac:dyDescent="0.15">
      <c r="A3731" s="37"/>
    </row>
    <row r="3732" spans="1:1" x14ac:dyDescent="0.15">
      <c r="A3732" s="37"/>
    </row>
    <row r="3733" spans="1:1" x14ac:dyDescent="0.15">
      <c r="A3733" s="37"/>
    </row>
    <row r="3734" spans="1:1" x14ac:dyDescent="0.15">
      <c r="A3734" s="37"/>
    </row>
    <row r="3735" spans="1:1" x14ac:dyDescent="0.15">
      <c r="A3735" s="37"/>
    </row>
    <row r="3736" spans="1:1" x14ac:dyDescent="0.15">
      <c r="A3736" s="37"/>
    </row>
    <row r="3737" spans="1:1" x14ac:dyDescent="0.15">
      <c r="A3737" s="37"/>
    </row>
    <row r="3738" spans="1:1" x14ac:dyDescent="0.15">
      <c r="A3738" s="37"/>
    </row>
    <row r="3739" spans="1:1" x14ac:dyDescent="0.15">
      <c r="A3739" s="37"/>
    </row>
    <row r="3740" spans="1:1" x14ac:dyDescent="0.15">
      <c r="A3740" s="37"/>
    </row>
    <row r="3741" spans="1:1" x14ac:dyDescent="0.15">
      <c r="A3741" s="37"/>
    </row>
    <row r="3742" spans="1:1" x14ac:dyDescent="0.15">
      <c r="A3742" s="37"/>
    </row>
    <row r="3743" spans="1:1" x14ac:dyDescent="0.15">
      <c r="A3743" s="37"/>
    </row>
    <row r="3744" spans="1:1" x14ac:dyDescent="0.15">
      <c r="A3744" s="37"/>
    </row>
    <row r="3745" spans="1:1" x14ac:dyDescent="0.15">
      <c r="A3745" s="37"/>
    </row>
    <row r="3746" spans="1:1" x14ac:dyDescent="0.15">
      <c r="A3746" s="37"/>
    </row>
    <row r="3747" spans="1:1" x14ac:dyDescent="0.15">
      <c r="A3747" s="37"/>
    </row>
    <row r="3748" spans="1:1" x14ac:dyDescent="0.15">
      <c r="A3748" s="37"/>
    </row>
    <row r="3749" spans="1:1" x14ac:dyDescent="0.15">
      <c r="A3749" s="37"/>
    </row>
    <row r="3750" spans="1:1" x14ac:dyDescent="0.15">
      <c r="A3750" s="37"/>
    </row>
    <row r="3751" spans="1:1" x14ac:dyDescent="0.15">
      <c r="A3751" s="37"/>
    </row>
    <row r="3752" spans="1:1" x14ac:dyDescent="0.15">
      <c r="A3752" s="37"/>
    </row>
    <row r="3753" spans="1:1" x14ac:dyDescent="0.15">
      <c r="A3753" s="37"/>
    </row>
    <row r="3754" spans="1:1" x14ac:dyDescent="0.15">
      <c r="A3754" s="37"/>
    </row>
    <row r="3755" spans="1:1" x14ac:dyDescent="0.15">
      <c r="A3755" s="37"/>
    </row>
    <row r="3756" spans="1:1" x14ac:dyDescent="0.15">
      <c r="A3756" s="37"/>
    </row>
    <row r="3757" spans="1:1" x14ac:dyDescent="0.15">
      <c r="A3757" s="37"/>
    </row>
    <row r="3758" spans="1:1" x14ac:dyDescent="0.15">
      <c r="A3758" s="37"/>
    </row>
    <row r="3759" spans="1:1" x14ac:dyDescent="0.15">
      <c r="A3759" s="37"/>
    </row>
    <row r="3760" spans="1:1" x14ac:dyDescent="0.15">
      <c r="A3760" s="37"/>
    </row>
    <row r="3761" spans="1:1" x14ac:dyDescent="0.15">
      <c r="A3761" s="37"/>
    </row>
    <row r="3762" spans="1:1" x14ac:dyDescent="0.15">
      <c r="A3762" s="37"/>
    </row>
    <row r="3763" spans="1:1" x14ac:dyDescent="0.15">
      <c r="A3763" s="37"/>
    </row>
    <row r="3764" spans="1:1" x14ac:dyDescent="0.15">
      <c r="A3764" s="37"/>
    </row>
    <row r="3765" spans="1:1" x14ac:dyDescent="0.15">
      <c r="A3765" s="37"/>
    </row>
    <row r="3766" spans="1:1" x14ac:dyDescent="0.15">
      <c r="A3766" s="37"/>
    </row>
    <row r="3767" spans="1:1" x14ac:dyDescent="0.15">
      <c r="A3767" s="37"/>
    </row>
    <row r="3768" spans="1:1" x14ac:dyDescent="0.15">
      <c r="A3768" s="37"/>
    </row>
    <row r="3769" spans="1:1" x14ac:dyDescent="0.15">
      <c r="A3769" s="37"/>
    </row>
    <row r="3770" spans="1:1" x14ac:dyDescent="0.15">
      <c r="A3770" s="37"/>
    </row>
    <row r="3771" spans="1:1" x14ac:dyDescent="0.15">
      <c r="A3771" s="37"/>
    </row>
    <row r="3772" spans="1:1" x14ac:dyDescent="0.15">
      <c r="A3772" s="37"/>
    </row>
    <row r="3773" spans="1:1" x14ac:dyDescent="0.15">
      <c r="A3773" s="37"/>
    </row>
    <row r="3774" spans="1:1" x14ac:dyDescent="0.15">
      <c r="A3774" s="37"/>
    </row>
    <row r="3775" spans="1:1" x14ac:dyDescent="0.15">
      <c r="A3775" s="37"/>
    </row>
    <row r="3776" spans="1:1" x14ac:dyDescent="0.15">
      <c r="A3776" s="37"/>
    </row>
    <row r="3777" spans="1:1" x14ac:dyDescent="0.15">
      <c r="A3777" s="37"/>
    </row>
    <row r="3778" spans="1:1" x14ac:dyDescent="0.15">
      <c r="A3778" s="37"/>
    </row>
    <row r="3779" spans="1:1" x14ac:dyDescent="0.15">
      <c r="A3779" s="37"/>
    </row>
    <row r="3780" spans="1:1" x14ac:dyDescent="0.15">
      <c r="A3780" s="37"/>
    </row>
    <row r="3781" spans="1:1" x14ac:dyDescent="0.15">
      <c r="A3781" s="37"/>
    </row>
    <row r="3782" spans="1:1" x14ac:dyDescent="0.15">
      <c r="A3782" s="37"/>
    </row>
    <row r="3783" spans="1:1" x14ac:dyDescent="0.15">
      <c r="A3783" s="37"/>
    </row>
    <row r="3784" spans="1:1" x14ac:dyDescent="0.15">
      <c r="A3784" s="37"/>
    </row>
    <row r="3785" spans="1:1" x14ac:dyDescent="0.15">
      <c r="A3785" s="37"/>
    </row>
    <row r="3786" spans="1:1" x14ac:dyDescent="0.15">
      <c r="A3786" s="37"/>
    </row>
    <row r="3787" spans="1:1" x14ac:dyDescent="0.15">
      <c r="A3787" s="37"/>
    </row>
    <row r="3788" spans="1:1" x14ac:dyDescent="0.15">
      <c r="A3788" s="37"/>
    </row>
    <row r="3789" spans="1:1" x14ac:dyDescent="0.15">
      <c r="A3789" s="37"/>
    </row>
    <row r="3790" spans="1:1" x14ac:dyDescent="0.15">
      <c r="A3790" s="37"/>
    </row>
    <row r="3791" spans="1:1" x14ac:dyDescent="0.15">
      <c r="A3791" s="37"/>
    </row>
    <row r="3792" spans="1:1" x14ac:dyDescent="0.15">
      <c r="A3792" s="37"/>
    </row>
    <row r="3793" spans="1:1" x14ac:dyDescent="0.15">
      <c r="A3793" s="37"/>
    </row>
    <row r="3794" spans="1:1" x14ac:dyDescent="0.15">
      <c r="A3794" s="37"/>
    </row>
    <row r="3795" spans="1:1" x14ac:dyDescent="0.15">
      <c r="A3795" s="37"/>
    </row>
    <row r="3796" spans="1:1" x14ac:dyDescent="0.15">
      <c r="A3796" s="37"/>
    </row>
    <row r="3797" spans="1:1" x14ac:dyDescent="0.15">
      <c r="A3797" s="37"/>
    </row>
    <row r="3798" spans="1:1" x14ac:dyDescent="0.15">
      <c r="A3798" s="37"/>
    </row>
    <row r="3799" spans="1:1" x14ac:dyDescent="0.15">
      <c r="A3799" s="37"/>
    </row>
    <row r="3800" spans="1:1" x14ac:dyDescent="0.15">
      <c r="A3800" s="37"/>
    </row>
    <row r="3801" spans="1:1" x14ac:dyDescent="0.15">
      <c r="A3801" s="37"/>
    </row>
    <row r="3802" spans="1:1" x14ac:dyDescent="0.15">
      <c r="A3802" s="37"/>
    </row>
    <row r="3803" spans="1:1" x14ac:dyDescent="0.15">
      <c r="A3803" s="37"/>
    </row>
    <row r="3804" spans="1:1" x14ac:dyDescent="0.15">
      <c r="A3804" s="37"/>
    </row>
    <row r="3805" spans="1:1" x14ac:dyDescent="0.15">
      <c r="A3805" s="37"/>
    </row>
    <row r="3806" spans="1:1" x14ac:dyDescent="0.15">
      <c r="A3806" s="37"/>
    </row>
    <row r="3807" spans="1:1" x14ac:dyDescent="0.15">
      <c r="A3807" s="37"/>
    </row>
    <row r="3808" spans="1:1" x14ac:dyDescent="0.15">
      <c r="A3808" s="37"/>
    </row>
    <row r="3809" spans="1:1" x14ac:dyDescent="0.15">
      <c r="A3809" s="37"/>
    </row>
    <row r="3810" spans="1:1" x14ac:dyDescent="0.15">
      <c r="A3810" s="37"/>
    </row>
    <row r="3811" spans="1:1" x14ac:dyDescent="0.15">
      <c r="A3811" s="37"/>
    </row>
    <row r="3812" spans="1:1" x14ac:dyDescent="0.15">
      <c r="A3812" s="37"/>
    </row>
    <row r="3813" spans="1:1" x14ac:dyDescent="0.15">
      <c r="A3813" s="37"/>
    </row>
    <row r="3814" spans="1:1" x14ac:dyDescent="0.15">
      <c r="A3814" s="37"/>
    </row>
    <row r="3815" spans="1:1" x14ac:dyDescent="0.15">
      <c r="A3815" s="37"/>
    </row>
    <row r="3816" spans="1:1" x14ac:dyDescent="0.15">
      <c r="A3816" s="37"/>
    </row>
    <row r="3817" spans="1:1" x14ac:dyDescent="0.15">
      <c r="A3817" s="37"/>
    </row>
    <row r="3818" spans="1:1" x14ac:dyDescent="0.15">
      <c r="A3818" s="37"/>
    </row>
    <row r="3819" spans="1:1" x14ac:dyDescent="0.15">
      <c r="A3819" s="37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入力</vt:lpstr>
      <vt:lpstr>入力!Print_Area</vt:lpstr>
      <vt:lpstr>入力!Print_Titles</vt:lpstr>
    </vt:vector>
  </TitlesOfParts>
  <Company>オリックス・グループ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オリックス・グループ</dc:creator>
  <cp:lastModifiedBy>オリックス・グループ</cp:lastModifiedBy>
  <cp:lastPrinted>2011-02-18T02:19:33Z</cp:lastPrinted>
  <dcterms:created xsi:type="dcterms:W3CDTF">2009-12-07T05:21:53Z</dcterms:created>
  <dcterms:modified xsi:type="dcterms:W3CDTF">2014-01-08T08:06:26Z</dcterms:modified>
</cp:coreProperties>
</file>